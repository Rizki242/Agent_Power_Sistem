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RIZKI NITIP\DGA JERANJANG\salipi\Presentasi Jeranjang\"/>
    </mc:Choice>
  </mc:AlternateContent>
  <bookViews>
    <workbookView xWindow="0" yWindow="0" windowWidth="20510" windowHeight="9050"/>
  </bookViews>
  <sheets>
    <sheet name="Dasar" sheetId="1" r:id="rId1"/>
  </sheets>
  <calcPr calcId="162913"/>
</workbook>
</file>

<file path=xl/calcChain.xml><?xml version="1.0" encoding="utf-8"?>
<calcChain xmlns="http://schemas.openxmlformats.org/spreadsheetml/2006/main">
  <c r="AB24" i="1" l="1"/>
  <c r="AB20" i="1"/>
  <c r="AB7" i="1"/>
  <c r="AB37" i="1" l="1"/>
  <c r="AB35" i="1"/>
  <c r="AB32" i="1"/>
  <c r="AB31" i="1"/>
  <c r="AB30" i="1"/>
  <c r="AB29" i="1"/>
  <c r="AB26" i="1"/>
  <c r="AB22" i="1"/>
  <c r="AB18" i="1"/>
  <c r="AB15" i="1"/>
  <c r="AB14" i="1"/>
  <c r="AB13" i="1"/>
  <c r="AB10" i="1"/>
  <c r="AB38" i="1" l="1"/>
</calcChain>
</file>

<file path=xl/sharedStrings.xml><?xml version="1.0" encoding="utf-8"?>
<sst xmlns="http://schemas.openxmlformats.org/spreadsheetml/2006/main" count="270" uniqueCount="159">
  <si>
    <t>ift</t>
  </si>
  <si>
    <t>color</t>
  </si>
  <si>
    <t>spec. Graf.</t>
  </si>
  <si>
    <t>visual</t>
  </si>
  <si>
    <t>CO</t>
  </si>
  <si>
    <t>dbpc</t>
  </si>
  <si>
    <t>furan</t>
  </si>
  <si>
    <t>corr. sul</t>
  </si>
  <si>
    <t>acid</t>
  </si>
  <si>
    <t>diel.</t>
  </si>
  <si>
    <t>sedi.</t>
  </si>
  <si>
    <t>metal in oil</t>
  </si>
  <si>
    <t>no</t>
  </si>
  <si>
    <t>hasil test laboratorium cennix</t>
  </si>
  <si>
    <t>C</t>
  </si>
  <si>
    <t>lpf (C)</t>
  </si>
  <si>
    <t>Al</t>
  </si>
  <si>
    <t>Fe</t>
  </si>
  <si>
    <t>Cu</t>
  </si>
  <si>
    <t>thn opr</t>
  </si>
  <si>
    <t>Buatan</t>
  </si>
  <si>
    <t>Test Cer.</t>
  </si>
  <si>
    <t>BATASAN OPERASI</t>
  </si>
  <si>
    <t>&lt; 100</t>
  </si>
  <si>
    <t>&lt; 120</t>
  </si>
  <si>
    <t>&lt; 350</t>
  </si>
  <si>
    <t>&lt; 65</t>
  </si>
  <si>
    <t>&lt;50</t>
  </si>
  <si>
    <t>&lt; 2</t>
  </si>
  <si>
    <t>&lt; 687</t>
  </si>
  <si>
    <t>&lt; 0.1</t>
  </si>
  <si>
    <t>&lt; 2.9</t>
  </si>
  <si>
    <t>&gt; .2</t>
  </si>
  <si>
    <t>Non corrosive</t>
  </si>
  <si>
    <t>TOT</t>
  </si>
  <si>
    <t>ppm</t>
  </si>
  <si>
    <t>grade</t>
  </si>
  <si>
    <t>B</t>
  </si>
  <si>
    <t>A</t>
  </si>
  <si>
    <t>D</t>
  </si>
  <si>
    <t>Catatan :</t>
  </si>
  <si>
    <t>E</t>
  </si>
  <si>
    <t>1.</t>
  </si>
  <si>
    <t>Purifikasi</t>
  </si>
  <si>
    <t>a.</t>
  </si>
  <si>
    <t>c.</t>
  </si>
  <si>
    <t>Siklus Purifikasi minimum enam siklus. Bertambah tinggi moisture/LPF bertambah banyak siklusnya</t>
  </si>
  <si>
    <t>2.</t>
  </si>
  <si>
    <t>Regenerasi (reklamasi)</t>
  </si>
  <si>
    <t>Pelaksanaan Regenerasi didasarkan terutama pada Acid, IFT &amp; Warna</t>
  </si>
  <si>
    <t xml:space="preserve"> Bila sudah melebihi atau sudah pada ambang batas, sebaiknya dilakukan Regenerasi</t>
  </si>
  <si>
    <t>3.</t>
  </si>
  <si>
    <t>Pelaksanaan Pekerjaan "pencucian minyak"</t>
  </si>
  <si>
    <r>
      <t xml:space="preserve">Untuk melaksanakan pekerjaan "Pencucian minyak" </t>
    </r>
    <r>
      <rPr>
        <b/>
        <sz val="10"/>
        <color indexed="10"/>
        <rFont val="Bookman Old Style"/>
        <family val="1"/>
      </rPr>
      <t>harus</t>
    </r>
    <r>
      <rPr>
        <sz val="10"/>
        <rFont val="Bookman Old Style"/>
        <family val="1"/>
      </rPr>
      <t xml:space="preserve"> memperhatikan kondisi "moisture" (untuk online filter. (&gt; 40 sebaiknya "offline")</t>
    </r>
  </si>
  <si>
    <r>
      <t xml:space="preserve">Untuk melaksanakan pekerjaan "Pencucian minyak" </t>
    </r>
    <r>
      <rPr>
        <b/>
        <sz val="10"/>
        <color indexed="10"/>
        <rFont val="Bookman Old Style"/>
        <family val="1"/>
      </rPr>
      <t>harus</t>
    </r>
    <r>
      <rPr>
        <sz val="10"/>
        <rFont val="Bookman Old Style"/>
        <family val="1"/>
      </rPr>
      <t xml:space="preserve"> memperhatikan kondisi "acethylene" (&gt; 4 sebaiknya "diperiksa" terlebih dahulu kondisi inside trafo atau test DGA 3 bln lagi, lihat "tren" acethylene nya)</t>
    </r>
  </si>
  <si>
    <r>
      <t xml:space="preserve">Untuk melaksanakan pekerjaan "Pencucian minyak" </t>
    </r>
    <r>
      <rPr>
        <b/>
        <sz val="10"/>
        <color indexed="10"/>
        <rFont val="Bookman Old Style"/>
        <family val="1"/>
      </rPr>
      <t>harus</t>
    </r>
    <r>
      <rPr>
        <sz val="10"/>
        <rFont val="Bookman Old Style"/>
        <family val="1"/>
      </rPr>
      <t xml:space="preserve"> memperhatikan kondisi "furan" (&gt; 4.000 sebaiknya "diperiksa" terlebih dahulu kandungan logam dalam minyak)</t>
    </r>
  </si>
  <si>
    <t>d.</t>
  </si>
  <si>
    <t>Flow untuk permulaan jalan sebaiknya &lt; 1000 liter perjam.</t>
  </si>
  <si>
    <r>
      <t>H</t>
    </r>
    <r>
      <rPr>
        <vertAlign val="subscript"/>
        <sz val="11"/>
        <rFont val="Bookman Old Style"/>
        <family val="1"/>
      </rPr>
      <t>2</t>
    </r>
  </si>
  <si>
    <r>
      <t>O</t>
    </r>
    <r>
      <rPr>
        <vertAlign val="subscript"/>
        <sz val="11"/>
        <rFont val="Bookman Old Style"/>
        <family val="1"/>
      </rPr>
      <t>2</t>
    </r>
  </si>
  <si>
    <r>
      <t>N</t>
    </r>
    <r>
      <rPr>
        <vertAlign val="subscript"/>
        <sz val="11"/>
        <rFont val="Bookman Old Style"/>
        <family val="1"/>
      </rPr>
      <t>2</t>
    </r>
  </si>
  <si>
    <r>
      <t>CH</t>
    </r>
    <r>
      <rPr>
        <vertAlign val="subscript"/>
        <sz val="11"/>
        <rFont val="Bookman Old Style"/>
        <family val="1"/>
      </rPr>
      <t>4</t>
    </r>
  </si>
  <si>
    <r>
      <t>CO</t>
    </r>
    <r>
      <rPr>
        <vertAlign val="subscript"/>
        <sz val="11"/>
        <rFont val="Bookman Old Style"/>
        <family val="1"/>
      </rPr>
      <t>2</t>
    </r>
  </si>
  <si>
    <r>
      <t>C</t>
    </r>
    <r>
      <rPr>
        <vertAlign val="subscript"/>
        <sz val="11"/>
        <rFont val="Bookman Old Style"/>
        <family val="1"/>
      </rPr>
      <t>2</t>
    </r>
    <r>
      <rPr>
        <sz val="11"/>
        <rFont val="Bookman Old Style"/>
        <family val="1"/>
      </rPr>
      <t>H</t>
    </r>
    <r>
      <rPr>
        <vertAlign val="subscript"/>
        <sz val="11"/>
        <rFont val="Bookman Old Style"/>
        <family val="1"/>
      </rPr>
      <t>6</t>
    </r>
  </si>
  <si>
    <r>
      <t>C</t>
    </r>
    <r>
      <rPr>
        <vertAlign val="subscript"/>
        <sz val="11"/>
        <rFont val="Bookman Old Style"/>
        <family val="1"/>
      </rPr>
      <t>2</t>
    </r>
    <r>
      <rPr>
        <sz val="11"/>
        <rFont val="Bookman Old Style"/>
        <family val="1"/>
      </rPr>
      <t>H</t>
    </r>
    <r>
      <rPr>
        <vertAlign val="subscript"/>
        <sz val="11"/>
        <rFont val="Bookman Old Style"/>
        <family val="1"/>
      </rPr>
      <t>4</t>
    </r>
  </si>
  <si>
    <r>
      <t>C</t>
    </r>
    <r>
      <rPr>
        <vertAlign val="subscript"/>
        <sz val="11"/>
        <rFont val="Bookman Old Style"/>
        <family val="1"/>
      </rPr>
      <t>2</t>
    </r>
    <r>
      <rPr>
        <sz val="11"/>
        <rFont val="Bookman Old Style"/>
        <family val="1"/>
      </rPr>
      <t>H</t>
    </r>
    <r>
      <rPr>
        <vertAlign val="subscript"/>
        <sz val="11"/>
        <rFont val="Bookman Old Style"/>
        <family val="1"/>
      </rPr>
      <t>2</t>
    </r>
  </si>
  <si>
    <r>
      <t>25</t>
    </r>
    <r>
      <rPr>
        <vertAlign val="superscript"/>
        <sz val="11"/>
        <rFont val="Bookman Old Style"/>
        <family val="1"/>
      </rPr>
      <t>O</t>
    </r>
  </si>
  <si>
    <r>
      <t>100</t>
    </r>
    <r>
      <rPr>
        <vertAlign val="superscript"/>
        <sz val="11"/>
        <rFont val="Bookman Old Style"/>
        <family val="1"/>
      </rPr>
      <t>O</t>
    </r>
  </si>
  <si>
    <t>ASTM D974</t>
  </si>
  <si>
    <t>Standard yang dipakai</t>
  </si>
  <si>
    <t>ASTM D971</t>
  </si>
  <si>
    <t>IEC  156</t>
  </si>
  <si>
    <t>ASTM D1500</t>
  </si>
  <si>
    <t>ASTM D4052</t>
  </si>
  <si>
    <t>ASTM D1524</t>
  </si>
  <si>
    <t>ASTM D1698</t>
  </si>
  <si>
    <t>ASTM D1533</t>
  </si>
  <si>
    <t>dga ASTM D3612</t>
  </si>
  <si>
    <t>ASTM D5837</t>
  </si>
  <si>
    <t>ASTM D3635</t>
  </si>
  <si>
    <t>ASTM D924</t>
  </si>
  <si>
    <t>ASTM D2668</t>
  </si>
  <si>
    <t>ASTM D1275B</t>
  </si>
  <si>
    <t>nama unit</t>
  </si>
  <si>
    <t>Summary by Soetjahjono</t>
  </si>
  <si>
    <t>TxM Indonesia</t>
  </si>
  <si>
    <t>Jumlah minyak, liter</t>
  </si>
  <si>
    <r>
      <t>Untuk melaksanakan pekerjaan Purifikasi kita perhatikan moisture &amp;  LPF (pada 25</t>
    </r>
    <r>
      <rPr>
        <vertAlign val="superscript"/>
        <sz val="10"/>
        <rFont val="Bookman Old Style"/>
        <family val="1"/>
      </rPr>
      <t>0</t>
    </r>
    <r>
      <rPr>
        <sz val="10"/>
        <rFont val="Bookman Old Style"/>
        <family val="1"/>
      </rPr>
      <t>C).</t>
    </r>
  </si>
  <si>
    <t>Bila sudah melebihi atau sudah pada ambang batas, sebaiknya dilakukan Purifikasi.</t>
  </si>
  <si>
    <t>b.</t>
  </si>
  <si>
    <r>
      <t xml:space="preserve">Untuk lebih meyakinkan hasil purifikasi, pengambilan sample dilakukan dilakukan </t>
    </r>
    <r>
      <rPr>
        <u/>
        <sz val="10"/>
        <rFont val="Bookman Old Style"/>
        <family val="1"/>
      </rPr>
      <t>&gt;</t>
    </r>
    <r>
      <rPr>
        <sz val="10"/>
        <rFont val="Bookman Old Style"/>
        <family val="1"/>
      </rPr>
      <t xml:space="preserve"> setelah pekerjaan selesai, dan diambil langsung dari transformator </t>
    </r>
  </si>
  <si>
    <t>&lt; 20</t>
  </si>
  <si>
    <t>&lt; 0,06</t>
  </si>
  <si>
    <t>&gt; 32</t>
  </si>
  <si>
    <t>&gt; 30</t>
  </si>
  <si>
    <t>&lt; 3,5</t>
  </si>
  <si>
    <t>&gt; 0,84</t>
  </si>
  <si>
    <t>&lt; 2.500</t>
  </si>
  <si>
    <t>Before the oxidation inhibitors are depleted.• While the oil is still in good condition. WHY? The oil is filtered through the paper, removing contaminants. While the oil still appears clean, the paper is actually gathering sludge and deteriorating</t>
  </si>
  <si>
    <t>hydrogen</t>
  </si>
  <si>
    <t>nitrogen</t>
  </si>
  <si>
    <t>methane</t>
  </si>
  <si>
    <t>carbon monoksida</t>
  </si>
  <si>
    <t>carbon dioksida</t>
  </si>
  <si>
    <t>ethane</t>
  </si>
  <si>
    <t>ethylene</t>
  </si>
  <si>
    <t>acethylene</t>
  </si>
  <si>
    <t>oksigen</t>
  </si>
  <si>
    <t>moisture</t>
  </si>
  <si>
    <t>Serial number</t>
  </si>
  <si>
    <t>keterangan</t>
  </si>
  <si>
    <t>Trafo 1 ESP</t>
  </si>
  <si>
    <t>Trafo 2 ESP</t>
  </si>
  <si>
    <t>Trafo 3 ESP</t>
  </si>
  <si>
    <t>Trafo 4 ESP</t>
  </si>
  <si>
    <t xml:space="preserve">Trafo UAT </t>
  </si>
  <si>
    <t>Ash Handling</t>
  </si>
  <si>
    <t>1006901</t>
  </si>
  <si>
    <t>10937</t>
  </si>
  <si>
    <t>10035</t>
  </si>
  <si>
    <t>10031</t>
  </si>
  <si>
    <t>10034</t>
  </si>
  <si>
    <t>1122170</t>
  </si>
  <si>
    <t>1035082</t>
  </si>
  <si>
    <t>007308428</t>
  </si>
  <si>
    <t>007008428</t>
  </si>
  <si>
    <t>007108428</t>
  </si>
  <si>
    <t>007208428</t>
  </si>
  <si>
    <t>10820108</t>
  </si>
  <si>
    <t>10820107</t>
  </si>
  <si>
    <t>Wolong</t>
  </si>
  <si>
    <t>3 A</t>
  </si>
  <si>
    <t>Fujia</t>
  </si>
  <si>
    <t>1 B</t>
  </si>
  <si>
    <t>1 A</t>
  </si>
  <si>
    <t>2 C</t>
  </si>
  <si>
    <t>Non Corrosive</t>
  </si>
  <si>
    <t>Suspec Corrosive</t>
  </si>
  <si>
    <t>Shandong</t>
  </si>
  <si>
    <t>Zhejian</t>
  </si>
  <si>
    <t xml:space="preserve">Retest 6 months: DGA </t>
  </si>
  <si>
    <t>Add inhibitor 2,6-DBPC and Passivator</t>
  </si>
  <si>
    <t>Other parameters: Periodic Condition Monitoring</t>
  </si>
  <si>
    <t xml:space="preserve">Perform OIL REGENERATION </t>
  </si>
  <si>
    <t>Retest 6 months: Acidity, IFT, LPF, Diel and Water Content</t>
  </si>
  <si>
    <t xml:space="preserve">Inspect silica gel </t>
  </si>
  <si>
    <t>Add  Passivator</t>
  </si>
  <si>
    <t>Periodic Condition Monitoring</t>
  </si>
  <si>
    <t>Retest 6 months: Acidity, IFT and LPF</t>
  </si>
  <si>
    <t>Main trafo</t>
  </si>
  <si>
    <t xml:space="preserve">Check leakages </t>
  </si>
  <si>
    <t>Date Test</t>
  </si>
  <si>
    <t>MALAYSIAN LAB RECOMMENDATION</t>
  </si>
  <si>
    <t>PAK SOETJAHJONO (TXM ADVISOR) 
RECOMMENDATION</t>
  </si>
  <si>
    <t>04/07/17</t>
  </si>
  <si>
    <t>27/02/17</t>
  </si>
  <si>
    <t>1B</t>
  </si>
  <si>
    <t>1A</t>
  </si>
  <si>
    <r>
      <t xml:space="preserve">Untuk </t>
    </r>
    <r>
      <rPr>
        <b/>
        <sz val="11"/>
        <rFont val="Bookman Old Style"/>
        <family val="1"/>
      </rPr>
      <t xml:space="preserve">Main Trafo 1 dan 3 serta Trafo UAT 3 </t>
    </r>
    <r>
      <rPr>
        <sz val="11"/>
        <rFont val="Bookman Old Style"/>
        <family val="1"/>
      </rPr>
      <t>yang tinggi CO dan CO</t>
    </r>
    <r>
      <rPr>
        <vertAlign val="subscript"/>
        <sz val="11"/>
        <rFont val="Bookman Old Style"/>
        <family val="1"/>
      </rPr>
      <t>2</t>
    </r>
    <r>
      <rPr>
        <sz val="11"/>
        <rFont val="Bookman Old Style"/>
        <family val="1"/>
      </rPr>
      <t xml:space="preserve"> nya, harap diperhatikan </t>
    </r>
    <r>
      <rPr>
        <b/>
        <sz val="11"/>
        <rFont val="Bookman Old Style"/>
        <family val="1"/>
      </rPr>
      <t xml:space="preserve">masalah cooling system </t>
    </r>
    <r>
      <rPr>
        <sz val="11"/>
        <rFont val="Bookman Old Style"/>
        <family val="1"/>
      </rPr>
      <t>antara lain menyalakan fan sejak awal trafo dinyalakan. Salah satu akibat dari CO dan CO</t>
    </r>
    <r>
      <rPr>
        <vertAlign val="subscript"/>
        <sz val="11"/>
        <rFont val="Bookman Old Style"/>
        <family val="1"/>
      </rPr>
      <t>2</t>
    </r>
    <r>
      <rPr>
        <sz val="11"/>
        <rFont val="Bookman Old Style"/>
        <family val="1"/>
      </rPr>
      <t xml:space="preserve"> yang tinggi (yang artinya sedang mengalami gangguan thermal secara internal) adalah penurunan kondisi Corrosive Sulphur. Dari data yang ada, pada bulan February yang lalu, masih "Non Corrosive", dan pada bulan Juli ini menjadi "Suspec Corrosive".
Mengingat banyak </t>
    </r>
    <r>
      <rPr>
        <b/>
        <sz val="11"/>
        <rFont val="Bookman Old Style"/>
        <family val="1"/>
      </rPr>
      <t>trafo ESP (Tc 5,6,7,8,11,12,13</t>
    </r>
    <r>
      <rPr>
        <sz val="11"/>
        <rFont val="Bookman Old Style"/>
        <family val="1"/>
      </rPr>
      <t>) yang kurang memenuhi syarat. Kami sarankan untuk di</t>
    </r>
    <r>
      <rPr>
        <b/>
        <sz val="11"/>
        <rFont val="Bookman Old Style"/>
        <family val="1"/>
      </rPr>
      <t>ganti</t>
    </r>
    <r>
      <rPr>
        <sz val="11"/>
        <rFont val="Bookman Old Style"/>
        <family val="1"/>
      </rPr>
      <t xml:space="preserve"> </t>
    </r>
    <r>
      <rPr>
        <b/>
        <sz val="11"/>
        <rFont val="Bookman Old Style"/>
        <family val="1"/>
      </rPr>
      <t xml:space="preserve">minyak saja. </t>
    </r>
    <r>
      <rPr>
        <sz val="11"/>
        <rFont val="Bookman Old Style"/>
        <family val="1"/>
      </rPr>
      <t xml:space="preserve">Selain jumlah minyaknya sedikit biaya juga akan jauh lebih murah, Saran kami saat penggantian minyak melalui purifikasi dengan temperatur lebih dari 650C dan vacuum diatas 74 CMHg diatas 7 cycle
Trafo </t>
    </r>
    <r>
      <rPr>
        <b/>
        <sz val="11"/>
        <rFont val="Bookman Old Style"/>
        <family val="1"/>
      </rPr>
      <t>ESP (Tc 6,7,8)</t>
    </r>
    <r>
      <rPr>
        <sz val="11"/>
        <rFont val="Bookman Old Style"/>
        <family val="1"/>
      </rPr>
      <t xml:space="preserve"> Furan (FOL) banyak berkurang karena moisture cukup banyak dalam kertas dan kemungkinan juga </t>
    </r>
    <r>
      <rPr>
        <b/>
        <sz val="11"/>
        <rFont val="Bookman Old Style"/>
        <family val="1"/>
      </rPr>
      <t xml:space="preserve">kualitas kertas </t>
    </r>
    <r>
      <rPr>
        <sz val="11"/>
        <rFont val="Bookman Old Style"/>
        <family val="1"/>
      </rPr>
      <t xml:space="preserve">kurang bagus
Untuk trafo </t>
    </r>
    <r>
      <rPr>
        <b/>
        <sz val="11"/>
        <rFont val="Bookman Old Style"/>
        <family val="1"/>
      </rPr>
      <t xml:space="preserve">Ash Handling </t>
    </r>
    <r>
      <rPr>
        <sz val="11"/>
        <rFont val="Bookman Old Style"/>
        <family val="1"/>
      </rPr>
      <t xml:space="preserve">sebaiknya segera </t>
    </r>
    <r>
      <rPr>
        <b/>
        <sz val="11"/>
        <rFont val="Bookman Old Style"/>
        <family val="1"/>
      </rPr>
      <t xml:space="preserve">dipurifikasi </t>
    </r>
    <r>
      <rPr>
        <sz val="11"/>
        <rFont val="Bookman Old Style"/>
        <family val="1"/>
      </rPr>
      <t xml:space="preserve">juga dengan temperatur diats 650c dan vacuum diatas 74 CMHg sekitar &gt;7 cycle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</si>
</sst>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
    <numFmt numFmtId="165" formatCode="0.0"/>
    <numFmt numFmtId="166" formatCode="0.0000"/>
    <numFmt numFmtId="167" formatCode="0.000"/>
    <numFmt numFmtId="168" formatCode="#,##0.0"/>
  </numFmts>
  <fonts count="19" x14ac:knownFonts="1">
    <font>
      <sz val="11"/>
      <color theme="1"/>
      <name val="Calibri"/>
      <family val="2"/>
      <charset val="1"/>
      <scheme val="minor"/>
    </font>
    <font>
      <sz val="10"/>
      <name val="Bookman Old Style"/>
      <family val="1"/>
    </font>
    <font>
      <sz val="8"/>
      <name val="Calibri"/>
      <family val="2"/>
      <charset val="1"/>
    </font>
    <font>
      <b/>
      <sz val="12"/>
      <name val="Bookman Old Style"/>
      <family val="1"/>
    </font>
    <font>
      <sz val="12"/>
      <name val="Bookman Old Style"/>
      <family val="1"/>
    </font>
    <font>
      <b/>
      <sz val="10"/>
      <color indexed="10"/>
      <name val="Bookman Old Style"/>
      <family val="1"/>
    </font>
    <font>
      <sz val="11"/>
      <name val="Bookman Old Style"/>
      <family val="1"/>
    </font>
    <font>
      <vertAlign val="subscript"/>
      <sz val="11"/>
      <name val="Bookman Old Style"/>
      <family val="1"/>
    </font>
    <font>
      <vertAlign val="superscript"/>
      <sz val="11"/>
      <name val="Bookman Old Style"/>
      <family val="1"/>
    </font>
    <font>
      <sz val="10"/>
      <name val="Arial"/>
      <family val="2"/>
    </font>
    <font>
      <b/>
      <sz val="12"/>
      <color rgb="FF0070C0"/>
      <name val="Bookman Old Style"/>
      <family val="1"/>
    </font>
    <font>
      <sz val="11"/>
      <color theme="1"/>
      <name val="Bookman Old Style"/>
      <family val="1"/>
    </font>
    <font>
      <vertAlign val="superscript"/>
      <sz val="10"/>
      <name val="Bookman Old Style"/>
      <family val="1"/>
    </font>
    <font>
      <u/>
      <sz val="10"/>
      <name val="Bookman Old Style"/>
      <family val="1"/>
    </font>
    <font>
      <sz val="11"/>
      <color rgb="FF000000"/>
      <name val="Comic Sans MS"/>
      <family val="4"/>
    </font>
    <font>
      <sz val="11"/>
      <name val="Comic Sans MS"/>
      <family val="4"/>
    </font>
    <font>
      <b/>
      <sz val="11"/>
      <color rgb="FFFF0000"/>
      <name val="Bookman Old Style"/>
      <family val="1"/>
    </font>
    <font>
      <b/>
      <sz val="11"/>
      <name val="Bookman Old Style"/>
      <family val="1"/>
    </font>
    <font>
      <b/>
      <sz val="10"/>
      <color rgb="FFFF0000"/>
      <name val="Bookman Old Style"/>
      <family val="1"/>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59999389629810485"/>
        <bgColor indexed="64"/>
      </patternFill>
    </fill>
    <fill>
      <patternFill patternType="solid">
        <fgColor rgb="FF92D050"/>
        <bgColor indexed="64"/>
      </patternFill>
    </fill>
  </fills>
  <borders count="58">
    <border>
      <left/>
      <right/>
      <top/>
      <bottom/>
      <diagonal/>
    </border>
    <border>
      <left style="hair">
        <color indexed="64"/>
      </left>
      <right style="hair">
        <color indexed="64"/>
      </right>
      <top style="double">
        <color indexed="64"/>
      </top>
      <bottom style="double">
        <color indexed="64"/>
      </bottom>
      <diagonal/>
    </border>
    <border>
      <left style="double">
        <color indexed="64"/>
      </left>
      <right style="hair">
        <color indexed="64"/>
      </right>
      <top style="double">
        <color indexed="64"/>
      </top>
      <bottom style="double">
        <color indexed="64"/>
      </bottom>
      <diagonal/>
    </border>
    <border>
      <left style="hair">
        <color indexed="64"/>
      </left>
      <right/>
      <top style="double">
        <color indexed="64"/>
      </top>
      <bottom style="double">
        <color indexed="64"/>
      </bottom>
      <diagonal/>
    </border>
    <border>
      <left style="medium">
        <color indexed="64"/>
      </left>
      <right style="double">
        <color indexed="64"/>
      </right>
      <top style="double">
        <color indexed="64"/>
      </top>
      <bottom style="double">
        <color indexed="64"/>
      </bottom>
      <diagonal/>
    </border>
    <border>
      <left style="hair">
        <color indexed="64"/>
      </left>
      <right/>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double">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hair">
        <color indexed="64"/>
      </right>
      <top style="double">
        <color indexed="64"/>
      </top>
      <bottom style="hair">
        <color indexed="64"/>
      </bottom>
      <diagonal/>
    </border>
    <border>
      <left style="medium">
        <color indexed="64"/>
      </left>
      <right style="medium">
        <color indexed="64"/>
      </right>
      <top style="medium">
        <color indexed="64"/>
      </top>
      <bottom style="medium">
        <color indexed="64"/>
      </bottom>
      <diagonal/>
    </border>
    <border>
      <left style="hair">
        <color indexed="64"/>
      </left>
      <right/>
      <top style="hair">
        <color indexed="64"/>
      </top>
      <bottom/>
      <diagonal/>
    </border>
    <border>
      <left style="hair">
        <color indexed="64"/>
      </left>
      <right style="double">
        <color indexed="64"/>
      </right>
      <top style="hair">
        <color indexed="64"/>
      </top>
      <bottom style="hair">
        <color indexed="64"/>
      </bottom>
      <diagonal/>
    </border>
    <border>
      <left style="hair">
        <color indexed="64"/>
      </left>
      <right style="double">
        <color indexed="64"/>
      </right>
      <top style="hair">
        <color indexed="64"/>
      </top>
      <bottom style="double">
        <color indexed="64"/>
      </bottom>
      <diagonal/>
    </border>
    <border>
      <left/>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top style="medium">
        <color indexed="64"/>
      </top>
      <bottom/>
      <diagonal/>
    </border>
    <border>
      <left style="medium">
        <color indexed="64"/>
      </left>
      <right/>
      <top style="medium">
        <color indexed="64"/>
      </top>
      <bottom style="medium">
        <color indexed="64"/>
      </bottom>
      <diagonal/>
    </border>
    <border>
      <left style="medium">
        <color indexed="64"/>
      </left>
      <right/>
      <top style="medium">
        <color indexed="64"/>
      </top>
      <bottom style="double">
        <color indexed="64"/>
      </bottom>
      <diagonal/>
    </border>
    <border>
      <left style="medium">
        <color indexed="64"/>
      </left>
      <right style="medium">
        <color indexed="64"/>
      </right>
      <top style="medium">
        <color indexed="64"/>
      </top>
      <bottom style="double">
        <color indexed="64"/>
      </bottom>
      <diagonal/>
    </border>
    <border>
      <left style="medium">
        <color indexed="64"/>
      </left>
      <right style="double">
        <color indexed="64"/>
      </right>
      <top style="double">
        <color indexed="64"/>
      </top>
      <bottom/>
      <diagonal/>
    </border>
    <border>
      <left style="medium">
        <color indexed="64"/>
      </left>
      <right style="double">
        <color indexed="64"/>
      </right>
      <top/>
      <bottom/>
      <diagonal/>
    </border>
    <border>
      <left style="medium">
        <color indexed="64"/>
      </left>
      <right style="double">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right/>
      <top style="double">
        <color indexed="64"/>
      </top>
      <bottom style="double">
        <color indexed="64"/>
      </bottom>
      <diagonal/>
    </border>
    <border>
      <left/>
      <right style="hair">
        <color indexed="64"/>
      </right>
      <top style="double">
        <color indexed="64"/>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style="medium">
        <color indexed="64"/>
      </left>
      <right/>
      <top style="double">
        <color indexed="64"/>
      </top>
      <bottom/>
      <diagonal/>
    </border>
    <border>
      <left style="double">
        <color indexed="64"/>
      </left>
      <right style="medium">
        <color indexed="64"/>
      </right>
      <top style="double">
        <color indexed="64"/>
      </top>
      <bottom/>
      <diagonal/>
    </border>
    <border>
      <left style="double">
        <color indexed="64"/>
      </left>
      <right style="medium">
        <color indexed="64"/>
      </right>
      <top/>
      <bottom/>
      <diagonal/>
    </border>
    <border>
      <left style="double">
        <color indexed="64"/>
      </left>
      <right style="medium">
        <color indexed="64"/>
      </right>
      <top/>
      <bottom style="double">
        <color indexed="64"/>
      </bottom>
      <diagonal/>
    </border>
    <border>
      <left style="hair">
        <color indexed="64"/>
      </left>
      <right style="double">
        <color indexed="64"/>
      </right>
      <top style="double">
        <color indexed="64"/>
      </top>
      <bottom style="hair">
        <color indexed="64"/>
      </bottom>
      <diagonal/>
    </border>
    <border>
      <left style="double">
        <color indexed="64"/>
      </left>
      <right style="hair">
        <color indexed="64"/>
      </right>
      <top style="double">
        <color indexed="64"/>
      </top>
      <bottom style="hair">
        <color indexed="64"/>
      </bottom>
      <diagonal/>
    </border>
    <border>
      <left style="medium">
        <color indexed="64"/>
      </left>
      <right/>
      <top style="double">
        <color indexed="64"/>
      </top>
      <bottom style="medium">
        <color indexed="64"/>
      </bottom>
      <diagonal/>
    </border>
    <border>
      <left style="double">
        <color indexed="64"/>
      </left>
      <right/>
      <top/>
      <bottom/>
      <diagonal/>
    </border>
    <border>
      <left style="medium">
        <color indexed="64"/>
      </left>
      <right/>
      <top/>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hair">
        <color indexed="64"/>
      </left>
      <right style="hair">
        <color indexed="64"/>
      </right>
      <top style="double">
        <color indexed="64"/>
      </top>
      <bottom/>
      <diagonal/>
    </border>
    <border>
      <left style="hair">
        <color indexed="64"/>
      </left>
      <right style="hair">
        <color indexed="64"/>
      </right>
      <top style="hair">
        <color indexed="64"/>
      </top>
      <bottom/>
      <diagonal/>
    </border>
    <border>
      <left style="double">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top style="hair">
        <color indexed="64"/>
      </top>
      <bottom style="double">
        <color indexed="64"/>
      </bottom>
      <diagonal/>
    </border>
    <border>
      <left style="hair">
        <color indexed="64"/>
      </left>
      <right style="double">
        <color indexed="64"/>
      </right>
      <top/>
      <bottom style="hair">
        <color indexed="64"/>
      </bottom>
      <diagonal/>
    </border>
    <border>
      <left style="double">
        <color indexed="64"/>
      </left>
      <right style="hair">
        <color indexed="64"/>
      </right>
      <top style="hair">
        <color indexed="64"/>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s>
  <cellStyleXfs count="2">
    <xf numFmtId="0" fontId="0" fillId="0" borderId="0"/>
    <xf numFmtId="0" fontId="9" fillId="0" borderId="0"/>
  </cellStyleXfs>
  <cellXfs count="342">
    <xf numFmtId="0" fontId="0" fillId="0" borderId="0" xfId="0"/>
    <xf numFmtId="0" fontId="1" fillId="0" borderId="1" xfId="0" applyFont="1" applyBorder="1" applyAlignment="1">
      <alignment horizontal="center"/>
    </xf>
    <xf numFmtId="3" fontId="1" fillId="0" borderId="1" xfId="0" applyNumberFormat="1" applyFont="1" applyBorder="1" applyAlignment="1">
      <alignment horizontal="center"/>
    </xf>
    <xf numFmtId="0" fontId="10" fillId="0" borderId="0" xfId="0" applyFont="1"/>
    <xf numFmtId="0" fontId="1" fillId="0" borderId="0" xfId="0" applyFont="1"/>
    <xf numFmtId="3" fontId="1" fillId="0" borderId="0" xfId="0" applyNumberFormat="1" applyFont="1" applyAlignment="1">
      <alignment horizontal="right"/>
    </xf>
    <xf numFmtId="164" fontId="1" fillId="0" borderId="0" xfId="0" applyNumberFormat="1" applyFont="1"/>
    <xf numFmtId="168" fontId="1" fillId="0" borderId="0" xfId="0" applyNumberFormat="1" applyFont="1"/>
    <xf numFmtId="168" fontId="1" fillId="0" borderId="0" xfId="0" applyNumberFormat="1" applyFont="1" applyAlignment="1">
      <alignment horizontal="center"/>
    </xf>
    <xf numFmtId="166" fontId="1" fillId="0" borderId="0" xfId="0" applyNumberFormat="1" applyFont="1"/>
    <xf numFmtId="0" fontId="1" fillId="0" borderId="0" xfId="0" applyFont="1" applyAlignment="1">
      <alignment horizontal="center"/>
    </xf>
    <xf numFmtId="3" fontId="1" fillId="0" borderId="0" xfId="0" applyNumberFormat="1" applyFont="1"/>
    <xf numFmtId="0" fontId="3" fillId="0" borderId="0" xfId="0" applyFont="1" applyAlignment="1">
      <alignment horizontal="right" vertical="center"/>
    </xf>
    <xf numFmtId="0" fontId="3" fillId="0" borderId="0" xfId="0" applyFont="1"/>
    <xf numFmtId="0" fontId="1" fillId="0" borderId="0" xfId="0" applyFont="1" applyAlignment="1">
      <alignment horizontal="right"/>
    </xf>
    <xf numFmtId="0" fontId="3" fillId="0" borderId="0" xfId="0" applyFont="1" applyAlignment="1">
      <alignment horizontal="left" vertical="center"/>
    </xf>
    <xf numFmtId="0" fontId="4" fillId="0" borderId="0" xfId="0" applyFont="1"/>
    <xf numFmtId="0" fontId="1" fillId="0" borderId="0" xfId="0" applyFont="1" applyAlignment="1">
      <alignment horizontal="right" vertical="center"/>
    </xf>
    <xf numFmtId="0" fontId="6" fillId="0" borderId="0" xfId="0" applyFont="1" applyAlignment="1">
      <alignment horizontal="center"/>
    </xf>
    <xf numFmtId="0" fontId="6" fillId="0" borderId="2" xfId="0" applyFont="1" applyBorder="1" applyAlignment="1">
      <alignment horizontal="center" vertical="center"/>
    </xf>
    <xf numFmtId="164"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0" fontId="6" fillId="0" borderId="1" xfId="0" applyFont="1" applyBorder="1" applyAlignment="1">
      <alignment horizontal="center" vertical="center"/>
    </xf>
    <xf numFmtId="165" fontId="6" fillId="0" borderId="1" xfId="0" applyNumberFormat="1" applyFont="1" applyBorder="1" applyAlignment="1">
      <alignment horizontal="right" vertical="center"/>
    </xf>
    <xf numFmtId="166" fontId="6" fillId="0" borderId="1" xfId="0" applyNumberFormat="1" applyFont="1" applyBorder="1" applyAlignment="1">
      <alignment horizontal="center" vertical="center" wrapText="1"/>
    </xf>
    <xf numFmtId="3" fontId="6" fillId="0" borderId="1" xfId="0" applyNumberFormat="1" applyFont="1" applyBorder="1" applyAlignment="1">
      <alignment horizontal="center" vertical="center"/>
    </xf>
    <xf numFmtId="167"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wrapText="1"/>
    </xf>
    <xf numFmtId="0" fontId="6" fillId="0" borderId="1" xfId="0" applyNumberFormat="1" applyFont="1" applyBorder="1" applyAlignment="1">
      <alignment horizontal="center" vertical="center" wrapText="1"/>
    </xf>
    <xf numFmtId="0" fontId="6" fillId="0" borderId="0" xfId="0" applyFont="1"/>
    <xf numFmtId="0" fontId="6" fillId="0" borderId="8" xfId="0" applyFont="1" applyBorder="1"/>
    <xf numFmtId="0" fontId="6" fillId="0" borderId="9" xfId="0" applyFont="1" applyBorder="1"/>
    <xf numFmtId="0" fontId="6" fillId="0" borderId="9" xfId="0" applyFont="1" applyBorder="1" applyAlignment="1">
      <alignment horizontal="center"/>
    </xf>
    <xf numFmtId="3" fontId="6" fillId="0" borderId="9" xfId="0" quotePrefix="1" applyNumberFormat="1" applyFont="1" applyFill="1" applyBorder="1" applyAlignment="1">
      <alignment horizontal="right"/>
    </xf>
    <xf numFmtId="164" fontId="6" fillId="0" borderId="9" xfId="0" applyNumberFormat="1" applyFont="1" applyBorder="1"/>
    <xf numFmtId="165" fontId="6" fillId="0" borderId="9" xfId="0" applyNumberFormat="1" applyFont="1" applyBorder="1"/>
    <xf numFmtId="166" fontId="6" fillId="0" borderId="9" xfId="0" applyNumberFormat="1" applyFont="1" applyBorder="1"/>
    <xf numFmtId="3" fontId="6" fillId="0" borderId="9" xfId="0" applyNumberFormat="1" applyFont="1" applyBorder="1"/>
    <xf numFmtId="167" fontId="6" fillId="0" borderId="9" xfId="0" applyNumberFormat="1" applyFont="1" applyBorder="1"/>
    <xf numFmtId="2" fontId="6" fillId="0" borderId="9" xfId="0" applyNumberFormat="1" applyFont="1" applyBorder="1"/>
    <xf numFmtId="3" fontId="6" fillId="0" borderId="0" xfId="0" applyNumberFormat="1" applyFont="1" applyAlignment="1">
      <alignment horizontal="right"/>
    </xf>
    <xf numFmtId="164" fontId="6" fillId="0" borderId="0" xfId="0" applyNumberFormat="1" applyFont="1"/>
    <xf numFmtId="165" fontId="6" fillId="0" borderId="0" xfId="0" applyNumberFormat="1" applyFont="1"/>
    <xf numFmtId="166" fontId="6" fillId="0" borderId="0" xfId="0" applyNumberFormat="1" applyFont="1"/>
    <xf numFmtId="3" fontId="6" fillId="0" borderId="0" xfId="0" applyNumberFormat="1" applyFont="1"/>
    <xf numFmtId="167" fontId="6" fillId="0" borderId="0" xfId="0" applyNumberFormat="1" applyFont="1"/>
    <xf numFmtId="2" fontId="6" fillId="0" borderId="0" xfId="0" applyNumberFormat="1" applyFont="1"/>
    <xf numFmtId="0" fontId="6" fillId="0" borderId="0" xfId="0" applyNumberFormat="1" applyFont="1" applyAlignment="1">
      <alignment horizontal="center"/>
    </xf>
    <xf numFmtId="0" fontId="1" fillId="0" borderId="0" xfId="0" applyFont="1" applyAlignment="1">
      <alignment horizontal="left"/>
    </xf>
    <xf numFmtId="0" fontId="6" fillId="0" borderId="11" xfId="0" applyFont="1" applyBorder="1" applyAlignment="1">
      <alignment horizontal="center"/>
    </xf>
    <xf numFmtId="3" fontId="6" fillId="0" borderId="11" xfId="0" applyNumberFormat="1" applyFont="1" applyBorder="1" applyAlignment="1">
      <alignment horizontal="center"/>
    </xf>
    <xf numFmtId="3" fontId="6" fillId="0" borderId="11" xfId="0" quotePrefix="1" applyNumberFormat="1" applyFont="1" applyBorder="1" applyAlignment="1">
      <alignment horizontal="center" vertical="center"/>
    </xf>
    <xf numFmtId="0" fontId="6" fillId="0" borderId="11" xfId="0" applyFont="1" applyBorder="1" applyAlignment="1">
      <alignment horizontal="center" vertical="center"/>
    </xf>
    <xf numFmtId="0" fontId="1" fillId="0" borderId="0" xfId="0" applyFont="1" applyAlignment="1">
      <alignment horizontal="left"/>
    </xf>
    <xf numFmtId="2" fontId="6" fillId="0" borderId="11" xfId="0" applyNumberFormat="1" applyFont="1" applyBorder="1" applyAlignment="1">
      <alignment horizontal="center" vertical="center" wrapText="1"/>
    </xf>
    <xf numFmtId="167" fontId="6" fillId="0" borderId="11" xfId="0" applyNumberFormat="1" applyFont="1" applyBorder="1" applyAlignment="1">
      <alignment horizontal="center" vertical="center"/>
    </xf>
    <xf numFmtId="3" fontId="6" fillId="0" borderId="11" xfId="0" applyNumberFormat="1"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xf>
    <xf numFmtId="0" fontId="3" fillId="0" borderId="0" xfId="0" applyFont="1" applyAlignment="1">
      <alignment horizontal="right"/>
    </xf>
    <xf numFmtId="0" fontId="4" fillId="0" borderId="0" xfId="0" applyFont="1" applyAlignment="1">
      <alignment horizontal="right"/>
    </xf>
    <xf numFmtId="0" fontId="6" fillId="0" borderId="9" xfId="0" applyFont="1" applyBorder="1" applyAlignment="1">
      <alignment horizontal="left"/>
    </xf>
    <xf numFmtId="0" fontId="6" fillId="0" borderId="9" xfId="0" applyNumberFormat="1" applyFont="1" applyBorder="1" applyAlignment="1">
      <alignment horizontal="center"/>
    </xf>
    <xf numFmtId="0" fontId="15" fillId="0" borderId="0" xfId="0" applyFont="1"/>
    <xf numFmtId="0" fontId="1" fillId="0" borderId="0" xfId="0" applyFont="1" applyAlignment="1">
      <alignment horizontal="left"/>
    </xf>
    <xf numFmtId="0" fontId="1" fillId="0" borderId="0" xfId="0" applyFont="1" applyAlignment="1">
      <alignment horizontal="left" wrapText="1"/>
    </xf>
    <xf numFmtId="0" fontId="3" fillId="0" borderId="0" xfId="0" applyFont="1" applyAlignment="1">
      <alignment horizontal="left" vertical="center"/>
    </xf>
    <xf numFmtId="0" fontId="6" fillId="0" borderId="40" xfId="0" applyFont="1" applyBorder="1" applyAlignment="1">
      <alignment horizontal="center" vertical="center"/>
    </xf>
    <xf numFmtId="0" fontId="6" fillId="0" borderId="10" xfId="0" applyFont="1" applyBorder="1" applyAlignment="1">
      <alignment horizontal="right" vertical="center"/>
    </xf>
    <xf numFmtId="164" fontId="6" fillId="0" borderId="10" xfId="0" applyNumberFormat="1" applyFont="1" applyBorder="1" applyAlignment="1">
      <alignment horizontal="center" vertical="center"/>
    </xf>
    <xf numFmtId="165" fontId="6" fillId="0" borderId="10" xfId="0" applyNumberFormat="1" applyFont="1" applyBorder="1" applyAlignment="1">
      <alignment horizontal="center" vertical="center"/>
    </xf>
    <xf numFmtId="0" fontId="6" fillId="0" borderId="10" xfId="0" applyFont="1" applyBorder="1" applyAlignment="1">
      <alignment horizontal="center" vertical="center"/>
    </xf>
    <xf numFmtId="165" fontId="6" fillId="0" borderId="10" xfId="0" applyNumberFormat="1" applyFont="1" applyBorder="1" applyAlignment="1">
      <alignment horizontal="right" vertical="center"/>
    </xf>
    <xf numFmtId="166" fontId="6" fillId="0" borderId="10" xfId="0" applyNumberFormat="1" applyFont="1" applyBorder="1" applyAlignment="1">
      <alignment horizontal="center" vertical="center" wrapText="1"/>
    </xf>
    <xf numFmtId="3" fontId="6" fillId="0" borderId="10" xfId="0" applyNumberFormat="1" applyFont="1" applyBorder="1" applyAlignment="1">
      <alignment horizontal="center" vertical="center"/>
    </xf>
    <xf numFmtId="167" fontId="6" fillId="0" borderId="10" xfId="0" applyNumberFormat="1" applyFont="1" applyBorder="1" applyAlignment="1">
      <alignment horizontal="center" vertical="center"/>
    </xf>
    <xf numFmtId="2" fontId="6" fillId="0" borderId="10" xfId="0" applyNumberFormat="1" applyFont="1" applyBorder="1" applyAlignment="1">
      <alignment horizontal="center" vertical="center"/>
    </xf>
    <xf numFmtId="2" fontId="6" fillId="0" borderId="10" xfId="0" applyNumberFormat="1"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right" vertical="center"/>
    </xf>
    <xf numFmtId="164" fontId="6" fillId="0" borderId="7" xfId="0" applyNumberFormat="1" applyFont="1" applyBorder="1" applyAlignment="1">
      <alignment horizontal="center" vertical="center"/>
    </xf>
    <xf numFmtId="165" fontId="6" fillId="0" borderId="7" xfId="0" applyNumberFormat="1" applyFont="1" applyBorder="1" applyAlignment="1">
      <alignment horizontal="center" vertical="center"/>
    </xf>
    <xf numFmtId="0" fontId="6" fillId="0" borderId="7" xfId="0" applyFont="1" applyBorder="1" applyAlignment="1">
      <alignment horizontal="center" vertical="center"/>
    </xf>
    <xf numFmtId="165" fontId="6" fillId="0" borderId="7" xfId="0" applyNumberFormat="1" applyFont="1" applyBorder="1" applyAlignment="1">
      <alignment horizontal="right" vertical="center"/>
    </xf>
    <xf numFmtId="166" fontId="6" fillId="0" borderId="7" xfId="0" applyNumberFormat="1" applyFont="1" applyBorder="1" applyAlignment="1">
      <alignment horizontal="center" vertical="center" wrapText="1"/>
    </xf>
    <xf numFmtId="3" fontId="6" fillId="0" borderId="7" xfId="0" applyNumberFormat="1" applyFont="1" applyBorder="1" applyAlignment="1">
      <alignment horizontal="center" vertical="center"/>
    </xf>
    <xf numFmtId="167" fontId="6" fillId="0" borderId="7" xfId="0" applyNumberFormat="1" applyFont="1" applyBorder="1" applyAlignment="1">
      <alignment horizontal="center" vertical="center"/>
    </xf>
    <xf numFmtId="2" fontId="6" fillId="0" borderId="7" xfId="0" applyNumberFormat="1" applyFont="1" applyBorder="1" applyAlignment="1">
      <alignment horizontal="center" vertical="center"/>
    </xf>
    <xf numFmtId="2" fontId="6" fillId="0" borderId="7" xfId="0" applyNumberFormat="1" applyFont="1" applyBorder="1" applyAlignment="1">
      <alignment horizontal="center" vertical="center" wrapText="1"/>
    </xf>
    <xf numFmtId="0" fontId="6" fillId="0" borderId="10" xfId="0" applyFont="1" applyBorder="1" applyAlignment="1">
      <alignment horizontal="left" vertical="center"/>
    </xf>
    <xf numFmtId="0" fontId="6" fillId="0" borderId="7" xfId="0" applyFont="1" applyBorder="1" applyAlignment="1">
      <alignment horizontal="left" vertical="center"/>
    </xf>
    <xf numFmtId="0" fontId="6" fillId="0" borderId="10" xfId="0" applyFont="1" applyBorder="1" applyAlignment="1">
      <alignment horizontal="left" vertical="top"/>
    </xf>
    <xf numFmtId="0" fontId="6" fillId="0" borderId="7" xfId="0" applyFont="1" applyBorder="1" applyAlignment="1">
      <alignment horizontal="left" vertical="top"/>
    </xf>
    <xf numFmtId="3" fontId="6" fillId="0" borderId="10" xfId="0" applyNumberFormat="1" applyFont="1" applyBorder="1" applyAlignment="1">
      <alignment horizontal="right" vertical="center"/>
    </xf>
    <xf numFmtId="3" fontId="6" fillId="0" borderId="7" xfId="0" applyNumberFormat="1" applyFont="1" applyBorder="1" applyAlignment="1">
      <alignment horizontal="right" vertical="center"/>
    </xf>
    <xf numFmtId="3" fontId="1" fillId="0" borderId="0" xfId="0" applyNumberFormat="1" applyFont="1" applyAlignment="1">
      <alignment horizontal="left"/>
    </xf>
    <xf numFmtId="3" fontId="3" fillId="0" borderId="0" xfId="0" applyNumberFormat="1" applyFont="1" applyAlignment="1">
      <alignment horizontal="left" vertical="center"/>
    </xf>
    <xf numFmtId="49" fontId="6" fillId="0" borderId="9" xfId="0" applyNumberFormat="1" applyFont="1" applyBorder="1" applyAlignment="1">
      <alignment horizontal="left"/>
    </xf>
    <xf numFmtId="49" fontId="6" fillId="0" borderId="0" xfId="0" applyNumberFormat="1" applyFont="1" applyAlignment="1">
      <alignment horizontal="left"/>
    </xf>
    <xf numFmtId="49" fontId="1" fillId="0" borderId="0" xfId="0" applyNumberFormat="1" applyFont="1" applyAlignment="1">
      <alignment horizontal="left"/>
    </xf>
    <xf numFmtId="49" fontId="1" fillId="0" borderId="0" xfId="0" applyNumberFormat="1" applyFont="1"/>
    <xf numFmtId="49" fontId="3" fillId="0" borderId="0" xfId="0" applyNumberFormat="1" applyFont="1" applyAlignment="1">
      <alignment horizontal="left" vertical="center"/>
    </xf>
    <xf numFmtId="49" fontId="6" fillId="0" borderId="7" xfId="0" applyNumberFormat="1" applyFont="1" applyBorder="1" applyAlignment="1">
      <alignment horizontal="left" vertical="center"/>
    </xf>
    <xf numFmtId="49" fontId="6" fillId="0" borderId="10" xfId="0" applyNumberFormat="1" applyFont="1" applyBorder="1" applyAlignment="1">
      <alignment horizontal="center" vertical="center" wrapText="1"/>
    </xf>
    <xf numFmtId="49" fontId="6" fillId="0" borderId="7" xfId="0" applyNumberFormat="1" applyFont="1" applyBorder="1" applyAlignment="1">
      <alignment horizontal="center" vertical="center" wrapText="1"/>
    </xf>
    <xf numFmtId="164" fontId="6" fillId="0" borderId="47" xfId="0" applyNumberFormat="1" applyFont="1" applyBorder="1" applyAlignment="1">
      <alignment horizontal="center" vertical="center"/>
    </xf>
    <xf numFmtId="165" fontId="6" fillId="0" borderId="47" xfId="0" applyNumberFormat="1" applyFont="1" applyBorder="1" applyAlignment="1">
      <alignment horizontal="center" vertical="center"/>
    </xf>
    <xf numFmtId="0" fontId="6" fillId="0" borderId="47" xfId="0" applyFont="1" applyBorder="1" applyAlignment="1">
      <alignment horizontal="center" vertical="center"/>
    </xf>
    <xf numFmtId="165" fontId="6" fillId="0" borderId="47" xfId="0" applyNumberFormat="1" applyFont="1" applyBorder="1" applyAlignment="1">
      <alignment horizontal="right" vertical="center"/>
    </xf>
    <xf numFmtId="166" fontId="6" fillId="0" borderId="47" xfId="0" applyNumberFormat="1" applyFont="1" applyBorder="1" applyAlignment="1">
      <alignment horizontal="center" vertical="center" wrapText="1"/>
    </xf>
    <xf numFmtId="3" fontId="6" fillId="0" borderId="47" xfId="0" applyNumberFormat="1" applyFont="1" applyBorder="1" applyAlignment="1">
      <alignment horizontal="center" vertical="center"/>
    </xf>
    <xf numFmtId="167" fontId="6" fillId="0" borderId="47" xfId="0" applyNumberFormat="1" applyFont="1" applyBorder="1" applyAlignment="1">
      <alignment horizontal="center" vertical="center"/>
    </xf>
    <xf numFmtId="2" fontId="6" fillId="0" borderId="47" xfId="0" applyNumberFormat="1" applyFont="1" applyBorder="1" applyAlignment="1">
      <alignment horizontal="center" vertical="center"/>
    </xf>
    <xf numFmtId="2" fontId="6" fillId="0" borderId="47" xfId="0" applyNumberFormat="1" applyFont="1" applyBorder="1" applyAlignment="1">
      <alignment horizontal="center" vertical="center" wrapText="1"/>
    </xf>
    <xf numFmtId="49" fontId="16" fillId="0" borderId="7" xfId="0" applyNumberFormat="1" applyFont="1" applyBorder="1" applyAlignment="1">
      <alignment horizontal="center" vertical="center" wrapText="1"/>
    </xf>
    <xf numFmtId="3" fontId="16" fillId="0" borderId="10" xfId="0" applyNumberFormat="1" applyFont="1" applyBorder="1" applyAlignment="1">
      <alignment horizontal="center" vertical="center"/>
    </xf>
    <xf numFmtId="2" fontId="16" fillId="0" borderId="7" xfId="0" applyNumberFormat="1" applyFont="1" applyBorder="1" applyAlignment="1">
      <alignment horizontal="center" vertical="center"/>
    </xf>
    <xf numFmtId="3" fontId="16" fillId="0" borderId="7" xfId="0" applyNumberFormat="1" applyFont="1" applyBorder="1" applyAlignment="1">
      <alignment horizontal="center" vertical="center"/>
    </xf>
    <xf numFmtId="3" fontId="16" fillId="0" borderId="7" xfId="0" applyNumberFormat="1" applyFont="1" applyBorder="1" applyAlignment="1">
      <alignment horizontal="center"/>
    </xf>
    <xf numFmtId="3" fontId="6" fillId="0" borderId="7" xfId="0" applyNumberFormat="1" applyFont="1" applyBorder="1" applyAlignment="1">
      <alignment horizontal="center"/>
    </xf>
    <xf numFmtId="0" fontId="6" fillId="0" borderId="7" xfId="0" applyFont="1" applyBorder="1" applyAlignment="1">
      <alignment horizontal="center"/>
    </xf>
    <xf numFmtId="0" fontId="16" fillId="0" borderId="7" xfId="0" applyFont="1" applyBorder="1" applyAlignment="1">
      <alignment horizontal="center" vertical="center"/>
    </xf>
    <xf numFmtId="0" fontId="6" fillId="0" borderId="48" xfId="0" applyFont="1" applyBorder="1" applyAlignment="1">
      <alignment horizontal="center" vertical="center"/>
    </xf>
    <xf numFmtId="0" fontId="6" fillId="0" borderId="49" xfId="0" applyFont="1" applyBorder="1" applyAlignment="1">
      <alignment horizontal="right" vertical="center"/>
    </xf>
    <xf numFmtId="0" fontId="6" fillId="0" borderId="49" xfId="0" applyFont="1" applyBorder="1" applyAlignment="1">
      <alignment horizontal="left" vertical="top"/>
    </xf>
    <xf numFmtId="0" fontId="6" fillId="0" borderId="49" xfId="0" applyFont="1" applyBorder="1" applyAlignment="1">
      <alignment horizontal="left" vertical="center"/>
    </xf>
    <xf numFmtId="49" fontId="6" fillId="0" borderId="49" xfId="0" applyNumberFormat="1" applyFont="1" applyBorder="1" applyAlignment="1">
      <alignment horizontal="left" vertical="center"/>
    </xf>
    <xf numFmtId="3" fontId="6" fillId="0" borderId="49" xfId="0" applyNumberFormat="1" applyFont="1" applyBorder="1" applyAlignment="1">
      <alignment horizontal="right" vertical="center"/>
    </xf>
    <xf numFmtId="164" fontId="6" fillId="0" borderId="49" xfId="0" applyNumberFormat="1" applyFont="1" applyBorder="1" applyAlignment="1">
      <alignment horizontal="center" vertical="center"/>
    </xf>
    <xf numFmtId="165" fontId="6" fillId="0" borderId="49" xfId="0" applyNumberFormat="1" applyFont="1" applyBorder="1" applyAlignment="1">
      <alignment horizontal="center" vertical="center"/>
    </xf>
    <xf numFmtId="0" fontId="6" fillId="0" borderId="49" xfId="0" applyFont="1" applyBorder="1" applyAlignment="1">
      <alignment horizontal="center" vertical="center"/>
    </xf>
    <xf numFmtId="165" fontId="6" fillId="0" borderId="49" xfId="0" applyNumberFormat="1" applyFont="1" applyBorder="1" applyAlignment="1">
      <alignment horizontal="right" vertical="center"/>
    </xf>
    <xf numFmtId="166" fontId="6" fillId="0" borderId="49" xfId="0" applyNumberFormat="1" applyFont="1" applyBorder="1" applyAlignment="1">
      <alignment horizontal="center" vertical="center" wrapText="1"/>
    </xf>
    <xf numFmtId="3" fontId="6" fillId="0" borderId="49" xfId="0" applyNumberFormat="1" applyFont="1" applyBorder="1" applyAlignment="1">
      <alignment horizontal="center" vertical="center"/>
    </xf>
    <xf numFmtId="167" fontId="6" fillId="0" borderId="49" xfId="0" applyNumberFormat="1" applyFont="1" applyBorder="1" applyAlignment="1">
      <alignment horizontal="center" vertical="center"/>
    </xf>
    <xf numFmtId="2" fontId="6" fillId="0" borderId="49" xfId="0" applyNumberFormat="1" applyFont="1" applyBorder="1" applyAlignment="1">
      <alignment horizontal="center" vertical="center"/>
    </xf>
    <xf numFmtId="2" fontId="6" fillId="0" borderId="49" xfId="0" applyNumberFormat="1" applyFont="1" applyBorder="1" applyAlignment="1">
      <alignment horizontal="center" vertical="center" wrapText="1"/>
    </xf>
    <xf numFmtId="49" fontId="6" fillId="0" borderId="49" xfId="0" applyNumberFormat="1" applyFont="1" applyBorder="1" applyAlignment="1">
      <alignment horizontal="center" vertical="center" wrapText="1"/>
    </xf>
    <xf numFmtId="0" fontId="6" fillId="0" borderId="39" xfId="0" applyFont="1" applyBorder="1" applyAlignment="1">
      <alignment horizontal="left"/>
    </xf>
    <xf numFmtId="0" fontId="6" fillId="0" borderId="13" xfId="0" applyFont="1" applyBorder="1" applyAlignment="1">
      <alignment horizontal="left" vertical="top"/>
    </xf>
    <xf numFmtId="0" fontId="6" fillId="0" borderId="13" xfId="0" applyFont="1" applyBorder="1" applyAlignment="1">
      <alignment vertical="top"/>
    </xf>
    <xf numFmtId="49" fontId="6" fillId="0" borderId="47" xfId="0" applyNumberFormat="1" applyFont="1" applyBorder="1" applyAlignment="1">
      <alignment horizontal="center" vertical="center" wrapText="1"/>
    </xf>
    <xf numFmtId="49" fontId="17" fillId="0" borderId="0" xfId="0" applyNumberFormat="1" applyFont="1"/>
    <xf numFmtId="49" fontId="17" fillId="0" borderId="0" xfId="0" applyNumberFormat="1" applyFont="1" applyAlignment="1">
      <alignment horizontal="right"/>
    </xf>
    <xf numFmtId="0" fontId="6" fillId="0" borderId="49" xfId="0" applyFont="1" applyBorder="1" applyAlignment="1">
      <alignment horizontal="center"/>
    </xf>
    <xf numFmtId="3" fontId="6" fillId="0" borderId="49" xfId="0" applyNumberFormat="1" applyFont="1" applyBorder="1" applyAlignment="1">
      <alignment horizontal="center"/>
    </xf>
    <xf numFmtId="0" fontId="6" fillId="0" borderId="47" xfId="0" applyFont="1" applyBorder="1" applyAlignment="1">
      <alignment horizontal="center"/>
    </xf>
    <xf numFmtId="3" fontId="6" fillId="0" borderId="47" xfId="0" applyNumberFormat="1" applyFont="1" applyBorder="1" applyAlignment="1">
      <alignment horizontal="center"/>
    </xf>
    <xf numFmtId="49" fontId="15" fillId="0" borderId="0" xfId="0" applyNumberFormat="1" applyFont="1" applyAlignment="1">
      <alignment vertical="top" wrapText="1"/>
    </xf>
    <xf numFmtId="49" fontId="15" fillId="0" borderId="0" xfId="0" applyNumberFormat="1" applyFont="1" applyAlignment="1">
      <alignment horizontal="left"/>
    </xf>
    <xf numFmtId="49" fontId="14" fillId="0" borderId="0" xfId="0" applyNumberFormat="1" applyFont="1" applyAlignment="1">
      <alignment horizontal="left" vertical="top"/>
    </xf>
    <xf numFmtId="49" fontId="15" fillId="0" borderId="0" xfId="0" applyNumberFormat="1" applyFont="1" applyAlignment="1">
      <alignment horizontal="left" vertical="top" wrapText="1"/>
    </xf>
    <xf numFmtId="3" fontId="6" fillId="2" borderId="7" xfId="0" applyNumberFormat="1" applyFont="1" applyFill="1" applyBorder="1" applyAlignment="1">
      <alignment horizontal="center" vertical="center"/>
    </xf>
    <xf numFmtId="3" fontId="6" fillId="0" borderId="50" xfId="0" applyNumberFormat="1" applyFont="1" applyBorder="1" applyAlignment="1">
      <alignment horizontal="center"/>
    </xf>
    <xf numFmtId="0" fontId="6" fillId="0" borderId="5" xfId="0" applyFont="1" applyBorder="1" applyAlignment="1">
      <alignment horizontal="left" vertical="center"/>
    </xf>
    <xf numFmtId="0" fontId="6" fillId="0" borderId="51" xfId="0" applyFont="1" applyBorder="1" applyAlignment="1">
      <alignment horizontal="left" vertical="center"/>
    </xf>
    <xf numFmtId="0" fontId="6" fillId="0" borderId="12" xfId="0" applyFont="1" applyBorder="1" applyAlignment="1">
      <alignment horizontal="left" vertical="center"/>
    </xf>
    <xf numFmtId="0" fontId="6" fillId="0" borderId="52" xfId="0" applyFont="1" applyBorder="1"/>
    <xf numFmtId="0" fontId="6" fillId="0" borderId="13" xfId="0" applyFont="1" applyBorder="1" applyAlignment="1">
      <alignment horizontal="left"/>
    </xf>
    <xf numFmtId="0" fontId="16" fillId="0" borderId="13" xfId="0" applyFont="1" applyBorder="1" applyAlignment="1">
      <alignment horizontal="left"/>
    </xf>
    <xf numFmtId="165" fontId="16" fillId="0" borderId="7" xfId="0" applyNumberFormat="1" applyFont="1" applyBorder="1" applyAlignment="1">
      <alignment horizontal="center" vertical="center"/>
    </xf>
    <xf numFmtId="164" fontId="16" fillId="0" borderId="7" xfId="0" applyNumberFormat="1" applyFont="1" applyBorder="1" applyAlignment="1">
      <alignment horizontal="center" vertical="center"/>
    </xf>
    <xf numFmtId="0" fontId="16" fillId="0" borderId="47" xfId="0" applyFont="1" applyBorder="1" applyAlignment="1">
      <alignment horizontal="center" vertical="center"/>
    </xf>
    <xf numFmtId="167" fontId="16" fillId="0" borderId="7" xfId="0" applyNumberFormat="1" applyFont="1" applyBorder="1" applyAlignment="1">
      <alignment horizontal="center" vertical="center"/>
    </xf>
    <xf numFmtId="2" fontId="16" fillId="0" borderId="47" xfId="0" applyNumberFormat="1" applyFont="1" applyBorder="1" applyAlignment="1">
      <alignment horizontal="center" vertical="center"/>
    </xf>
    <xf numFmtId="0" fontId="16" fillId="0" borderId="51" xfId="0" applyFont="1" applyBorder="1" applyAlignment="1">
      <alignment horizontal="left" vertical="center"/>
    </xf>
    <xf numFmtId="49" fontId="16" fillId="0" borderId="47" xfId="0" applyNumberFormat="1" applyFont="1" applyBorder="1" applyAlignment="1">
      <alignment horizontal="center" vertical="center" wrapText="1"/>
    </xf>
    <xf numFmtId="0" fontId="16" fillId="0" borderId="12" xfId="0" applyFont="1" applyBorder="1" applyAlignment="1">
      <alignment horizontal="left" vertical="center"/>
    </xf>
    <xf numFmtId="3" fontId="6" fillId="3" borderId="7" xfId="0" applyNumberFormat="1" applyFont="1" applyFill="1" applyBorder="1" applyAlignment="1">
      <alignment horizontal="center" vertical="center"/>
    </xf>
    <xf numFmtId="3" fontId="16" fillId="0" borderId="49" xfId="0" applyNumberFormat="1" applyFont="1" applyBorder="1" applyAlignment="1">
      <alignment horizontal="center" vertical="center"/>
    </xf>
    <xf numFmtId="3" fontId="16" fillId="0" borderId="49" xfId="0" applyNumberFormat="1" applyFont="1" applyBorder="1" applyAlignment="1">
      <alignment horizontal="center"/>
    </xf>
    <xf numFmtId="3" fontId="16" fillId="0" borderId="50" xfId="0" applyNumberFormat="1" applyFont="1" applyBorder="1" applyAlignment="1">
      <alignment horizontal="center"/>
    </xf>
    <xf numFmtId="0" fontId="6" fillId="0" borderId="53" xfId="0" applyFont="1" applyBorder="1" applyAlignment="1">
      <alignment horizontal="left"/>
    </xf>
    <xf numFmtId="0" fontId="1" fillId="0" borderId="7" xfId="0" applyFont="1" applyBorder="1" applyAlignment="1">
      <alignment horizontal="center"/>
    </xf>
    <xf numFmtId="3" fontId="1" fillId="0" borderId="7" xfId="0" applyNumberFormat="1" applyFont="1" applyBorder="1" applyAlignment="1">
      <alignment horizontal="center"/>
    </xf>
    <xf numFmtId="0" fontId="18" fillId="0" borderId="10" xfId="0" applyFont="1" applyBorder="1" applyAlignment="1">
      <alignment horizontal="center"/>
    </xf>
    <xf numFmtId="3" fontId="1" fillId="0" borderId="10" xfId="0" applyNumberFormat="1" applyFont="1" applyBorder="1" applyAlignment="1">
      <alignment horizontal="center"/>
    </xf>
    <xf numFmtId="0" fontId="1" fillId="0" borderId="10" xfId="0" applyFont="1" applyBorder="1" applyAlignment="1">
      <alignment horizontal="center"/>
    </xf>
    <xf numFmtId="3" fontId="18" fillId="0" borderId="10" xfId="0" applyNumberFormat="1" applyFont="1" applyBorder="1" applyAlignment="1">
      <alignment horizontal="center"/>
    </xf>
    <xf numFmtId="3" fontId="18" fillId="0" borderId="46" xfId="0" applyNumberFormat="1" applyFont="1" applyBorder="1" applyAlignment="1">
      <alignment horizontal="center"/>
    </xf>
    <xf numFmtId="0" fontId="1" fillId="0" borderId="49" xfId="0" applyFont="1" applyBorder="1" applyAlignment="1">
      <alignment horizontal="center"/>
    </xf>
    <xf numFmtId="3" fontId="1" fillId="0" borderId="49" xfId="0" applyNumberFormat="1" applyFont="1" applyBorder="1" applyAlignment="1">
      <alignment horizontal="center"/>
    </xf>
    <xf numFmtId="3" fontId="18" fillId="0" borderId="49" xfId="0" applyNumberFormat="1" applyFont="1" applyBorder="1" applyAlignment="1">
      <alignment horizontal="center"/>
    </xf>
    <xf numFmtId="3" fontId="18" fillId="0" borderId="50" xfId="0" applyNumberFormat="1" applyFont="1" applyBorder="1" applyAlignment="1">
      <alignment horizontal="center"/>
    </xf>
    <xf numFmtId="3" fontId="18" fillId="0" borderId="7" xfId="0" applyNumberFormat="1" applyFont="1" applyBorder="1" applyAlignment="1">
      <alignment horizontal="center"/>
    </xf>
    <xf numFmtId="0" fontId="6" fillId="0" borderId="54" xfId="0" applyFont="1" applyBorder="1" applyAlignment="1">
      <alignment horizontal="center" vertical="center"/>
    </xf>
    <xf numFmtId="0" fontId="6" fillId="0" borderId="47" xfId="0" applyFont="1" applyBorder="1" applyAlignment="1">
      <alignment horizontal="right" vertical="center"/>
    </xf>
    <xf numFmtId="0" fontId="6" fillId="0" borderId="47" xfId="0" applyFont="1" applyBorder="1" applyAlignment="1">
      <alignment horizontal="left" vertical="top"/>
    </xf>
    <xf numFmtId="0" fontId="6" fillId="0" borderId="47" xfId="0" applyFont="1" applyBorder="1" applyAlignment="1">
      <alignment horizontal="left" vertical="center"/>
    </xf>
    <xf numFmtId="49" fontId="6" fillId="0" borderId="47" xfId="0" applyNumberFormat="1" applyFont="1" applyBorder="1" applyAlignment="1">
      <alignment horizontal="left" vertical="center"/>
    </xf>
    <xf numFmtId="3" fontId="6" fillId="0" borderId="47" xfId="0" applyNumberFormat="1" applyFont="1" applyBorder="1" applyAlignment="1">
      <alignment horizontal="right" vertical="center"/>
    </xf>
    <xf numFmtId="0" fontId="1" fillId="0" borderId="47" xfId="0" applyFont="1" applyBorder="1" applyAlignment="1">
      <alignment horizontal="center"/>
    </xf>
    <xf numFmtId="3" fontId="1" fillId="0" borderId="47" xfId="0" applyNumberFormat="1" applyFont="1" applyBorder="1" applyAlignment="1">
      <alignment horizontal="center"/>
    </xf>
    <xf numFmtId="0" fontId="6" fillId="0" borderId="49" xfId="0" quotePrefix="1" applyFont="1" applyBorder="1" applyAlignment="1">
      <alignment horizontal="right" vertical="center"/>
    </xf>
    <xf numFmtId="0" fontId="6" fillId="0" borderId="10" xfId="0" quotePrefix="1" applyFont="1" applyBorder="1" applyAlignment="1">
      <alignment horizontal="right" vertical="center"/>
    </xf>
    <xf numFmtId="0" fontId="6" fillId="4" borderId="48" xfId="0" applyFont="1" applyFill="1" applyBorder="1" applyAlignment="1">
      <alignment horizontal="center" vertical="center"/>
    </xf>
    <xf numFmtId="0" fontId="6" fillId="4" borderId="49" xfId="0" applyFont="1" applyFill="1" applyBorder="1" applyAlignment="1">
      <alignment horizontal="right" vertical="center"/>
    </xf>
    <xf numFmtId="0" fontId="6" fillId="4" borderId="49" xfId="0" quotePrefix="1" applyFont="1" applyFill="1" applyBorder="1" applyAlignment="1">
      <alignment horizontal="right" vertical="center"/>
    </xf>
    <xf numFmtId="0" fontId="6" fillId="4" borderId="49" xfId="0" applyFont="1" applyFill="1" applyBorder="1" applyAlignment="1">
      <alignment horizontal="left" vertical="top"/>
    </xf>
    <xf numFmtId="0" fontId="6" fillId="4" borderId="49" xfId="0" applyFont="1" applyFill="1" applyBorder="1" applyAlignment="1">
      <alignment horizontal="left" vertical="center"/>
    </xf>
    <xf numFmtId="49" fontId="6" fillId="4" borderId="49" xfId="0" applyNumberFormat="1" applyFont="1" applyFill="1" applyBorder="1" applyAlignment="1">
      <alignment horizontal="left" vertical="center"/>
    </xf>
    <xf numFmtId="3" fontId="6" fillId="4" borderId="49" xfId="0" applyNumberFormat="1" applyFont="1" applyFill="1" applyBorder="1" applyAlignment="1">
      <alignment horizontal="right" vertical="center"/>
    </xf>
    <xf numFmtId="164" fontId="6" fillId="4" borderId="7" xfId="0" applyNumberFormat="1" applyFont="1" applyFill="1" applyBorder="1" applyAlignment="1">
      <alignment horizontal="center" vertical="center"/>
    </xf>
    <xf numFmtId="165" fontId="16" fillId="4" borderId="7" xfId="0" applyNumberFormat="1" applyFont="1" applyFill="1" applyBorder="1" applyAlignment="1">
      <alignment horizontal="center" vertical="center"/>
    </xf>
    <xf numFmtId="0" fontId="6" fillId="4" borderId="7" xfId="0" applyFont="1" applyFill="1" applyBorder="1" applyAlignment="1">
      <alignment horizontal="center" vertical="center"/>
    </xf>
    <xf numFmtId="165" fontId="6" fillId="4" borderId="7" xfId="0" applyNumberFormat="1" applyFont="1" applyFill="1" applyBorder="1" applyAlignment="1">
      <alignment horizontal="right" vertical="center"/>
    </xf>
    <xf numFmtId="166" fontId="6" fillId="4" borderId="7" xfId="0" applyNumberFormat="1" applyFont="1" applyFill="1" applyBorder="1" applyAlignment="1">
      <alignment horizontal="center" vertical="center" wrapText="1"/>
    </xf>
    <xf numFmtId="0" fontId="16" fillId="4" borderId="7" xfId="0" applyFont="1" applyFill="1" applyBorder="1" applyAlignment="1">
      <alignment horizontal="center" vertical="center"/>
    </xf>
    <xf numFmtId="0" fontId="6" fillId="4" borderId="7" xfId="0" applyFont="1" applyFill="1" applyBorder="1" applyAlignment="1">
      <alignment horizontal="center"/>
    </xf>
    <xf numFmtId="3" fontId="6" fillId="4" borderId="7" xfId="0" applyNumberFormat="1" applyFont="1" applyFill="1" applyBorder="1" applyAlignment="1">
      <alignment horizontal="center"/>
    </xf>
    <xf numFmtId="3" fontId="6" fillId="4" borderId="7" xfId="0" applyNumberFormat="1" applyFont="1" applyFill="1" applyBorder="1" applyAlignment="1">
      <alignment horizontal="center" vertical="center"/>
    </xf>
    <xf numFmtId="167" fontId="6" fillId="4" borderId="7" xfId="0" applyNumberFormat="1" applyFont="1" applyFill="1" applyBorder="1" applyAlignment="1">
      <alignment horizontal="center" vertical="center"/>
    </xf>
    <xf numFmtId="2" fontId="16" fillId="4" borderId="7" xfId="0" applyNumberFormat="1" applyFont="1" applyFill="1" applyBorder="1" applyAlignment="1">
      <alignment horizontal="center" vertical="center"/>
    </xf>
    <xf numFmtId="2" fontId="6" fillId="4" borderId="7" xfId="0" applyNumberFormat="1" applyFont="1" applyFill="1" applyBorder="1" applyAlignment="1">
      <alignment horizontal="center" vertical="center" wrapText="1"/>
    </xf>
    <xf numFmtId="49" fontId="6" fillId="4" borderId="7" xfId="0" applyNumberFormat="1" applyFont="1" applyFill="1" applyBorder="1" applyAlignment="1">
      <alignment horizontal="center" vertical="center" wrapText="1"/>
    </xf>
    <xf numFmtId="0" fontId="6" fillId="4" borderId="51" xfId="0" applyFont="1" applyFill="1" applyBorder="1" applyAlignment="1">
      <alignment horizontal="left" vertical="center"/>
    </xf>
    <xf numFmtId="0" fontId="16" fillId="4" borderId="13" xfId="0" applyFont="1" applyFill="1" applyBorder="1" applyAlignment="1">
      <alignment horizontal="left"/>
    </xf>
    <xf numFmtId="0" fontId="6" fillId="4" borderId="6" xfId="0" applyFont="1" applyFill="1" applyBorder="1" applyAlignment="1">
      <alignment horizontal="center" vertical="center"/>
    </xf>
    <xf numFmtId="0" fontId="6" fillId="4" borderId="7" xfId="0" applyFont="1" applyFill="1" applyBorder="1" applyAlignment="1">
      <alignment horizontal="right" vertical="center"/>
    </xf>
    <xf numFmtId="49" fontId="6" fillId="4" borderId="7" xfId="0" applyNumberFormat="1" applyFont="1" applyFill="1" applyBorder="1" applyAlignment="1">
      <alignment horizontal="left" vertical="center"/>
    </xf>
    <xf numFmtId="3" fontId="6" fillId="4" borderId="7" xfId="0" applyNumberFormat="1" applyFont="1" applyFill="1" applyBorder="1" applyAlignment="1">
      <alignment horizontal="right" vertical="center"/>
    </xf>
    <xf numFmtId="0" fontId="6" fillId="4" borderId="7" xfId="0" applyFont="1" applyFill="1" applyBorder="1" applyAlignment="1">
      <alignment horizontal="left" vertical="center"/>
    </xf>
    <xf numFmtId="0" fontId="6" fillId="4" borderId="13" xfId="0" applyFont="1" applyFill="1" applyBorder="1" applyAlignment="1">
      <alignment vertical="top"/>
    </xf>
    <xf numFmtId="0" fontId="6" fillId="4" borderId="13" xfId="0" applyFont="1" applyFill="1" applyBorder="1" applyAlignment="1">
      <alignment horizontal="left"/>
    </xf>
    <xf numFmtId="0" fontId="6" fillId="4" borderId="10" xfId="0" quotePrefix="1" applyFont="1" applyFill="1" applyBorder="1" applyAlignment="1">
      <alignment horizontal="right" vertical="center"/>
    </xf>
    <xf numFmtId="0" fontId="6" fillId="4" borderId="7" xfId="0" applyFont="1" applyFill="1" applyBorder="1" applyAlignment="1">
      <alignment horizontal="left" vertical="top"/>
    </xf>
    <xf numFmtId="165" fontId="6" fillId="4" borderId="7" xfId="0" applyNumberFormat="1" applyFont="1" applyFill="1" applyBorder="1" applyAlignment="1">
      <alignment horizontal="center" vertical="center"/>
    </xf>
    <xf numFmtId="0" fontId="1" fillId="4" borderId="7" xfId="0" applyFont="1" applyFill="1" applyBorder="1" applyAlignment="1">
      <alignment horizontal="center"/>
    </xf>
    <xf numFmtId="3" fontId="1" fillId="4" borderId="7" xfId="0" applyNumberFormat="1" applyFont="1" applyFill="1" applyBorder="1" applyAlignment="1">
      <alignment horizontal="center"/>
    </xf>
    <xf numFmtId="3" fontId="16" fillId="4" borderId="7" xfId="0" applyNumberFormat="1" applyFont="1" applyFill="1" applyBorder="1" applyAlignment="1">
      <alignment horizontal="center" vertical="center"/>
    </xf>
    <xf numFmtId="3" fontId="18" fillId="4" borderId="7" xfId="0" applyNumberFormat="1" applyFont="1" applyFill="1" applyBorder="1" applyAlignment="1">
      <alignment horizontal="center"/>
    </xf>
    <xf numFmtId="2" fontId="6" fillId="4" borderId="7" xfId="0" applyNumberFormat="1" applyFont="1" applyFill="1" applyBorder="1" applyAlignment="1">
      <alignment horizontal="center" vertical="center"/>
    </xf>
    <xf numFmtId="49" fontId="16" fillId="4" borderId="7" xfId="0" applyNumberFormat="1" applyFont="1" applyFill="1" applyBorder="1" applyAlignment="1">
      <alignment horizontal="center" vertical="center" wrapText="1"/>
    </xf>
    <xf numFmtId="0" fontId="16" fillId="4" borderId="51" xfId="0" applyFont="1" applyFill="1" applyBorder="1" applyAlignment="1">
      <alignment horizontal="left" vertical="center"/>
    </xf>
    <xf numFmtId="0" fontId="6" fillId="4" borderId="13" xfId="0" applyFont="1" applyFill="1" applyBorder="1" applyAlignment="1">
      <alignment horizontal="left" vertical="top"/>
    </xf>
    <xf numFmtId="164" fontId="6" fillId="4" borderId="47" xfId="0" applyNumberFormat="1" applyFont="1" applyFill="1" applyBorder="1" applyAlignment="1">
      <alignment horizontal="center" vertical="center"/>
    </xf>
    <xf numFmtId="165" fontId="6" fillId="4" borderId="47" xfId="0" applyNumberFormat="1" applyFont="1" applyFill="1" applyBorder="1" applyAlignment="1">
      <alignment horizontal="center" vertical="center"/>
    </xf>
    <xf numFmtId="0" fontId="6" fillId="4" borderId="47" xfId="0" applyFont="1" applyFill="1" applyBorder="1" applyAlignment="1">
      <alignment horizontal="center" vertical="center"/>
    </xf>
    <xf numFmtId="165" fontId="6" fillId="4" borderId="47" xfId="0" applyNumberFormat="1" applyFont="1" applyFill="1" applyBorder="1" applyAlignment="1">
      <alignment horizontal="right" vertical="center"/>
    </xf>
    <xf numFmtId="166" fontId="6" fillId="4" borderId="47" xfId="0" applyNumberFormat="1" applyFont="1" applyFill="1" applyBorder="1" applyAlignment="1">
      <alignment horizontal="center" vertical="center" wrapText="1"/>
    </xf>
    <xf numFmtId="0" fontId="16" fillId="4" borderId="47" xfId="0" applyFont="1" applyFill="1" applyBorder="1" applyAlignment="1">
      <alignment horizontal="center" vertical="center"/>
    </xf>
    <xf numFmtId="0" fontId="6" fillId="4" borderId="47" xfId="0" applyFont="1" applyFill="1" applyBorder="1" applyAlignment="1">
      <alignment horizontal="center"/>
    </xf>
    <xf numFmtId="3" fontId="6" fillId="4" borderId="47" xfId="0" applyNumberFormat="1" applyFont="1" applyFill="1" applyBorder="1" applyAlignment="1">
      <alignment horizontal="center"/>
    </xf>
    <xf numFmtId="3" fontId="16" fillId="4" borderId="47" xfId="0" applyNumberFormat="1" applyFont="1" applyFill="1" applyBorder="1" applyAlignment="1">
      <alignment horizontal="center" vertical="center"/>
    </xf>
    <xf numFmtId="167" fontId="6" fillId="4" borderId="47" xfId="0" applyNumberFormat="1" applyFont="1" applyFill="1" applyBorder="1" applyAlignment="1">
      <alignment horizontal="center" vertical="center"/>
    </xf>
    <xf numFmtId="2" fontId="6" fillId="4" borderId="47" xfId="0" applyNumberFormat="1" applyFont="1" applyFill="1" applyBorder="1" applyAlignment="1">
      <alignment horizontal="center" vertical="center"/>
    </xf>
    <xf numFmtId="3" fontId="6" fillId="4" borderId="47" xfId="0" applyNumberFormat="1" applyFont="1" applyFill="1" applyBorder="1" applyAlignment="1">
      <alignment horizontal="center" vertical="center"/>
    </xf>
    <xf numFmtId="2" fontId="6" fillId="4" borderId="47" xfId="0" applyNumberFormat="1" applyFont="1" applyFill="1" applyBorder="1" applyAlignment="1">
      <alignment horizontal="center" vertical="center" wrapText="1"/>
    </xf>
    <xf numFmtId="49" fontId="6" fillId="4" borderId="47" xfId="0" applyNumberFormat="1" applyFont="1" applyFill="1" applyBorder="1" applyAlignment="1">
      <alignment horizontal="center" vertical="center" wrapText="1"/>
    </xf>
    <xf numFmtId="0" fontId="6" fillId="4" borderId="12" xfId="0" applyFont="1" applyFill="1" applyBorder="1" applyAlignment="1">
      <alignment horizontal="left" vertical="center"/>
    </xf>
    <xf numFmtId="0" fontId="6" fillId="0" borderId="0" xfId="0" applyFont="1" applyFill="1"/>
    <xf numFmtId="0" fontId="6" fillId="0" borderId="15" xfId="0" applyFont="1" applyBorder="1" applyAlignment="1">
      <alignment horizontal="left" vertical="top"/>
    </xf>
    <xf numFmtId="0" fontId="6" fillId="0" borderId="14" xfId="0" applyFont="1" applyFill="1" applyBorder="1"/>
    <xf numFmtId="0" fontId="6" fillId="4" borderId="53" xfId="0" applyFont="1" applyFill="1" applyBorder="1" applyAlignment="1">
      <alignment horizontal="left"/>
    </xf>
    <xf numFmtId="0" fontId="6" fillId="5" borderId="4" xfId="0" applyFont="1" applyFill="1" applyBorder="1" applyAlignment="1">
      <alignment horizontal="center"/>
    </xf>
    <xf numFmtId="0" fontId="6" fillId="5" borderId="55" xfId="0" applyFont="1" applyFill="1" applyBorder="1" applyAlignment="1"/>
    <xf numFmtId="0" fontId="6" fillId="5" borderId="57" xfId="0" applyFont="1" applyFill="1" applyBorder="1" applyAlignment="1"/>
    <xf numFmtId="0" fontId="6" fillId="0" borderId="33"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30" xfId="0" applyFont="1" applyBorder="1" applyAlignment="1">
      <alignment horizontal="center" vertical="center" wrapText="1"/>
    </xf>
    <xf numFmtId="0" fontId="17" fillId="5" borderId="26" xfId="0" applyFont="1" applyFill="1" applyBorder="1" applyAlignment="1">
      <alignment horizontal="center" vertical="center" wrapText="1"/>
    </xf>
    <xf numFmtId="0" fontId="17" fillId="5" borderId="27" xfId="0" applyFont="1" applyFill="1" applyBorder="1" applyAlignment="1">
      <alignment horizontal="center" vertical="center"/>
    </xf>
    <xf numFmtId="0" fontId="17" fillId="5" borderId="28" xfId="0" applyFont="1" applyFill="1" applyBorder="1" applyAlignment="1">
      <alignment horizontal="center" vertical="center"/>
    </xf>
    <xf numFmtId="0" fontId="6" fillId="5" borderId="56" xfId="0" applyFont="1" applyFill="1" applyBorder="1" applyAlignment="1">
      <alignment horizontal="left" vertical="top" wrapText="1"/>
    </xf>
    <xf numFmtId="164" fontId="6" fillId="0" borderId="11" xfId="0" applyNumberFormat="1" applyFont="1" applyBorder="1" applyAlignment="1">
      <alignment horizontal="center" vertical="center"/>
    </xf>
    <xf numFmtId="0" fontId="6" fillId="0" borderId="19"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29" xfId="0" applyFont="1" applyBorder="1" applyAlignment="1">
      <alignment horizontal="center" vertical="center" wrapText="1"/>
    </xf>
    <xf numFmtId="165" fontId="6" fillId="0" borderId="11" xfId="0" applyNumberFormat="1" applyFont="1" applyBorder="1" applyAlignment="1">
      <alignment horizontal="center" vertical="center" wrapText="1"/>
    </xf>
    <xf numFmtId="165" fontId="6" fillId="0" borderId="25" xfId="0" applyNumberFormat="1" applyFont="1" applyBorder="1" applyAlignment="1">
      <alignment horizontal="center" vertical="center" wrapText="1"/>
    </xf>
    <xf numFmtId="166" fontId="6" fillId="0" borderId="11" xfId="0" applyNumberFormat="1" applyFont="1" applyBorder="1" applyAlignment="1">
      <alignment horizontal="center" vertical="center" wrapText="1"/>
    </xf>
    <xf numFmtId="166" fontId="6" fillId="0" borderId="25" xfId="0" applyNumberFormat="1" applyFont="1" applyBorder="1" applyAlignment="1">
      <alignment horizontal="center" vertical="center" wrapText="1"/>
    </xf>
    <xf numFmtId="2" fontId="6" fillId="0" borderId="11" xfId="0" applyNumberFormat="1" applyFont="1" applyBorder="1" applyAlignment="1">
      <alignment horizontal="center" vertical="center" wrapText="1"/>
    </xf>
    <xf numFmtId="2" fontId="6" fillId="0" borderId="25" xfId="0" applyNumberFormat="1" applyFont="1" applyBorder="1" applyAlignment="1">
      <alignment horizontal="center" vertical="center" wrapText="1"/>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42" xfId="0" applyFont="1" applyBorder="1" applyAlignment="1">
      <alignment horizontal="center" vertical="center"/>
    </xf>
    <xf numFmtId="0" fontId="6" fillId="0" borderId="0" xfId="0" applyFont="1" applyBorder="1" applyAlignment="1">
      <alignment horizontal="center" vertical="center"/>
    </xf>
    <xf numFmtId="0" fontId="6" fillId="0" borderId="16" xfId="0" applyFont="1" applyBorder="1" applyAlignment="1">
      <alignment horizontal="center" vertical="center"/>
    </xf>
    <xf numFmtId="0" fontId="6" fillId="0" borderId="17" xfId="0" applyFont="1" applyBorder="1" applyAlignment="1">
      <alignment horizontal="center" vertical="center"/>
    </xf>
    <xf numFmtId="3" fontId="6" fillId="0" borderId="19" xfId="0" quotePrefix="1" applyNumberFormat="1" applyFont="1" applyBorder="1" applyAlignment="1">
      <alignment horizontal="center" vertical="center" wrapText="1"/>
    </xf>
    <xf numFmtId="3" fontId="6" fillId="0" borderId="20" xfId="0" quotePrefix="1" applyNumberFormat="1" applyFont="1" applyBorder="1" applyAlignment="1">
      <alignment horizontal="center" vertical="center" wrapText="1"/>
    </xf>
    <xf numFmtId="3" fontId="6" fillId="0" borderId="21" xfId="0" quotePrefix="1" applyNumberFormat="1" applyFont="1" applyBorder="1" applyAlignment="1">
      <alignment horizontal="center" vertical="center" wrapText="1"/>
    </xf>
    <xf numFmtId="3" fontId="6" fillId="0" borderId="18" xfId="0" quotePrefix="1"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2" fontId="6" fillId="0" borderId="22" xfId="0" applyNumberFormat="1" applyFont="1" applyBorder="1" applyAlignment="1">
      <alignment horizontal="center" vertical="center" wrapText="1"/>
    </xf>
    <xf numFmtId="2" fontId="6" fillId="0" borderId="20" xfId="0" applyNumberFormat="1" applyFont="1" applyBorder="1" applyAlignment="1">
      <alignment horizontal="center" vertical="center" wrapText="1"/>
    </xf>
    <xf numFmtId="2" fontId="6" fillId="0" borderId="21" xfId="0" applyNumberFormat="1" applyFont="1" applyBorder="1" applyAlignment="1">
      <alignment horizontal="center" vertical="center" wrapText="1"/>
    </xf>
    <xf numFmtId="2" fontId="6" fillId="0" borderId="17" xfId="0" applyNumberFormat="1" applyFont="1" applyBorder="1" applyAlignment="1">
      <alignment horizontal="center" vertical="center" wrapText="1"/>
    </xf>
    <xf numFmtId="2" fontId="6" fillId="0" borderId="18" xfId="0" applyNumberFormat="1" applyFont="1" applyBorder="1" applyAlignment="1">
      <alignment horizontal="center" vertical="center" wrapText="1"/>
    </xf>
    <xf numFmtId="0" fontId="6" fillId="0" borderId="23" xfId="0" applyNumberFormat="1" applyFont="1" applyBorder="1" applyAlignment="1">
      <alignment horizontal="center" vertical="center" wrapText="1"/>
    </xf>
    <xf numFmtId="0" fontId="6" fillId="0" borderId="24" xfId="0" applyNumberFormat="1" applyFont="1" applyBorder="1" applyAlignment="1">
      <alignment horizontal="center" vertical="center" wrapText="1"/>
    </xf>
    <xf numFmtId="0" fontId="6" fillId="0" borderId="11" xfId="0" applyFont="1" applyBorder="1" applyAlignment="1">
      <alignment horizontal="center" vertical="center"/>
    </xf>
    <xf numFmtId="2" fontId="6" fillId="0" borderId="11" xfId="0" applyNumberFormat="1" applyFont="1" applyBorder="1" applyAlignment="1">
      <alignment horizontal="center" vertical="center"/>
    </xf>
    <xf numFmtId="0" fontId="6" fillId="0" borderId="11" xfId="0" applyNumberFormat="1" applyFont="1" applyBorder="1" applyAlignment="1">
      <alignment horizontal="center" vertical="center" wrapText="1"/>
    </xf>
    <xf numFmtId="165" fontId="6" fillId="0" borderId="11" xfId="0" applyNumberFormat="1" applyFont="1" applyBorder="1" applyAlignment="1">
      <alignment horizontal="center" vertical="center"/>
    </xf>
    <xf numFmtId="167" fontId="6" fillId="0" borderId="11" xfId="0" applyNumberFormat="1" applyFont="1" applyBorder="1" applyAlignment="1">
      <alignment horizontal="center" vertical="center"/>
    </xf>
    <xf numFmtId="3" fontId="6" fillId="0" borderId="11" xfId="0" applyNumberFormat="1" applyFont="1" applyBorder="1" applyAlignment="1">
      <alignment horizontal="center" vertical="center"/>
    </xf>
    <xf numFmtId="0" fontId="6" fillId="0" borderId="36" xfId="0" applyFont="1" applyBorder="1" applyAlignment="1">
      <alignment horizontal="center" vertical="center"/>
    </xf>
    <xf numFmtId="0" fontId="6" fillId="0" borderId="37" xfId="0" applyFont="1" applyBorder="1" applyAlignment="1">
      <alignment horizontal="center" vertical="center"/>
    </xf>
    <xf numFmtId="0" fontId="6" fillId="0" borderId="38" xfId="0" applyFont="1" applyBorder="1" applyAlignment="1">
      <alignment horizontal="center" vertical="center"/>
    </xf>
    <xf numFmtId="0" fontId="6" fillId="0" borderId="41" xfId="0" applyFont="1" applyBorder="1" applyAlignment="1">
      <alignment horizontal="center" vertical="center"/>
    </xf>
    <xf numFmtId="0" fontId="6" fillId="0" borderId="44" xfId="0" applyFont="1" applyBorder="1" applyAlignment="1">
      <alignment horizontal="center" vertical="center"/>
    </xf>
    <xf numFmtId="0" fontId="6" fillId="0" borderId="45" xfId="0" applyFont="1" applyBorder="1" applyAlignment="1">
      <alignment horizontal="center" vertical="center"/>
    </xf>
    <xf numFmtId="0" fontId="6" fillId="0" borderId="29" xfId="0" applyFont="1" applyBorder="1" applyAlignment="1">
      <alignment horizontal="center" vertical="center"/>
    </xf>
    <xf numFmtId="0" fontId="6" fillId="0" borderId="34" xfId="0" applyFont="1" applyBorder="1" applyAlignment="1">
      <alignment horizontal="center" vertical="center"/>
    </xf>
    <xf numFmtId="0" fontId="6" fillId="0" borderId="30" xfId="0" applyFont="1" applyBorder="1" applyAlignment="1">
      <alignment horizontal="center" vertical="center"/>
    </xf>
    <xf numFmtId="0" fontId="1" fillId="0" borderId="11" xfId="0" applyFont="1" applyBorder="1" applyAlignment="1">
      <alignment horizontal="center" vertical="center" wrapText="1"/>
    </xf>
    <xf numFmtId="0" fontId="1" fillId="0" borderId="25" xfId="0" applyFont="1" applyBorder="1" applyAlignment="1">
      <alignment horizontal="center" vertical="center" wrapText="1"/>
    </xf>
    <xf numFmtId="3" fontId="1" fillId="0" borderId="11" xfId="0" applyNumberFormat="1" applyFont="1" applyBorder="1" applyAlignment="1">
      <alignment horizontal="center" vertical="center" wrapText="1"/>
    </xf>
    <xf numFmtId="3" fontId="1" fillId="0" borderId="25" xfId="0" applyNumberFormat="1" applyFont="1" applyBorder="1" applyAlignment="1">
      <alignment horizontal="center" vertical="center" wrapText="1"/>
    </xf>
    <xf numFmtId="3" fontId="6" fillId="0" borderId="33" xfId="0" applyNumberFormat="1" applyFont="1" applyBorder="1" applyAlignment="1">
      <alignment horizontal="center" vertical="center" wrapText="1"/>
    </xf>
    <xf numFmtId="3" fontId="6" fillId="0" borderId="34" xfId="0" applyNumberFormat="1" applyFont="1" applyBorder="1" applyAlignment="1">
      <alignment horizontal="center" vertical="center" wrapText="1"/>
    </xf>
    <xf numFmtId="3" fontId="6" fillId="0" borderId="30" xfId="0" applyNumberFormat="1" applyFont="1" applyBorder="1" applyAlignment="1">
      <alignment horizontal="center" vertical="center" wrapText="1"/>
    </xf>
    <xf numFmtId="49" fontId="6" fillId="0" borderId="33" xfId="0" applyNumberFormat="1" applyFont="1" applyBorder="1" applyAlignment="1">
      <alignment horizontal="center" vertical="center" wrapText="1"/>
    </xf>
    <xf numFmtId="49" fontId="6" fillId="0" borderId="34" xfId="0" applyNumberFormat="1" applyFont="1" applyBorder="1" applyAlignment="1">
      <alignment horizontal="center" vertical="center" wrapText="1"/>
    </xf>
    <xf numFmtId="49" fontId="6" fillId="0" borderId="30" xfId="0" applyNumberFormat="1" applyFont="1" applyBorder="1" applyAlignment="1">
      <alignment horizontal="center" vertical="center" wrapText="1"/>
    </xf>
    <xf numFmtId="0" fontId="6" fillId="0" borderId="35"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0"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25" xfId="0" applyFont="1" applyBorder="1" applyAlignment="1">
      <alignment horizontal="center" vertical="center" wrapText="1"/>
    </xf>
    <xf numFmtId="49" fontId="15" fillId="0" borderId="0" xfId="0" applyNumberFormat="1" applyFont="1" applyAlignment="1">
      <alignment horizontal="left" vertical="top" wrapText="1"/>
    </xf>
    <xf numFmtId="3" fontId="6" fillId="0" borderId="11" xfId="0" applyNumberFormat="1" applyFont="1" applyBorder="1" applyAlignment="1">
      <alignment horizontal="center" vertical="center" wrapText="1"/>
    </xf>
    <xf numFmtId="3" fontId="6" fillId="0" borderId="25" xfId="0" applyNumberFormat="1" applyFont="1" applyBorder="1" applyAlignment="1">
      <alignment horizontal="center" vertical="center" wrapText="1"/>
    </xf>
    <xf numFmtId="0" fontId="6" fillId="0" borderId="11" xfId="0" applyFont="1" applyBorder="1" applyAlignment="1">
      <alignment horizontal="center" wrapText="1"/>
    </xf>
    <xf numFmtId="0" fontId="6" fillId="0" borderId="25" xfId="0" applyFont="1" applyBorder="1" applyAlignment="1">
      <alignment horizontal="center" wrapText="1"/>
    </xf>
    <xf numFmtId="0" fontId="1" fillId="0" borderId="0" xfId="0" applyFont="1" applyAlignment="1">
      <alignment horizontal="left" wrapText="1"/>
    </xf>
    <xf numFmtId="0" fontId="1" fillId="0" borderId="0" xfId="0" applyFont="1" applyAlignment="1">
      <alignment horizontal="left" vertical="top" wrapText="1"/>
    </xf>
    <xf numFmtId="0" fontId="11" fillId="0" borderId="11" xfId="0" applyFont="1" applyBorder="1" applyAlignment="1">
      <alignment horizontal="center" wrapText="1"/>
    </xf>
    <xf numFmtId="0" fontId="11" fillId="0" borderId="25" xfId="0" applyFont="1" applyBorder="1" applyAlignment="1">
      <alignment horizontal="center" wrapText="1"/>
    </xf>
    <xf numFmtId="0" fontId="11" fillId="0" borderId="29" xfId="0" applyFont="1" applyBorder="1" applyAlignment="1">
      <alignment horizontal="center" wrapText="1"/>
    </xf>
    <xf numFmtId="0" fontId="11" fillId="0" borderId="30" xfId="0" applyFont="1" applyBorder="1" applyAlignment="1">
      <alignment horizontal="center" wrapText="1"/>
    </xf>
    <xf numFmtId="0" fontId="6" fillId="0" borderId="3" xfId="0" applyFont="1" applyBorder="1" applyAlignment="1">
      <alignment horizontal="right" vertical="center"/>
    </xf>
    <xf numFmtId="0" fontId="6" fillId="0" borderId="31" xfId="0" applyFont="1" applyBorder="1" applyAlignment="1">
      <alignment horizontal="right" vertical="center"/>
    </xf>
    <xf numFmtId="0" fontId="6" fillId="0" borderId="32" xfId="0" applyFont="1" applyBorder="1" applyAlignment="1">
      <alignment horizontal="right" vertical="center"/>
    </xf>
  </cellXfs>
  <cellStyles count="2">
    <cellStyle name="Normal" xfId="0" builtinId="0"/>
    <cellStyle name="Normal 2"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89"/>
  <sheetViews>
    <sheetView tabSelected="1" zoomScale="80" zoomScaleNormal="80" workbookViewId="0">
      <pane xSplit="5" ySplit="6" topLeftCell="F7" activePane="bottomRight" state="frozen"/>
      <selection pane="topRight" activeCell="F1" sqref="F1"/>
      <selection pane="bottomLeft" activeCell="A7" sqref="A7"/>
      <selection pane="bottomRight" activeCell="V46" sqref="V46"/>
    </sheetView>
  </sheetViews>
  <sheetFormatPr defaultColWidth="9.1796875" defaultRowHeight="14" x14ac:dyDescent="0.3"/>
  <cols>
    <col min="1" max="1" width="4.453125" style="30" customWidth="1"/>
    <col min="2" max="2" width="5.81640625" style="30" customWidth="1"/>
    <col min="3" max="3" width="11.1796875" style="30" customWidth="1"/>
    <col min="4" max="4" width="14.453125" style="30" customWidth="1"/>
    <col min="5" max="5" width="5.81640625" style="30" customWidth="1"/>
    <col min="6" max="6" width="15.453125" style="99" customWidth="1"/>
    <col min="7" max="7" width="7.453125" style="30" customWidth="1"/>
    <col min="8" max="8" width="10.54296875" style="41" customWidth="1"/>
    <col min="9" max="9" width="16.453125" style="30" customWidth="1"/>
    <col min="10" max="10" width="8.54296875" style="42" customWidth="1"/>
    <col min="11" max="11" width="8.54296875" style="43" customWidth="1"/>
    <col min="12" max="12" width="8.54296875" style="30" customWidth="1"/>
    <col min="13" max="13" width="8.54296875" style="43" customWidth="1"/>
    <col min="14" max="14" width="8.54296875" style="44" customWidth="1"/>
    <col min="15" max="15" width="8.54296875" style="18" customWidth="1"/>
    <col min="16" max="16" width="8.54296875" style="30" customWidth="1"/>
    <col min="17" max="18" width="6.54296875" style="18" customWidth="1"/>
    <col min="19" max="19" width="11.54296875" style="30" customWidth="1"/>
    <col min="20" max="21" width="11.54296875" style="45" customWidth="1"/>
    <col min="22" max="23" width="11.54296875" style="30" customWidth="1"/>
    <col min="24" max="24" width="11.54296875" style="45" customWidth="1"/>
    <col min="25" max="27" width="11.54296875" style="30" customWidth="1"/>
    <col min="28" max="28" width="8.54296875" style="30" customWidth="1"/>
    <col min="29" max="29" width="8.54296875" style="46" customWidth="1"/>
    <col min="30" max="30" width="9.54296875" style="46" customWidth="1"/>
    <col min="31" max="31" width="8.54296875" style="47" customWidth="1"/>
    <col min="32" max="32" width="8.54296875" style="45" customWidth="1"/>
    <col min="33" max="34" width="8.54296875" style="47" customWidth="1"/>
    <col min="35" max="35" width="9.54296875" style="47" customWidth="1"/>
    <col min="36" max="36" width="9.54296875" style="48" customWidth="1"/>
    <col min="37" max="37" width="20" style="30" customWidth="1"/>
    <col min="38" max="39" width="68.1796875" style="30" customWidth="1"/>
    <col min="40" max="16384" width="9.1796875" style="30"/>
  </cols>
  <sheetData>
    <row r="1" spans="1:39" s="18" customFormat="1" ht="16.5" customHeight="1" thickTop="1" thickBot="1" x14ac:dyDescent="0.35">
      <c r="A1" s="302" t="s">
        <v>12</v>
      </c>
      <c r="B1" s="258" t="s">
        <v>21</v>
      </c>
      <c r="C1" s="258" t="s">
        <v>151</v>
      </c>
      <c r="D1" s="321" t="s">
        <v>83</v>
      </c>
      <c r="E1" s="322"/>
      <c r="F1" s="318" t="s">
        <v>109</v>
      </c>
      <c r="G1" s="258" t="s">
        <v>19</v>
      </c>
      <c r="H1" s="315" t="s">
        <v>86</v>
      </c>
      <c r="I1" s="258" t="s">
        <v>20</v>
      </c>
      <c r="J1" s="305" t="s">
        <v>13</v>
      </c>
      <c r="K1" s="306"/>
      <c r="L1" s="306"/>
      <c r="M1" s="306"/>
      <c r="N1" s="306"/>
      <c r="O1" s="306"/>
      <c r="P1" s="306"/>
      <c r="Q1" s="306"/>
      <c r="R1" s="306"/>
      <c r="S1" s="306"/>
      <c r="T1" s="306"/>
      <c r="U1" s="306"/>
      <c r="V1" s="306"/>
      <c r="W1" s="306"/>
      <c r="X1" s="306"/>
      <c r="Y1" s="306"/>
      <c r="Z1" s="306"/>
      <c r="AA1" s="306"/>
      <c r="AB1" s="306"/>
      <c r="AC1" s="306"/>
      <c r="AD1" s="306"/>
      <c r="AE1" s="306"/>
      <c r="AF1" s="306"/>
      <c r="AG1" s="306"/>
      <c r="AH1" s="306"/>
      <c r="AI1" s="306"/>
      <c r="AJ1" s="306"/>
      <c r="AK1" s="307"/>
      <c r="AL1" s="277" t="s">
        <v>152</v>
      </c>
      <c r="AM1" s="261" t="s">
        <v>153</v>
      </c>
    </row>
    <row r="2" spans="1:39" s="18" customFormat="1" ht="15.75" customHeight="1" thickBot="1" x14ac:dyDescent="0.35">
      <c r="A2" s="303"/>
      <c r="B2" s="259"/>
      <c r="C2" s="259"/>
      <c r="D2" s="323"/>
      <c r="E2" s="324"/>
      <c r="F2" s="319"/>
      <c r="G2" s="259"/>
      <c r="H2" s="316"/>
      <c r="I2" s="259"/>
      <c r="J2" s="265" t="s">
        <v>8</v>
      </c>
      <c r="K2" s="299" t="s">
        <v>0</v>
      </c>
      <c r="L2" s="296" t="s">
        <v>9</v>
      </c>
      <c r="M2" s="299" t="s">
        <v>1</v>
      </c>
      <c r="N2" s="273" t="s">
        <v>2</v>
      </c>
      <c r="O2" s="296" t="s">
        <v>3</v>
      </c>
      <c r="P2" s="296" t="s">
        <v>10</v>
      </c>
      <c r="Q2" s="296" t="s">
        <v>108</v>
      </c>
      <c r="R2" s="296"/>
      <c r="S2" s="296" t="s">
        <v>77</v>
      </c>
      <c r="T2" s="296"/>
      <c r="U2" s="296"/>
      <c r="V2" s="296"/>
      <c r="W2" s="296"/>
      <c r="X2" s="296"/>
      <c r="Y2" s="296"/>
      <c r="Z2" s="296"/>
      <c r="AA2" s="296"/>
      <c r="AB2" s="296"/>
      <c r="AC2" s="300" t="s">
        <v>15</v>
      </c>
      <c r="AD2" s="300"/>
      <c r="AE2" s="297" t="s">
        <v>5</v>
      </c>
      <c r="AF2" s="301" t="s">
        <v>6</v>
      </c>
      <c r="AG2" s="275" t="s">
        <v>11</v>
      </c>
      <c r="AH2" s="275"/>
      <c r="AI2" s="275"/>
      <c r="AJ2" s="298" t="s">
        <v>7</v>
      </c>
      <c r="AK2" s="308" t="s">
        <v>110</v>
      </c>
      <c r="AL2" s="278"/>
      <c r="AM2" s="262"/>
    </row>
    <row r="3" spans="1:39" s="18" customFormat="1" ht="17.5" thickBot="1" x14ac:dyDescent="0.5">
      <c r="A3" s="304"/>
      <c r="B3" s="260"/>
      <c r="C3" s="260"/>
      <c r="D3" s="268"/>
      <c r="E3" s="325"/>
      <c r="F3" s="320"/>
      <c r="G3" s="260"/>
      <c r="H3" s="317"/>
      <c r="I3" s="260"/>
      <c r="J3" s="265"/>
      <c r="K3" s="299"/>
      <c r="L3" s="296"/>
      <c r="M3" s="299"/>
      <c r="N3" s="273"/>
      <c r="O3" s="296"/>
      <c r="P3" s="296"/>
      <c r="Q3" s="53" t="s">
        <v>35</v>
      </c>
      <c r="R3" s="53" t="s">
        <v>36</v>
      </c>
      <c r="S3" s="50" t="s">
        <v>58</v>
      </c>
      <c r="T3" s="51" t="s">
        <v>59</v>
      </c>
      <c r="U3" s="51" t="s">
        <v>60</v>
      </c>
      <c r="V3" s="50" t="s">
        <v>61</v>
      </c>
      <c r="W3" s="57" t="s">
        <v>4</v>
      </c>
      <c r="X3" s="51" t="s">
        <v>62</v>
      </c>
      <c r="Y3" s="50" t="s">
        <v>63</v>
      </c>
      <c r="Z3" s="50" t="s">
        <v>64</v>
      </c>
      <c r="AA3" s="50" t="s">
        <v>65</v>
      </c>
      <c r="AB3" s="50" t="s">
        <v>34</v>
      </c>
      <c r="AC3" s="52" t="s">
        <v>66</v>
      </c>
      <c r="AD3" s="56" t="s">
        <v>67</v>
      </c>
      <c r="AE3" s="297"/>
      <c r="AF3" s="301"/>
      <c r="AG3" s="55" t="s">
        <v>16</v>
      </c>
      <c r="AH3" s="55" t="s">
        <v>17</v>
      </c>
      <c r="AI3" s="55" t="s">
        <v>18</v>
      </c>
      <c r="AJ3" s="298"/>
      <c r="AK3" s="309"/>
      <c r="AL3" s="278"/>
      <c r="AM3" s="262"/>
    </row>
    <row r="4" spans="1:39" s="18" customFormat="1" ht="16.5" customHeight="1" thickTop="1" thickBot="1" x14ac:dyDescent="0.35">
      <c r="A4" s="280" t="s">
        <v>69</v>
      </c>
      <c r="B4" s="281"/>
      <c r="C4" s="281"/>
      <c r="D4" s="281"/>
      <c r="E4" s="281"/>
      <c r="F4" s="281"/>
      <c r="G4" s="281"/>
      <c r="H4" s="281"/>
      <c r="I4" s="281"/>
      <c r="J4" s="335" t="s">
        <v>68</v>
      </c>
      <c r="K4" s="337" t="s">
        <v>70</v>
      </c>
      <c r="L4" s="270" t="s">
        <v>71</v>
      </c>
      <c r="M4" s="271" t="s">
        <v>72</v>
      </c>
      <c r="N4" s="273" t="s">
        <v>73</v>
      </c>
      <c r="O4" s="326" t="s">
        <v>74</v>
      </c>
      <c r="P4" s="326" t="s">
        <v>75</v>
      </c>
      <c r="Q4" s="266" t="s">
        <v>76</v>
      </c>
      <c r="R4" s="267"/>
      <c r="S4" s="311" t="s">
        <v>99</v>
      </c>
      <c r="T4" s="313" t="s">
        <v>107</v>
      </c>
      <c r="U4" s="313" t="s">
        <v>100</v>
      </c>
      <c r="V4" s="311" t="s">
        <v>101</v>
      </c>
      <c r="W4" s="313" t="s">
        <v>102</v>
      </c>
      <c r="X4" s="313" t="s">
        <v>103</v>
      </c>
      <c r="Y4" s="311" t="s">
        <v>104</v>
      </c>
      <c r="Z4" s="311" t="s">
        <v>105</v>
      </c>
      <c r="AA4" s="311" t="s">
        <v>106</v>
      </c>
      <c r="AB4" s="331"/>
      <c r="AC4" s="284" t="s">
        <v>80</v>
      </c>
      <c r="AD4" s="285"/>
      <c r="AE4" s="275" t="s">
        <v>81</v>
      </c>
      <c r="AF4" s="329" t="s">
        <v>78</v>
      </c>
      <c r="AG4" s="288" t="s">
        <v>79</v>
      </c>
      <c r="AH4" s="289"/>
      <c r="AI4" s="290"/>
      <c r="AJ4" s="294" t="s">
        <v>82</v>
      </c>
      <c r="AK4" s="309"/>
      <c r="AL4" s="278"/>
      <c r="AM4" s="262"/>
    </row>
    <row r="5" spans="1:39" s="18" customFormat="1" ht="14.5" thickBot="1" x14ac:dyDescent="0.35">
      <c r="A5" s="282"/>
      <c r="B5" s="283"/>
      <c r="C5" s="283"/>
      <c r="D5" s="283"/>
      <c r="E5" s="283"/>
      <c r="F5" s="283"/>
      <c r="G5" s="283"/>
      <c r="H5" s="283"/>
      <c r="I5" s="283"/>
      <c r="J5" s="336"/>
      <c r="K5" s="338"/>
      <c r="L5" s="260"/>
      <c r="M5" s="272"/>
      <c r="N5" s="274"/>
      <c r="O5" s="327"/>
      <c r="P5" s="327"/>
      <c r="Q5" s="268"/>
      <c r="R5" s="269"/>
      <c r="S5" s="312"/>
      <c r="T5" s="314"/>
      <c r="U5" s="314"/>
      <c r="V5" s="312"/>
      <c r="W5" s="314"/>
      <c r="X5" s="314"/>
      <c r="Y5" s="312"/>
      <c r="Z5" s="312"/>
      <c r="AA5" s="312"/>
      <c r="AB5" s="332"/>
      <c r="AC5" s="286"/>
      <c r="AD5" s="287"/>
      <c r="AE5" s="276"/>
      <c r="AF5" s="330"/>
      <c r="AG5" s="291"/>
      <c r="AH5" s="292"/>
      <c r="AI5" s="293"/>
      <c r="AJ5" s="295"/>
      <c r="AK5" s="310"/>
      <c r="AL5" s="279"/>
      <c r="AM5" s="263"/>
    </row>
    <row r="6" spans="1:39" s="18" customFormat="1" ht="15" customHeight="1" thickTop="1" thickBot="1" x14ac:dyDescent="0.35">
      <c r="A6" s="19"/>
      <c r="B6" s="339" t="s">
        <v>22</v>
      </c>
      <c r="C6" s="340"/>
      <c r="D6" s="340"/>
      <c r="E6" s="340"/>
      <c r="F6" s="340"/>
      <c r="G6" s="340"/>
      <c r="H6" s="340"/>
      <c r="I6" s="341"/>
      <c r="J6" s="20" t="s">
        <v>92</v>
      </c>
      <c r="K6" s="21" t="s">
        <v>93</v>
      </c>
      <c r="L6" s="22" t="s">
        <v>94</v>
      </c>
      <c r="M6" s="23" t="s">
        <v>95</v>
      </c>
      <c r="N6" s="24" t="s">
        <v>96</v>
      </c>
      <c r="O6" s="22" t="s">
        <v>14</v>
      </c>
      <c r="P6" s="22"/>
      <c r="Q6" s="22" t="s">
        <v>91</v>
      </c>
      <c r="R6" s="22"/>
      <c r="S6" s="1" t="s">
        <v>23</v>
      </c>
      <c r="T6" s="2"/>
      <c r="U6" s="2"/>
      <c r="V6" s="1" t="s">
        <v>24</v>
      </c>
      <c r="W6" s="25" t="s">
        <v>25</v>
      </c>
      <c r="X6" s="2" t="s">
        <v>97</v>
      </c>
      <c r="Y6" s="1" t="s">
        <v>26</v>
      </c>
      <c r="Z6" s="1" t="s">
        <v>27</v>
      </c>
      <c r="AA6" s="1" t="s">
        <v>28</v>
      </c>
      <c r="AB6" s="1" t="s">
        <v>29</v>
      </c>
      <c r="AC6" s="25" t="s">
        <v>30</v>
      </c>
      <c r="AD6" s="26" t="s">
        <v>31</v>
      </c>
      <c r="AE6" s="27" t="s">
        <v>32</v>
      </c>
      <c r="AF6" s="25" t="s">
        <v>23</v>
      </c>
      <c r="AG6" s="28">
        <v>0</v>
      </c>
      <c r="AH6" s="28">
        <v>0</v>
      </c>
      <c r="AI6" s="28">
        <v>0</v>
      </c>
      <c r="AJ6" s="29"/>
      <c r="AK6" s="58" t="s">
        <v>33</v>
      </c>
      <c r="AL6" s="59"/>
      <c r="AM6" s="255"/>
    </row>
    <row r="7" spans="1:39" s="18" customFormat="1" ht="15" customHeight="1" thickTop="1" x14ac:dyDescent="0.3">
      <c r="A7" s="68">
        <v>1</v>
      </c>
      <c r="B7" s="69">
        <v>1</v>
      </c>
      <c r="C7" s="195" t="s">
        <v>155</v>
      </c>
      <c r="D7" s="92" t="s">
        <v>149</v>
      </c>
      <c r="E7" s="90">
        <v>1</v>
      </c>
      <c r="F7" s="127" t="s">
        <v>117</v>
      </c>
      <c r="G7" s="69">
        <v>2011</v>
      </c>
      <c r="H7" s="94">
        <v>30857</v>
      </c>
      <c r="I7" s="126" t="s">
        <v>130</v>
      </c>
      <c r="J7" s="70">
        <v>1.4E-2</v>
      </c>
      <c r="K7" s="71">
        <v>39.9</v>
      </c>
      <c r="L7" s="72">
        <v>99</v>
      </c>
      <c r="M7" s="73">
        <v>0.5</v>
      </c>
      <c r="N7" s="74">
        <v>0.86929999999999996</v>
      </c>
      <c r="O7" s="72" t="s">
        <v>14</v>
      </c>
      <c r="P7" s="72"/>
      <c r="Q7" s="72">
        <v>9</v>
      </c>
      <c r="R7" s="72" t="s">
        <v>38</v>
      </c>
      <c r="S7" s="176">
        <v>135</v>
      </c>
      <c r="T7" s="177">
        <v>15834</v>
      </c>
      <c r="U7" s="177">
        <v>57625</v>
      </c>
      <c r="V7" s="178">
        <v>27</v>
      </c>
      <c r="W7" s="116">
        <v>807</v>
      </c>
      <c r="X7" s="179">
        <v>3099</v>
      </c>
      <c r="Y7" s="178">
        <v>3</v>
      </c>
      <c r="Z7" s="178">
        <v>4</v>
      </c>
      <c r="AA7" s="178">
        <v>0</v>
      </c>
      <c r="AB7" s="180">
        <f>+AA7+Z7+Y7+W7+V7+S7</f>
        <v>976</v>
      </c>
      <c r="AC7" s="70">
        <v>0</v>
      </c>
      <c r="AD7" s="76">
        <v>7.0000000000000007E-2</v>
      </c>
      <c r="AE7" s="77">
        <v>0.32</v>
      </c>
      <c r="AF7" s="75">
        <v>0</v>
      </c>
      <c r="AG7" s="78">
        <v>0</v>
      </c>
      <c r="AH7" s="78">
        <v>0</v>
      </c>
      <c r="AI7" s="78">
        <v>0.01</v>
      </c>
      <c r="AJ7" s="104" t="s">
        <v>156</v>
      </c>
      <c r="AK7" s="156" t="s">
        <v>136</v>
      </c>
      <c r="AL7" s="139" t="s">
        <v>140</v>
      </c>
      <c r="AM7" s="256"/>
    </row>
    <row r="8" spans="1:39" s="18" customFormat="1" ht="15" customHeight="1" x14ac:dyDescent="0.3">
      <c r="A8" s="123"/>
      <c r="B8" s="124"/>
      <c r="C8" s="124"/>
      <c r="D8" s="125"/>
      <c r="E8" s="126"/>
      <c r="F8" s="127"/>
      <c r="G8" s="124"/>
      <c r="H8" s="128"/>
      <c r="I8" s="126"/>
      <c r="J8" s="129"/>
      <c r="K8" s="130"/>
      <c r="L8" s="131"/>
      <c r="M8" s="132"/>
      <c r="N8" s="133"/>
      <c r="O8" s="131"/>
      <c r="P8" s="131"/>
      <c r="Q8" s="131"/>
      <c r="R8" s="131"/>
      <c r="S8" s="181"/>
      <c r="T8" s="182"/>
      <c r="U8" s="182"/>
      <c r="V8" s="181"/>
      <c r="W8" s="170"/>
      <c r="X8" s="183"/>
      <c r="Y8" s="181"/>
      <c r="Z8" s="181"/>
      <c r="AA8" s="181"/>
      <c r="AB8" s="184"/>
      <c r="AC8" s="129"/>
      <c r="AD8" s="135"/>
      <c r="AE8" s="136"/>
      <c r="AF8" s="134"/>
      <c r="AG8" s="137"/>
      <c r="AH8" s="137"/>
      <c r="AI8" s="137"/>
      <c r="AJ8" s="138"/>
      <c r="AK8" s="155"/>
      <c r="AL8" s="173" t="s">
        <v>150</v>
      </c>
      <c r="AM8" s="264" t="s">
        <v>158</v>
      </c>
    </row>
    <row r="9" spans="1:39" s="18" customFormat="1" ht="15" customHeight="1" x14ac:dyDescent="0.3">
      <c r="A9" s="123"/>
      <c r="B9" s="124"/>
      <c r="C9" s="124"/>
      <c r="D9" s="125"/>
      <c r="E9" s="126"/>
      <c r="F9" s="127"/>
      <c r="G9" s="124"/>
      <c r="H9" s="128"/>
      <c r="I9" s="126"/>
      <c r="J9" s="129"/>
      <c r="K9" s="130"/>
      <c r="L9" s="131"/>
      <c r="M9" s="132"/>
      <c r="N9" s="133"/>
      <c r="O9" s="131"/>
      <c r="P9" s="131"/>
      <c r="Q9" s="131"/>
      <c r="R9" s="131"/>
      <c r="S9" s="181"/>
      <c r="T9" s="182"/>
      <c r="U9" s="182"/>
      <c r="V9" s="181"/>
      <c r="W9" s="170"/>
      <c r="X9" s="183"/>
      <c r="Y9" s="181"/>
      <c r="Z9" s="181"/>
      <c r="AA9" s="181"/>
      <c r="AB9" s="184"/>
      <c r="AC9" s="129"/>
      <c r="AD9" s="135"/>
      <c r="AE9" s="136"/>
      <c r="AF9" s="134"/>
      <c r="AG9" s="137"/>
      <c r="AH9" s="137"/>
      <c r="AI9" s="137"/>
      <c r="AJ9" s="138"/>
      <c r="AK9" s="155"/>
      <c r="AL9" s="173" t="s">
        <v>142</v>
      </c>
      <c r="AM9" s="264"/>
    </row>
    <row r="10" spans="1:39" s="18" customFormat="1" ht="15" customHeight="1" x14ac:dyDescent="0.3">
      <c r="A10" s="123"/>
      <c r="B10" s="124">
        <v>4</v>
      </c>
      <c r="C10" s="194" t="s">
        <v>154</v>
      </c>
      <c r="D10" s="125"/>
      <c r="E10" s="126"/>
      <c r="F10" s="127"/>
      <c r="G10" s="124"/>
      <c r="H10" s="128"/>
      <c r="I10" s="126"/>
      <c r="J10" s="129">
        <v>1.7000000000000001E-2</v>
      </c>
      <c r="K10" s="130">
        <v>41.5</v>
      </c>
      <c r="L10" s="131">
        <v>58</v>
      </c>
      <c r="M10" s="132">
        <v>0.5</v>
      </c>
      <c r="N10" s="133">
        <v>0.86909999999999998</v>
      </c>
      <c r="O10" s="131" t="s">
        <v>14</v>
      </c>
      <c r="P10" s="131"/>
      <c r="Q10" s="131">
        <v>10</v>
      </c>
      <c r="R10" s="131" t="s">
        <v>38</v>
      </c>
      <c r="S10" s="145">
        <v>147</v>
      </c>
      <c r="T10" s="146">
        <v>9471</v>
      </c>
      <c r="U10" s="146">
        <v>4328</v>
      </c>
      <c r="V10" s="145">
        <v>32</v>
      </c>
      <c r="W10" s="170">
        <v>655</v>
      </c>
      <c r="X10" s="171">
        <v>2728</v>
      </c>
      <c r="Y10" s="145">
        <v>4</v>
      </c>
      <c r="Z10" s="145">
        <v>5</v>
      </c>
      <c r="AA10" s="145">
        <v>0</v>
      </c>
      <c r="AB10" s="172">
        <f>+S10+V10+W10+Y10+Z10+AA10</f>
        <v>843</v>
      </c>
      <c r="AC10" s="129">
        <v>0</v>
      </c>
      <c r="AD10" s="135">
        <v>0.14000000000000001</v>
      </c>
      <c r="AE10" s="136">
        <v>0.24</v>
      </c>
      <c r="AF10" s="134">
        <v>0</v>
      </c>
      <c r="AG10" s="137">
        <v>0.02</v>
      </c>
      <c r="AH10" s="137">
        <v>0.01</v>
      </c>
      <c r="AI10" s="137">
        <v>0.01</v>
      </c>
      <c r="AJ10" s="138" t="s">
        <v>131</v>
      </c>
      <c r="AK10" s="155" t="s">
        <v>137</v>
      </c>
      <c r="AL10" s="173" t="s">
        <v>140</v>
      </c>
      <c r="AM10" s="264"/>
    </row>
    <row r="11" spans="1:39" s="18" customFormat="1" ht="15" customHeight="1" x14ac:dyDescent="0.3">
      <c r="A11" s="123"/>
      <c r="B11" s="124"/>
      <c r="C11" s="124"/>
      <c r="D11" s="125"/>
      <c r="E11" s="126"/>
      <c r="F11" s="127"/>
      <c r="G11" s="124"/>
      <c r="H11" s="128"/>
      <c r="I11" s="126"/>
      <c r="J11" s="129"/>
      <c r="K11" s="130"/>
      <c r="L11" s="131"/>
      <c r="M11" s="132"/>
      <c r="N11" s="133"/>
      <c r="O11" s="131"/>
      <c r="P11" s="131"/>
      <c r="Q11" s="131"/>
      <c r="R11" s="131"/>
      <c r="S11" s="145"/>
      <c r="T11" s="146"/>
      <c r="U11" s="146"/>
      <c r="V11" s="145"/>
      <c r="W11" s="134"/>
      <c r="X11" s="146"/>
      <c r="Y11" s="145"/>
      <c r="Z11" s="145"/>
      <c r="AA11" s="145"/>
      <c r="AB11" s="154"/>
      <c r="AC11" s="129"/>
      <c r="AD11" s="135"/>
      <c r="AE11" s="136"/>
      <c r="AF11" s="134"/>
      <c r="AG11" s="137"/>
      <c r="AH11" s="137"/>
      <c r="AI11" s="137"/>
      <c r="AJ11" s="138"/>
      <c r="AK11" s="155"/>
      <c r="AL11" s="159" t="s">
        <v>141</v>
      </c>
      <c r="AM11" s="264"/>
    </row>
    <row r="12" spans="1:39" s="18" customFormat="1" ht="15" customHeight="1" x14ac:dyDescent="0.3">
      <c r="A12" s="123"/>
      <c r="B12" s="124"/>
      <c r="C12" s="124"/>
      <c r="D12" s="125"/>
      <c r="E12" s="126"/>
      <c r="F12" s="127"/>
      <c r="G12" s="124"/>
      <c r="H12" s="128"/>
      <c r="I12" s="126"/>
      <c r="J12" s="129"/>
      <c r="K12" s="130"/>
      <c r="L12" s="131"/>
      <c r="M12" s="132"/>
      <c r="N12" s="133"/>
      <c r="O12" s="131"/>
      <c r="P12" s="131"/>
      <c r="Q12" s="131"/>
      <c r="R12" s="131"/>
      <c r="S12" s="145"/>
      <c r="T12" s="146"/>
      <c r="U12" s="146"/>
      <c r="V12" s="145"/>
      <c r="W12" s="134"/>
      <c r="X12" s="146"/>
      <c r="Y12" s="145"/>
      <c r="Z12" s="145"/>
      <c r="AA12" s="145"/>
      <c r="AB12" s="154"/>
      <c r="AC12" s="129"/>
      <c r="AD12" s="135"/>
      <c r="AE12" s="136"/>
      <c r="AF12" s="134"/>
      <c r="AG12" s="137"/>
      <c r="AH12" s="137"/>
      <c r="AI12" s="137"/>
      <c r="AJ12" s="138"/>
      <c r="AK12" s="155"/>
      <c r="AL12" s="159" t="s">
        <v>142</v>
      </c>
      <c r="AM12" s="264"/>
    </row>
    <row r="13" spans="1:39" s="18" customFormat="1" ht="15" customHeight="1" x14ac:dyDescent="0.3">
      <c r="A13" s="196">
        <v>2</v>
      </c>
      <c r="B13" s="197">
        <v>5</v>
      </c>
      <c r="C13" s="198" t="s">
        <v>154</v>
      </c>
      <c r="D13" s="199" t="s">
        <v>111</v>
      </c>
      <c r="E13" s="200">
        <v>1</v>
      </c>
      <c r="F13" s="201" t="s">
        <v>118</v>
      </c>
      <c r="G13" s="197">
        <v>2010</v>
      </c>
      <c r="H13" s="202">
        <v>1143</v>
      </c>
      <c r="I13" s="200" t="s">
        <v>132</v>
      </c>
      <c r="J13" s="203">
        <v>5.6000000000000001E-2</v>
      </c>
      <c r="K13" s="204">
        <v>25.3</v>
      </c>
      <c r="L13" s="205">
        <v>50</v>
      </c>
      <c r="M13" s="206">
        <v>1.5</v>
      </c>
      <c r="N13" s="207">
        <v>0.85289999999999999</v>
      </c>
      <c r="O13" s="205" t="s">
        <v>14</v>
      </c>
      <c r="P13" s="205"/>
      <c r="Q13" s="205">
        <v>18</v>
      </c>
      <c r="R13" s="208" t="s">
        <v>39</v>
      </c>
      <c r="S13" s="209">
        <v>35</v>
      </c>
      <c r="T13" s="210">
        <v>20494</v>
      </c>
      <c r="U13" s="210">
        <v>67487</v>
      </c>
      <c r="V13" s="209">
        <v>4</v>
      </c>
      <c r="W13" s="211">
        <v>69</v>
      </c>
      <c r="X13" s="210">
        <v>1143</v>
      </c>
      <c r="Y13" s="209">
        <v>0</v>
      </c>
      <c r="Z13" s="209">
        <v>1</v>
      </c>
      <c r="AA13" s="209">
        <v>0</v>
      </c>
      <c r="AB13" s="210">
        <f t="shared" ref="AB13:AB37" si="0">+AA13+Z13+Y13+W13+V13+S13</f>
        <v>109</v>
      </c>
      <c r="AC13" s="203">
        <v>0</v>
      </c>
      <c r="AD13" s="212">
        <v>1.87</v>
      </c>
      <c r="AE13" s="213">
        <v>0</v>
      </c>
      <c r="AF13" s="211">
        <v>0</v>
      </c>
      <c r="AG13" s="214">
        <v>0</v>
      </c>
      <c r="AH13" s="214">
        <v>0.01</v>
      </c>
      <c r="AI13" s="214">
        <v>0.01</v>
      </c>
      <c r="AJ13" s="215" t="s">
        <v>133</v>
      </c>
      <c r="AK13" s="216" t="s">
        <v>136</v>
      </c>
      <c r="AL13" s="217" t="s">
        <v>143</v>
      </c>
      <c r="AM13" s="264"/>
    </row>
    <row r="14" spans="1:39" s="18" customFormat="1" ht="15" customHeight="1" x14ac:dyDescent="0.3">
      <c r="A14" s="79">
        <v>3</v>
      </c>
      <c r="B14" s="80">
        <v>6</v>
      </c>
      <c r="C14" s="194" t="s">
        <v>154</v>
      </c>
      <c r="D14" s="125" t="s">
        <v>112</v>
      </c>
      <c r="E14" s="126">
        <v>1</v>
      </c>
      <c r="F14" s="103" t="s">
        <v>119</v>
      </c>
      <c r="G14" s="80">
        <v>2010</v>
      </c>
      <c r="H14" s="95">
        <v>1143</v>
      </c>
      <c r="I14" s="91" t="s">
        <v>132</v>
      </c>
      <c r="J14" s="81">
        <v>4.2000000000000003E-2</v>
      </c>
      <c r="K14" s="161">
        <v>26.6</v>
      </c>
      <c r="L14" s="83">
        <v>41</v>
      </c>
      <c r="M14" s="84">
        <v>1.5</v>
      </c>
      <c r="N14" s="85">
        <v>0.85399999999999998</v>
      </c>
      <c r="O14" s="83" t="s">
        <v>14</v>
      </c>
      <c r="P14" s="83"/>
      <c r="Q14" s="122">
        <v>21</v>
      </c>
      <c r="R14" s="122" t="s">
        <v>39</v>
      </c>
      <c r="S14" s="121">
        <v>27</v>
      </c>
      <c r="T14" s="120">
        <v>18639</v>
      </c>
      <c r="U14" s="120">
        <v>66781</v>
      </c>
      <c r="V14" s="121">
        <v>3</v>
      </c>
      <c r="W14" s="86">
        <v>64</v>
      </c>
      <c r="X14" s="120">
        <v>1106</v>
      </c>
      <c r="Y14" s="121">
        <v>0</v>
      </c>
      <c r="Z14" s="121">
        <v>1</v>
      </c>
      <c r="AA14" s="121">
        <v>0</v>
      </c>
      <c r="AB14" s="120">
        <f t="shared" si="0"/>
        <v>95</v>
      </c>
      <c r="AC14" s="81">
        <v>0</v>
      </c>
      <c r="AD14" s="87">
        <v>1.9</v>
      </c>
      <c r="AE14" s="117">
        <v>0.02</v>
      </c>
      <c r="AF14" s="153">
        <v>62</v>
      </c>
      <c r="AG14" s="89">
        <v>0</v>
      </c>
      <c r="AH14" s="89">
        <v>0.01</v>
      </c>
      <c r="AI14" s="89">
        <v>0</v>
      </c>
      <c r="AJ14" s="105" t="s">
        <v>134</v>
      </c>
      <c r="AK14" s="156" t="s">
        <v>136</v>
      </c>
      <c r="AL14" s="160" t="s">
        <v>143</v>
      </c>
      <c r="AM14" s="264"/>
    </row>
    <row r="15" spans="1:39" s="18" customFormat="1" ht="15" customHeight="1" x14ac:dyDescent="0.3">
      <c r="A15" s="218">
        <v>4</v>
      </c>
      <c r="B15" s="219">
        <v>7</v>
      </c>
      <c r="C15" s="198" t="s">
        <v>154</v>
      </c>
      <c r="D15" s="199" t="s">
        <v>113</v>
      </c>
      <c r="E15" s="200">
        <v>1</v>
      </c>
      <c r="F15" s="220" t="s">
        <v>120</v>
      </c>
      <c r="G15" s="219">
        <v>2010</v>
      </c>
      <c r="H15" s="221">
        <v>1143</v>
      </c>
      <c r="I15" s="222" t="s">
        <v>132</v>
      </c>
      <c r="J15" s="203">
        <v>4.8000000000000001E-2</v>
      </c>
      <c r="K15" s="204">
        <v>28.4</v>
      </c>
      <c r="L15" s="205">
        <v>44</v>
      </c>
      <c r="M15" s="206">
        <v>1</v>
      </c>
      <c r="N15" s="207">
        <v>0.85370000000000001</v>
      </c>
      <c r="O15" s="205" t="s">
        <v>14</v>
      </c>
      <c r="P15" s="205"/>
      <c r="Q15" s="208">
        <v>32</v>
      </c>
      <c r="R15" s="208" t="s">
        <v>41</v>
      </c>
      <c r="S15" s="209">
        <v>32</v>
      </c>
      <c r="T15" s="210">
        <v>15273</v>
      </c>
      <c r="U15" s="210">
        <v>65111</v>
      </c>
      <c r="V15" s="209">
        <v>5</v>
      </c>
      <c r="W15" s="211">
        <v>95</v>
      </c>
      <c r="X15" s="210">
        <v>1002</v>
      </c>
      <c r="Y15" s="209">
        <v>0</v>
      </c>
      <c r="Z15" s="209">
        <v>2</v>
      </c>
      <c r="AA15" s="209">
        <v>0</v>
      </c>
      <c r="AB15" s="210">
        <f t="shared" si="0"/>
        <v>134</v>
      </c>
      <c r="AC15" s="203">
        <v>0</v>
      </c>
      <c r="AD15" s="212">
        <v>1.7</v>
      </c>
      <c r="AE15" s="213">
        <v>0.01</v>
      </c>
      <c r="AF15" s="211">
        <v>32</v>
      </c>
      <c r="AG15" s="214">
        <v>0.01</v>
      </c>
      <c r="AH15" s="214">
        <v>0.01</v>
      </c>
      <c r="AI15" s="214">
        <v>0.01</v>
      </c>
      <c r="AJ15" s="215" t="s">
        <v>134</v>
      </c>
      <c r="AK15" s="216" t="s">
        <v>33</v>
      </c>
      <c r="AL15" s="223" t="s">
        <v>144</v>
      </c>
      <c r="AM15" s="264"/>
    </row>
    <row r="16" spans="1:39" s="18" customFormat="1" ht="15" customHeight="1" x14ac:dyDescent="0.3">
      <c r="A16" s="218"/>
      <c r="B16" s="219"/>
      <c r="C16" s="197"/>
      <c r="D16" s="199"/>
      <c r="E16" s="200"/>
      <c r="F16" s="220"/>
      <c r="G16" s="219"/>
      <c r="H16" s="221"/>
      <c r="I16" s="222"/>
      <c r="J16" s="203"/>
      <c r="K16" s="204"/>
      <c r="L16" s="205"/>
      <c r="M16" s="206"/>
      <c r="N16" s="207"/>
      <c r="O16" s="205"/>
      <c r="P16" s="205"/>
      <c r="Q16" s="208"/>
      <c r="R16" s="208"/>
      <c r="S16" s="209"/>
      <c r="T16" s="210"/>
      <c r="U16" s="210"/>
      <c r="V16" s="209"/>
      <c r="W16" s="211"/>
      <c r="X16" s="210"/>
      <c r="Y16" s="209"/>
      <c r="Z16" s="209"/>
      <c r="AA16" s="209"/>
      <c r="AB16" s="210"/>
      <c r="AC16" s="203"/>
      <c r="AD16" s="212"/>
      <c r="AE16" s="213"/>
      <c r="AF16" s="211"/>
      <c r="AG16" s="214"/>
      <c r="AH16" s="214"/>
      <c r="AI16" s="214"/>
      <c r="AJ16" s="215"/>
      <c r="AK16" s="216"/>
      <c r="AL16" s="224" t="s">
        <v>141</v>
      </c>
      <c r="AM16" s="264"/>
    </row>
    <row r="17" spans="1:39" s="18" customFormat="1" ht="15" customHeight="1" x14ac:dyDescent="0.3">
      <c r="A17" s="218"/>
      <c r="B17" s="219"/>
      <c r="C17" s="197"/>
      <c r="D17" s="199"/>
      <c r="E17" s="200"/>
      <c r="F17" s="220"/>
      <c r="G17" s="219"/>
      <c r="H17" s="221"/>
      <c r="I17" s="222"/>
      <c r="J17" s="203"/>
      <c r="K17" s="204"/>
      <c r="L17" s="205"/>
      <c r="M17" s="206"/>
      <c r="N17" s="207"/>
      <c r="O17" s="205"/>
      <c r="P17" s="205"/>
      <c r="Q17" s="208"/>
      <c r="R17" s="208"/>
      <c r="S17" s="209"/>
      <c r="T17" s="210"/>
      <c r="U17" s="210"/>
      <c r="V17" s="209"/>
      <c r="W17" s="211"/>
      <c r="X17" s="210"/>
      <c r="Y17" s="209"/>
      <c r="Z17" s="209"/>
      <c r="AA17" s="209"/>
      <c r="AB17" s="210"/>
      <c r="AC17" s="203"/>
      <c r="AD17" s="212"/>
      <c r="AE17" s="213"/>
      <c r="AF17" s="211"/>
      <c r="AG17" s="214"/>
      <c r="AH17" s="214"/>
      <c r="AI17" s="214"/>
      <c r="AJ17" s="215"/>
      <c r="AK17" s="216"/>
      <c r="AL17" s="224" t="s">
        <v>142</v>
      </c>
      <c r="AM17" s="264"/>
    </row>
    <row r="18" spans="1:39" s="18" customFormat="1" ht="15" customHeight="1" x14ac:dyDescent="0.3">
      <c r="A18" s="79">
        <v>5</v>
      </c>
      <c r="B18" s="80">
        <v>8</v>
      </c>
      <c r="C18" s="194" t="s">
        <v>154</v>
      </c>
      <c r="D18" s="125" t="s">
        <v>114</v>
      </c>
      <c r="E18" s="126">
        <v>1</v>
      </c>
      <c r="F18" s="103" t="s">
        <v>121</v>
      </c>
      <c r="G18" s="80">
        <v>2010</v>
      </c>
      <c r="H18" s="95">
        <v>1143</v>
      </c>
      <c r="I18" s="91" t="s">
        <v>132</v>
      </c>
      <c r="J18" s="81">
        <v>2.8000000000000001E-2</v>
      </c>
      <c r="K18" s="161">
        <v>26.3</v>
      </c>
      <c r="L18" s="122">
        <v>24</v>
      </c>
      <c r="M18" s="84">
        <v>1.5</v>
      </c>
      <c r="N18" s="85">
        <v>0.85960000000000003</v>
      </c>
      <c r="O18" s="83" t="s">
        <v>14</v>
      </c>
      <c r="P18" s="83"/>
      <c r="Q18" s="122">
        <v>29</v>
      </c>
      <c r="R18" s="122" t="s">
        <v>41</v>
      </c>
      <c r="S18" s="121">
        <v>13</v>
      </c>
      <c r="T18" s="120">
        <v>12265</v>
      </c>
      <c r="U18" s="120">
        <v>66770</v>
      </c>
      <c r="V18" s="121">
        <v>5</v>
      </c>
      <c r="W18" s="86">
        <v>172</v>
      </c>
      <c r="X18" s="86">
        <v>1206</v>
      </c>
      <c r="Y18" s="121">
        <v>0</v>
      </c>
      <c r="Z18" s="121">
        <v>8</v>
      </c>
      <c r="AA18" s="121">
        <v>0</v>
      </c>
      <c r="AB18" s="120">
        <f t="shared" si="0"/>
        <v>198</v>
      </c>
      <c r="AC18" s="162">
        <v>0.18</v>
      </c>
      <c r="AD18" s="164">
        <v>6.68</v>
      </c>
      <c r="AE18" s="117">
        <v>0.08</v>
      </c>
      <c r="AF18" s="153">
        <v>18</v>
      </c>
      <c r="AG18" s="89">
        <v>0.05</v>
      </c>
      <c r="AH18" s="89">
        <v>0.02</v>
      </c>
      <c r="AI18" s="89">
        <v>0.01</v>
      </c>
      <c r="AJ18" s="115" t="s">
        <v>135</v>
      </c>
      <c r="AK18" s="166" t="s">
        <v>136</v>
      </c>
      <c r="AL18" s="160" t="s">
        <v>143</v>
      </c>
      <c r="AM18" s="264"/>
    </row>
    <row r="19" spans="1:39" s="18" customFormat="1" ht="15" customHeight="1" thickBot="1" x14ac:dyDescent="0.35">
      <c r="A19" s="79"/>
      <c r="B19" s="80"/>
      <c r="C19" s="124"/>
      <c r="D19" s="125"/>
      <c r="E19" s="126"/>
      <c r="F19" s="103"/>
      <c r="G19" s="80"/>
      <c r="H19" s="95"/>
      <c r="I19" s="91"/>
      <c r="J19" s="81"/>
      <c r="K19" s="82"/>
      <c r="L19" s="83"/>
      <c r="M19" s="84"/>
      <c r="N19" s="85"/>
      <c r="O19" s="83"/>
      <c r="P19" s="83"/>
      <c r="Q19" s="83"/>
      <c r="R19" s="83"/>
      <c r="S19" s="121"/>
      <c r="T19" s="120"/>
      <c r="U19" s="120"/>
      <c r="V19" s="121"/>
      <c r="W19" s="118"/>
      <c r="X19" s="86"/>
      <c r="Y19" s="121"/>
      <c r="Z19" s="121"/>
      <c r="AA19" s="121"/>
      <c r="AB19" s="120"/>
      <c r="AC19" s="81"/>
      <c r="AD19" s="87"/>
      <c r="AE19" s="88"/>
      <c r="AF19" s="169"/>
      <c r="AG19" s="89"/>
      <c r="AH19" s="89"/>
      <c r="AI19" s="89"/>
      <c r="AJ19" s="115"/>
      <c r="AK19" s="166"/>
      <c r="AL19" s="141" t="s">
        <v>145</v>
      </c>
      <c r="AM19" s="264"/>
    </row>
    <row r="20" spans="1:39" s="18" customFormat="1" ht="15" customHeight="1" thickTop="1" x14ac:dyDescent="0.3">
      <c r="A20" s="218">
        <v>6</v>
      </c>
      <c r="B20" s="219">
        <v>2</v>
      </c>
      <c r="C20" s="225" t="s">
        <v>155</v>
      </c>
      <c r="D20" s="226" t="s">
        <v>149</v>
      </c>
      <c r="E20" s="222">
        <v>3</v>
      </c>
      <c r="F20" s="220" t="s">
        <v>122</v>
      </c>
      <c r="G20" s="219">
        <v>2010</v>
      </c>
      <c r="H20" s="221">
        <v>26706</v>
      </c>
      <c r="I20" s="222" t="s">
        <v>138</v>
      </c>
      <c r="J20" s="203">
        <v>1.7000000000000001E-2</v>
      </c>
      <c r="K20" s="227">
        <v>39.700000000000003</v>
      </c>
      <c r="L20" s="205">
        <v>87</v>
      </c>
      <c r="M20" s="206">
        <v>0.5</v>
      </c>
      <c r="N20" s="207">
        <v>0.87809999999999999</v>
      </c>
      <c r="O20" s="205" t="s">
        <v>14</v>
      </c>
      <c r="P20" s="205"/>
      <c r="Q20" s="205">
        <v>9</v>
      </c>
      <c r="R20" s="205" t="s">
        <v>38</v>
      </c>
      <c r="S20" s="228">
        <v>4</v>
      </c>
      <c r="T20" s="229">
        <v>13330</v>
      </c>
      <c r="U20" s="229">
        <v>43140</v>
      </c>
      <c r="V20" s="228">
        <v>9</v>
      </c>
      <c r="W20" s="230">
        <v>808</v>
      </c>
      <c r="X20" s="231">
        <v>2878</v>
      </c>
      <c r="Y20" s="228">
        <v>0</v>
      </c>
      <c r="Z20" s="228">
        <v>1</v>
      </c>
      <c r="AA20" s="228">
        <v>0</v>
      </c>
      <c r="AB20" s="231">
        <f t="shared" ref="AB20" si="1">+AA20+Z20+Y20+W20+V20+S20</f>
        <v>822</v>
      </c>
      <c r="AC20" s="203">
        <v>0</v>
      </c>
      <c r="AD20" s="212">
        <v>0.09</v>
      </c>
      <c r="AE20" s="232">
        <v>0.3</v>
      </c>
      <c r="AF20" s="211">
        <v>0</v>
      </c>
      <c r="AG20" s="214">
        <v>0</v>
      </c>
      <c r="AH20" s="214">
        <v>0.03</v>
      </c>
      <c r="AI20" s="214">
        <v>0.02</v>
      </c>
      <c r="AJ20" s="215" t="s">
        <v>157</v>
      </c>
      <c r="AK20" s="216" t="s">
        <v>33</v>
      </c>
      <c r="AL20" s="224" t="s">
        <v>140</v>
      </c>
      <c r="AM20" s="264"/>
    </row>
    <row r="21" spans="1:39" s="18" customFormat="1" ht="15" customHeight="1" x14ac:dyDescent="0.3">
      <c r="A21" s="218"/>
      <c r="B21" s="219"/>
      <c r="C21" s="219"/>
      <c r="D21" s="226"/>
      <c r="E21" s="222"/>
      <c r="F21" s="220"/>
      <c r="G21" s="219"/>
      <c r="H21" s="221"/>
      <c r="I21" s="222"/>
      <c r="J21" s="203"/>
      <c r="K21" s="227"/>
      <c r="L21" s="205"/>
      <c r="M21" s="206"/>
      <c r="N21" s="207"/>
      <c r="O21" s="205"/>
      <c r="P21" s="205"/>
      <c r="Q21" s="205"/>
      <c r="R21" s="205"/>
      <c r="S21" s="228"/>
      <c r="T21" s="229"/>
      <c r="U21" s="229"/>
      <c r="V21" s="228"/>
      <c r="W21" s="230"/>
      <c r="X21" s="231"/>
      <c r="Y21" s="228"/>
      <c r="Z21" s="228"/>
      <c r="AA21" s="228"/>
      <c r="AB21" s="231"/>
      <c r="AC21" s="203"/>
      <c r="AD21" s="212"/>
      <c r="AE21" s="232"/>
      <c r="AF21" s="211"/>
      <c r="AG21" s="214"/>
      <c r="AH21" s="214"/>
      <c r="AI21" s="214"/>
      <c r="AJ21" s="215"/>
      <c r="AK21" s="216"/>
      <c r="AL21" s="254" t="s">
        <v>142</v>
      </c>
      <c r="AM21" s="264"/>
    </row>
    <row r="22" spans="1:39" s="18" customFormat="1" ht="15" customHeight="1" x14ac:dyDescent="0.3">
      <c r="A22" s="218"/>
      <c r="B22" s="219">
        <v>9</v>
      </c>
      <c r="C22" s="198" t="s">
        <v>154</v>
      </c>
      <c r="D22" s="226"/>
      <c r="E22" s="222"/>
      <c r="F22" s="220"/>
      <c r="G22" s="219"/>
      <c r="H22" s="221"/>
      <c r="I22" s="222"/>
      <c r="J22" s="203">
        <v>1.7000000000000001E-2</v>
      </c>
      <c r="K22" s="227">
        <v>42.3</v>
      </c>
      <c r="L22" s="205">
        <v>78</v>
      </c>
      <c r="M22" s="206">
        <v>0.5</v>
      </c>
      <c r="N22" s="207">
        <v>0.878</v>
      </c>
      <c r="O22" s="205" t="s">
        <v>14</v>
      </c>
      <c r="P22" s="205"/>
      <c r="Q22" s="205">
        <v>15</v>
      </c>
      <c r="R22" s="205" t="s">
        <v>37</v>
      </c>
      <c r="S22" s="209">
        <v>24</v>
      </c>
      <c r="T22" s="210">
        <v>10131</v>
      </c>
      <c r="U22" s="210">
        <v>44084</v>
      </c>
      <c r="V22" s="209">
        <v>11</v>
      </c>
      <c r="W22" s="230">
        <v>641</v>
      </c>
      <c r="X22" s="210">
        <v>2250</v>
      </c>
      <c r="Y22" s="209">
        <v>1</v>
      </c>
      <c r="Z22" s="209">
        <v>1</v>
      </c>
      <c r="AA22" s="209">
        <v>0</v>
      </c>
      <c r="AB22" s="210">
        <f t="shared" si="0"/>
        <v>678</v>
      </c>
      <c r="AC22" s="203">
        <v>0</v>
      </c>
      <c r="AD22" s="212">
        <v>0.13</v>
      </c>
      <c r="AE22" s="232">
        <v>0.22</v>
      </c>
      <c r="AF22" s="211">
        <v>0</v>
      </c>
      <c r="AG22" s="214">
        <v>0.01</v>
      </c>
      <c r="AH22" s="214">
        <v>0.01</v>
      </c>
      <c r="AI22" s="214">
        <v>0.02</v>
      </c>
      <c r="AJ22" s="233" t="s">
        <v>131</v>
      </c>
      <c r="AK22" s="234" t="s">
        <v>137</v>
      </c>
      <c r="AL22" s="224" t="s">
        <v>146</v>
      </c>
      <c r="AM22" s="264"/>
    </row>
    <row r="23" spans="1:39" s="18" customFormat="1" ht="15" customHeight="1" thickBot="1" x14ac:dyDescent="0.35">
      <c r="A23" s="218"/>
      <c r="B23" s="219"/>
      <c r="C23" s="219"/>
      <c r="D23" s="226"/>
      <c r="E23" s="222"/>
      <c r="F23" s="220"/>
      <c r="G23" s="219"/>
      <c r="H23" s="221"/>
      <c r="I23" s="222"/>
      <c r="J23" s="203"/>
      <c r="K23" s="227"/>
      <c r="L23" s="205"/>
      <c r="M23" s="206"/>
      <c r="N23" s="207"/>
      <c r="O23" s="205"/>
      <c r="P23" s="205"/>
      <c r="Q23" s="205"/>
      <c r="R23" s="205"/>
      <c r="S23" s="209"/>
      <c r="T23" s="210"/>
      <c r="U23" s="210"/>
      <c r="V23" s="209"/>
      <c r="W23" s="230"/>
      <c r="X23" s="210"/>
      <c r="Y23" s="209"/>
      <c r="Z23" s="209"/>
      <c r="AA23" s="209"/>
      <c r="AB23" s="210"/>
      <c r="AC23" s="203"/>
      <c r="AD23" s="212"/>
      <c r="AE23" s="232"/>
      <c r="AF23" s="211"/>
      <c r="AG23" s="214"/>
      <c r="AH23" s="214"/>
      <c r="AI23" s="214"/>
      <c r="AJ23" s="233"/>
      <c r="AK23" s="234"/>
      <c r="AL23" s="235" t="s">
        <v>147</v>
      </c>
      <c r="AM23" s="264"/>
    </row>
    <row r="24" spans="1:39" s="18" customFormat="1" ht="15" customHeight="1" thickTop="1" x14ac:dyDescent="0.3">
      <c r="A24" s="79">
        <v>7</v>
      </c>
      <c r="B24" s="80">
        <v>3</v>
      </c>
      <c r="C24" s="195" t="s">
        <v>155</v>
      </c>
      <c r="D24" s="93" t="s">
        <v>115</v>
      </c>
      <c r="E24" s="91">
        <v>3</v>
      </c>
      <c r="F24" s="103" t="s">
        <v>123</v>
      </c>
      <c r="G24" s="80">
        <v>2010</v>
      </c>
      <c r="H24" s="95">
        <v>4749</v>
      </c>
      <c r="I24" s="91" t="s">
        <v>138</v>
      </c>
      <c r="J24" s="81">
        <v>1.7000000000000001E-2</v>
      </c>
      <c r="K24" s="82">
        <v>37.6</v>
      </c>
      <c r="L24" s="83">
        <v>94</v>
      </c>
      <c r="M24" s="84">
        <v>0.5</v>
      </c>
      <c r="N24" s="85">
        <v>0.87680000000000002</v>
      </c>
      <c r="O24" s="83" t="s">
        <v>14</v>
      </c>
      <c r="P24" s="83"/>
      <c r="Q24" s="83">
        <v>9</v>
      </c>
      <c r="R24" s="83" t="s">
        <v>38</v>
      </c>
      <c r="S24" s="174">
        <v>20</v>
      </c>
      <c r="T24" s="175">
        <v>12535</v>
      </c>
      <c r="U24" s="175">
        <v>56879</v>
      </c>
      <c r="V24" s="174">
        <v>20</v>
      </c>
      <c r="W24" s="118">
        <v>985</v>
      </c>
      <c r="X24" s="185">
        <v>3877</v>
      </c>
      <c r="Y24" s="174">
        <v>6</v>
      </c>
      <c r="Z24" s="174">
        <v>7</v>
      </c>
      <c r="AA24" s="174">
        <v>0</v>
      </c>
      <c r="AB24" s="185">
        <f t="shared" ref="AB24" si="2">+AA24+Z24+Y24+W24+V24+S24</f>
        <v>1038</v>
      </c>
      <c r="AC24" s="81">
        <v>0</v>
      </c>
      <c r="AD24" s="87">
        <v>0.1</v>
      </c>
      <c r="AE24" s="88">
        <v>0.3</v>
      </c>
      <c r="AF24" s="86">
        <v>0</v>
      </c>
      <c r="AG24" s="89">
        <v>0</v>
      </c>
      <c r="AH24" s="89">
        <v>0.01</v>
      </c>
      <c r="AI24" s="89">
        <v>0.04</v>
      </c>
      <c r="AJ24" s="105" t="s">
        <v>157</v>
      </c>
      <c r="AK24" s="156" t="s">
        <v>136</v>
      </c>
      <c r="AL24" s="159" t="s">
        <v>140</v>
      </c>
      <c r="AM24" s="264"/>
    </row>
    <row r="25" spans="1:39" s="18" customFormat="1" ht="15" customHeight="1" x14ac:dyDescent="0.3">
      <c r="A25" s="186"/>
      <c r="B25" s="187"/>
      <c r="C25" s="187"/>
      <c r="D25" s="188"/>
      <c r="E25" s="189"/>
      <c r="F25" s="190"/>
      <c r="G25" s="187"/>
      <c r="H25" s="191"/>
      <c r="I25" s="189"/>
      <c r="J25" s="106"/>
      <c r="K25" s="107"/>
      <c r="L25" s="108"/>
      <c r="M25" s="109"/>
      <c r="N25" s="110"/>
      <c r="O25" s="108"/>
      <c r="P25" s="108"/>
      <c r="Q25" s="108"/>
      <c r="R25" s="108"/>
      <c r="S25" s="192"/>
      <c r="T25" s="193"/>
      <c r="U25" s="193"/>
      <c r="V25" s="192"/>
      <c r="W25" s="111"/>
      <c r="X25" s="193"/>
      <c r="Y25" s="192"/>
      <c r="Z25" s="192"/>
      <c r="AA25" s="192"/>
      <c r="AB25" s="193"/>
      <c r="AC25" s="106"/>
      <c r="AD25" s="112"/>
      <c r="AE25" s="113"/>
      <c r="AF25" s="111"/>
      <c r="AG25" s="114"/>
      <c r="AH25" s="114"/>
      <c r="AI25" s="114"/>
      <c r="AJ25" s="142"/>
      <c r="AK25" s="157"/>
      <c r="AL25" s="173" t="s">
        <v>142</v>
      </c>
      <c r="AM25" s="264"/>
    </row>
    <row r="26" spans="1:39" s="18" customFormat="1" ht="15" customHeight="1" x14ac:dyDescent="0.3">
      <c r="A26" s="79"/>
      <c r="B26" s="80">
        <v>10</v>
      </c>
      <c r="C26" s="194" t="s">
        <v>154</v>
      </c>
      <c r="D26" s="93"/>
      <c r="E26" s="91"/>
      <c r="F26" s="103"/>
      <c r="G26" s="80"/>
      <c r="H26" s="95"/>
      <c r="I26" s="91"/>
      <c r="J26" s="81">
        <v>2.1999999999999999E-2</v>
      </c>
      <c r="K26" s="82">
        <v>38.1</v>
      </c>
      <c r="L26" s="83">
        <v>60</v>
      </c>
      <c r="M26" s="84">
        <v>0.5</v>
      </c>
      <c r="N26" s="85">
        <v>0.87670000000000003</v>
      </c>
      <c r="O26" s="83" t="s">
        <v>14</v>
      </c>
      <c r="P26" s="83"/>
      <c r="Q26" s="83">
        <v>11</v>
      </c>
      <c r="R26" s="83" t="s">
        <v>38</v>
      </c>
      <c r="S26" s="121">
        <v>20</v>
      </c>
      <c r="T26" s="120">
        <v>16028</v>
      </c>
      <c r="U26" s="120">
        <v>68308</v>
      </c>
      <c r="V26" s="121">
        <v>20</v>
      </c>
      <c r="W26" s="118">
        <v>971</v>
      </c>
      <c r="X26" s="119">
        <v>3536</v>
      </c>
      <c r="Y26" s="121">
        <v>5</v>
      </c>
      <c r="Z26" s="121">
        <v>7</v>
      </c>
      <c r="AA26" s="121">
        <v>0</v>
      </c>
      <c r="AB26" s="119">
        <f t="shared" si="0"/>
        <v>1023</v>
      </c>
      <c r="AC26" s="81">
        <v>0</v>
      </c>
      <c r="AD26" s="87">
        <v>0.39</v>
      </c>
      <c r="AE26" s="88">
        <v>0.23</v>
      </c>
      <c r="AF26" s="86">
        <v>0</v>
      </c>
      <c r="AG26" s="89">
        <v>0.02</v>
      </c>
      <c r="AH26" s="89">
        <v>0.01</v>
      </c>
      <c r="AI26" s="89">
        <v>0.04</v>
      </c>
      <c r="AJ26" s="115" t="s">
        <v>131</v>
      </c>
      <c r="AK26" s="166" t="s">
        <v>137</v>
      </c>
      <c r="AL26" s="159" t="s">
        <v>146</v>
      </c>
      <c r="AM26" s="264"/>
    </row>
    <row r="27" spans="1:39" s="18" customFormat="1" ht="15" customHeight="1" x14ac:dyDescent="0.3">
      <c r="A27" s="79"/>
      <c r="B27" s="80"/>
      <c r="C27" s="124"/>
      <c r="D27" s="125"/>
      <c r="E27" s="91"/>
      <c r="F27" s="103"/>
      <c r="G27" s="80"/>
      <c r="H27" s="95"/>
      <c r="I27" s="91"/>
      <c r="J27" s="81"/>
      <c r="K27" s="82"/>
      <c r="L27" s="83"/>
      <c r="M27" s="84"/>
      <c r="N27" s="85"/>
      <c r="O27" s="83"/>
      <c r="P27" s="83"/>
      <c r="Q27" s="83"/>
      <c r="R27" s="83"/>
      <c r="S27" s="121"/>
      <c r="T27" s="120"/>
      <c r="U27" s="120"/>
      <c r="V27" s="121"/>
      <c r="W27" s="86"/>
      <c r="X27" s="120"/>
      <c r="Y27" s="121"/>
      <c r="Z27" s="121"/>
      <c r="AA27" s="121"/>
      <c r="AB27" s="120"/>
      <c r="AC27" s="81"/>
      <c r="AD27" s="87"/>
      <c r="AE27" s="88"/>
      <c r="AF27" s="86"/>
      <c r="AG27" s="89"/>
      <c r="AH27" s="89"/>
      <c r="AI27" s="89"/>
      <c r="AJ27" s="105"/>
      <c r="AK27" s="156"/>
      <c r="AL27" s="140" t="s">
        <v>147</v>
      </c>
      <c r="AM27" s="264"/>
    </row>
    <row r="28" spans="1:39" s="18" customFormat="1" ht="15" customHeight="1" x14ac:dyDescent="0.3">
      <c r="A28" s="79"/>
      <c r="B28" s="80"/>
      <c r="C28" s="124"/>
      <c r="D28" s="125"/>
      <c r="E28" s="91"/>
      <c r="F28" s="103"/>
      <c r="G28" s="80"/>
      <c r="H28" s="95"/>
      <c r="I28" s="91"/>
      <c r="J28" s="81"/>
      <c r="K28" s="82"/>
      <c r="L28" s="83"/>
      <c r="M28" s="84"/>
      <c r="N28" s="85"/>
      <c r="O28" s="83"/>
      <c r="P28" s="83"/>
      <c r="Q28" s="83"/>
      <c r="R28" s="83"/>
      <c r="S28" s="121"/>
      <c r="T28" s="120"/>
      <c r="U28" s="120"/>
      <c r="V28" s="121"/>
      <c r="W28" s="86"/>
      <c r="X28" s="120"/>
      <c r="Y28" s="121"/>
      <c r="Z28" s="121"/>
      <c r="AA28" s="121"/>
      <c r="AB28" s="120"/>
      <c r="AC28" s="81"/>
      <c r="AD28" s="87"/>
      <c r="AE28" s="88"/>
      <c r="AF28" s="86"/>
      <c r="AG28" s="89"/>
      <c r="AH28" s="89"/>
      <c r="AI28" s="89"/>
      <c r="AJ28" s="105"/>
      <c r="AK28" s="156"/>
      <c r="AL28" s="141" t="s">
        <v>145</v>
      </c>
      <c r="AM28" s="264"/>
    </row>
    <row r="29" spans="1:39" s="18" customFormat="1" ht="15" customHeight="1" x14ac:dyDescent="0.3">
      <c r="A29" s="218">
        <v>8</v>
      </c>
      <c r="B29" s="219">
        <v>11</v>
      </c>
      <c r="C29" s="198" t="s">
        <v>154</v>
      </c>
      <c r="D29" s="199" t="s">
        <v>111</v>
      </c>
      <c r="E29" s="222">
        <v>3</v>
      </c>
      <c r="F29" s="220" t="s">
        <v>124</v>
      </c>
      <c r="G29" s="219">
        <v>2010</v>
      </c>
      <c r="H29" s="221">
        <v>731</v>
      </c>
      <c r="I29" s="222" t="s">
        <v>139</v>
      </c>
      <c r="J29" s="203">
        <v>2.1999999999999999E-2</v>
      </c>
      <c r="K29" s="204">
        <v>23.2</v>
      </c>
      <c r="L29" s="205">
        <v>32</v>
      </c>
      <c r="M29" s="206">
        <v>1.5</v>
      </c>
      <c r="N29" s="207">
        <v>0.84319999999999995</v>
      </c>
      <c r="O29" s="205" t="s">
        <v>14</v>
      </c>
      <c r="P29" s="205"/>
      <c r="Q29" s="208">
        <v>26</v>
      </c>
      <c r="R29" s="208" t="s">
        <v>39</v>
      </c>
      <c r="S29" s="209">
        <v>14</v>
      </c>
      <c r="T29" s="210">
        <v>12943</v>
      </c>
      <c r="U29" s="210">
        <v>68807</v>
      </c>
      <c r="V29" s="209">
        <v>3</v>
      </c>
      <c r="W29" s="211">
        <v>62</v>
      </c>
      <c r="X29" s="210">
        <v>1243</v>
      </c>
      <c r="Y29" s="209">
        <v>0</v>
      </c>
      <c r="Z29" s="209">
        <v>0</v>
      </c>
      <c r="AA29" s="209">
        <v>0</v>
      </c>
      <c r="AB29" s="210">
        <f t="shared" si="0"/>
        <v>79</v>
      </c>
      <c r="AC29" s="203">
        <v>0</v>
      </c>
      <c r="AD29" s="212">
        <v>0.35</v>
      </c>
      <c r="AE29" s="213">
        <v>0</v>
      </c>
      <c r="AF29" s="211">
        <v>0</v>
      </c>
      <c r="AG29" s="214">
        <v>0.01</v>
      </c>
      <c r="AH29" s="214">
        <v>0.01</v>
      </c>
      <c r="AI29" s="214">
        <v>0</v>
      </c>
      <c r="AJ29" s="215" t="s">
        <v>133</v>
      </c>
      <c r="AK29" s="216" t="s">
        <v>33</v>
      </c>
      <c r="AL29" s="217" t="s">
        <v>143</v>
      </c>
      <c r="AM29" s="264"/>
    </row>
    <row r="30" spans="1:39" s="18" customFormat="1" ht="15" customHeight="1" x14ac:dyDescent="0.3">
      <c r="A30" s="79">
        <v>9</v>
      </c>
      <c r="B30" s="80">
        <v>12</v>
      </c>
      <c r="C30" s="194" t="s">
        <v>154</v>
      </c>
      <c r="D30" s="125" t="s">
        <v>112</v>
      </c>
      <c r="E30" s="91">
        <v>3</v>
      </c>
      <c r="F30" s="103" t="s">
        <v>125</v>
      </c>
      <c r="G30" s="80">
        <v>2010</v>
      </c>
      <c r="H30" s="95">
        <v>731</v>
      </c>
      <c r="I30" s="91" t="s">
        <v>139</v>
      </c>
      <c r="J30" s="162">
        <v>0.11799999999999999</v>
      </c>
      <c r="K30" s="161">
        <v>16.2</v>
      </c>
      <c r="L30" s="122">
        <v>24</v>
      </c>
      <c r="M30" s="84">
        <v>3</v>
      </c>
      <c r="N30" s="85">
        <v>0.84350000000000003</v>
      </c>
      <c r="O30" s="83" t="s">
        <v>14</v>
      </c>
      <c r="P30" s="83"/>
      <c r="Q30" s="122">
        <v>39</v>
      </c>
      <c r="R30" s="122" t="s">
        <v>39</v>
      </c>
      <c r="S30" s="121">
        <v>38</v>
      </c>
      <c r="T30" s="120">
        <v>16781</v>
      </c>
      <c r="U30" s="120">
        <v>70523</v>
      </c>
      <c r="V30" s="121">
        <v>5</v>
      </c>
      <c r="W30" s="86">
        <v>129</v>
      </c>
      <c r="X30" s="120">
        <v>2431</v>
      </c>
      <c r="Y30" s="121">
        <v>3</v>
      </c>
      <c r="Z30" s="121">
        <v>5</v>
      </c>
      <c r="AA30" s="121">
        <v>0</v>
      </c>
      <c r="AB30" s="120">
        <f t="shared" si="0"/>
        <v>180</v>
      </c>
      <c r="AC30" s="81">
        <v>0</v>
      </c>
      <c r="AD30" s="87">
        <v>1.33</v>
      </c>
      <c r="AE30" s="117">
        <v>0</v>
      </c>
      <c r="AF30" s="118">
        <v>169</v>
      </c>
      <c r="AG30" s="89">
        <v>0</v>
      </c>
      <c r="AH30" s="89">
        <v>0.01</v>
      </c>
      <c r="AI30" s="89">
        <v>0.01</v>
      </c>
      <c r="AJ30" s="115" t="s">
        <v>135</v>
      </c>
      <c r="AK30" s="166" t="s">
        <v>33</v>
      </c>
      <c r="AL30" s="160" t="s">
        <v>143</v>
      </c>
      <c r="AM30" s="264"/>
    </row>
    <row r="31" spans="1:39" s="18" customFormat="1" ht="15" customHeight="1" x14ac:dyDescent="0.3">
      <c r="A31" s="218">
        <v>10</v>
      </c>
      <c r="B31" s="219">
        <v>13</v>
      </c>
      <c r="C31" s="198" t="s">
        <v>154</v>
      </c>
      <c r="D31" s="199" t="s">
        <v>113</v>
      </c>
      <c r="E31" s="222">
        <v>3</v>
      </c>
      <c r="F31" s="220" t="s">
        <v>127</v>
      </c>
      <c r="G31" s="219">
        <v>2010</v>
      </c>
      <c r="H31" s="221">
        <v>731</v>
      </c>
      <c r="I31" s="222" t="s">
        <v>139</v>
      </c>
      <c r="J31" s="203">
        <v>2.5000000000000001E-2</v>
      </c>
      <c r="K31" s="204">
        <v>27.8</v>
      </c>
      <c r="L31" s="205">
        <v>40</v>
      </c>
      <c r="M31" s="206">
        <v>1.5</v>
      </c>
      <c r="N31" s="207">
        <v>0.84150000000000003</v>
      </c>
      <c r="O31" s="205" t="s">
        <v>14</v>
      </c>
      <c r="P31" s="205"/>
      <c r="Q31" s="208">
        <v>27</v>
      </c>
      <c r="R31" s="208" t="s">
        <v>39</v>
      </c>
      <c r="S31" s="209">
        <v>21</v>
      </c>
      <c r="T31" s="210">
        <v>16364</v>
      </c>
      <c r="U31" s="210">
        <v>70694</v>
      </c>
      <c r="V31" s="209">
        <v>3</v>
      </c>
      <c r="W31" s="211">
        <v>38</v>
      </c>
      <c r="X31" s="210">
        <v>1068</v>
      </c>
      <c r="Y31" s="209">
        <v>0</v>
      </c>
      <c r="Z31" s="209">
        <v>0</v>
      </c>
      <c r="AA31" s="209">
        <v>0</v>
      </c>
      <c r="AB31" s="210">
        <f t="shared" si="0"/>
        <v>62</v>
      </c>
      <c r="AC31" s="203">
        <v>0</v>
      </c>
      <c r="AD31" s="212">
        <v>0.62</v>
      </c>
      <c r="AE31" s="213">
        <v>0.01</v>
      </c>
      <c r="AF31" s="211">
        <v>0</v>
      </c>
      <c r="AG31" s="214">
        <v>0</v>
      </c>
      <c r="AH31" s="214">
        <v>0.01</v>
      </c>
      <c r="AI31" s="214">
        <v>0</v>
      </c>
      <c r="AJ31" s="233" t="s">
        <v>135</v>
      </c>
      <c r="AK31" s="234" t="s">
        <v>33</v>
      </c>
      <c r="AL31" s="217" t="s">
        <v>143</v>
      </c>
      <c r="AM31" s="264"/>
    </row>
    <row r="32" spans="1:39" s="18" customFormat="1" ht="15" customHeight="1" x14ac:dyDescent="0.3">
      <c r="A32" s="79">
        <v>11</v>
      </c>
      <c r="B32" s="80">
        <v>14</v>
      </c>
      <c r="C32" s="194" t="s">
        <v>154</v>
      </c>
      <c r="D32" s="125" t="s">
        <v>114</v>
      </c>
      <c r="E32" s="91">
        <v>3</v>
      </c>
      <c r="F32" s="103" t="s">
        <v>126</v>
      </c>
      <c r="G32" s="80">
        <v>2010</v>
      </c>
      <c r="H32" s="95">
        <v>731</v>
      </c>
      <c r="I32" s="91" t="s">
        <v>139</v>
      </c>
      <c r="J32" s="106">
        <v>0.02</v>
      </c>
      <c r="K32" s="107">
        <v>31.2</v>
      </c>
      <c r="L32" s="108">
        <v>62</v>
      </c>
      <c r="M32" s="109">
        <v>1</v>
      </c>
      <c r="N32" s="110">
        <v>0.84199999999999997</v>
      </c>
      <c r="O32" s="108" t="s">
        <v>14</v>
      </c>
      <c r="P32" s="108"/>
      <c r="Q32" s="108">
        <v>19</v>
      </c>
      <c r="R32" s="163" t="s">
        <v>39</v>
      </c>
      <c r="S32" s="147">
        <v>10</v>
      </c>
      <c r="T32" s="148">
        <v>18669</v>
      </c>
      <c r="U32" s="148">
        <v>66036</v>
      </c>
      <c r="V32" s="147">
        <v>3</v>
      </c>
      <c r="W32" s="111">
        <v>24</v>
      </c>
      <c r="X32" s="148">
        <v>665</v>
      </c>
      <c r="Y32" s="147">
        <v>0</v>
      </c>
      <c r="Z32" s="147">
        <v>0</v>
      </c>
      <c r="AA32" s="147">
        <v>0</v>
      </c>
      <c r="AB32" s="148">
        <f t="shared" si="0"/>
        <v>37</v>
      </c>
      <c r="AC32" s="106">
        <v>0</v>
      </c>
      <c r="AD32" s="112">
        <v>1.36</v>
      </c>
      <c r="AE32" s="165">
        <v>0.01</v>
      </c>
      <c r="AF32" s="111">
        <v>0</v>
      </c>
      <c r="AG32" s="114">
        <v>0</v>
      </c>
      <c r="AH32" s="114">
        <v>0</v>
      </c>
      <c r="AI32" s="114">
        <v>0</v>
      </c>
      <c r="AJ32" s="167" t="s">
        <v>131</v>
      </c>
      <c r="AK32" s="168" t="s">
        <v>137</v>
      </c>
      <c r="AL32" s="141" t="s">
        <v>148</v>
      </c>
      <c r="AM32" s="264"/>
    </row>
    <row r="33" spans="1:39" s="18" customFormat="1" ht="15" customHeight="1" x14ac:dyDescent="0.3">
      <c r="A33" s="79"/>
      <c r="B33" s="80"/>
      <c r="C33" s="124"/>
      <c r="D33" s="125"/>
      <c r="E33" s="91"/>
      <c r="F33" s="103"/>
      <c r="G33" s="80"/>
      <c r="H33" s="95"/>
      <c r="I33" s="91"/>
      <c r="J33" s="106"/>
      <c r="K33" s="107"/>
      <c r="L33" s="108"/>
      <c r="M33" s="109"/>
      <c r="N33" s="110"/>
      <c r="O33" s="108"/>
      <c r="P33" s="108"/>
      <c r="Q33" s="108"/>
      <c r="R33" s="108"/>
      <c r="S33" s="147"/>
      <c r="T33" s="148"/>
      <c r="U33" s="148"/>
      <c r="V33" s="147"/>
      <c r="W33" s="111"/>
      <c r="X33" s="148"/>
      <c r="Y33" s="147"/>
      <c r="Z33" s="147"/>
      <c r="AA33" s="147"/>
      <c r="AB33" s="148"/>
      <c r="AC33" s="106"/>
      <c r="AD33" s="112"/>
      <c r="AE33" s="113"/>
      <c r="AF33" s="111"/>
      <c r="AG33" s="114"/>
      <c r="AH33" s="114"/>
      <c r="AI33" s="114"/>
      <c r="AJ33" s="142"/>
      <c r="AK33" s="157"/>
      <c r="AL33" s="159" t="s">
        <v>141</v>
      </c>
      <c r="AM33" s="264"/>
    </row>
    <row r="34" spans="1:39" s="18" customFormat="1" ht="15" customHeight="1" x14ac:dyDescent="0.3">
      <c r="A34" s="79"/>
      <c r="B34" s="80"/>
      <c r="C34" s="124"/>
      <c r="D34" s="125"/>
      <c r="E34" s="91"/>
      <c r="F34" s="103"/>
      <c r="G34" s="80"/>
      <c r="H34" s="95"/>
      <c r="I34" s="91"/>
      <c r="J34" s="106"/>
      <c r="K34" s="107"/>
      <c r="L34" s="108"/>
      <c r="M34" s="109"/>
      <c r="N34" s="110"/>
      <c r="O34" s="108"/>
      <c r="P34" s="108"/>
      <c r="Q34" s="108"/>
      <c r="R34" s="108"/>
      <c r="S34" s="147"/>
      <c r="T34" s="148"/>
      <c r="U34" s="148"/>
      <c r="V34" s="147"/>
      <c r="W34" s="111"/>
      <c r="X34" s="148"/>
      <c r="Y34" s="147"/>
      <c r="Z34" s="147"/>
      <c r="AA34" s="147"/>
      <c r="AB34" s="148"/>
      <c r="AC34" s="106"/>
      <c r="AD34" s="112"/>
      <c r="AE34" s="113"/>
      <c r="AF34" s="111"/>
      <c r="AG34" s="114"/>
      <c r="AH34" s="114"/>
      <c r="AI34" s="114"/>
      <c r="AJ34" s="142"/>
      <c r="AK34" s="157"/>
      <c r="AL34" s="159" t="s">
        <v>142</v>
      </c>
      <c r="AM34" s="264"/>
    </row>
    <row r="35" spans="1:39" ht="15" customHeight="1" x14ac:dyDescent="0.3">
      <c r="A35" s="218">
        <v>12</v>
      </c>
      <c r="B35" s="219">
        <v>15</v>
      </c>
      <c r="C35" s="198" t="s">
        <v>154</v>
      </c>
      <c r="D35" s="226" t="s">
        <v>116</v>
      </c>
      <c r="E35" s="222"/>
      <c r="F35" s="220" t="s">
        <v>128</v>
      </c>
      <c r="G35" s="219">
        <v>2011</v>
      </c>
      <c r="H35" s="221">
        <v>1023</v>
      </c>
      <c r="I35" s="222" t="s">
        <v>130</v>
      </c>
      <c r="J35" s="236">
        <v>2.1999999999999999E-2</v>
      </c>
      <c r="K35" s="237">
        <v>38.1</v>
      </c>
      <c r="L35" s="238">
        <v>38</v>
      </c>
      <c r="M35" s="239">
        <v>1</v>
      </c>
      <c r="N35" s="240">
        <v>0.87790000000000001</v>
      </c>
      <c r="O35" s="238" t="s">
        <v>14</v>
      </c>
      <c r="P35" s="238"/>
      <c r="Q35" s="241">
        <v>28</v>
      </c>
      <c r="R35" s="241" t="s">
        <v>14</v>
      </c>
      <c r="S35" s="242">
        <v>35</v>
      </c>
      <c r="T35" s="243">
        <v>10984</v>
      </c>
      <c r="U35" s="243">
        <v>71058</v>
      </c>
      <c r="V35" s="242">
        <v>20</v>
      </c>
      <c r="W35" s="244">
        <v>441</v>
      </c>
      <c r="X35" s="243">
        <v>5037</v>
      </c>
      <c r="Y35" s="242">
        <v>7</v>
      </c>
      <c r="Z35" s="242">
        <v>8</v>
      </c>
      <c r="AA35" s="242">
        <v>0</v>
      </c>
      <c r="AB35" s="243">
        <f t="shared" si="0"/>
        <v>511</v>
      </c>
      <c r="AC35" s="236">
        <v>0</v>
      </c>
      <c r="AD35" s="245">
        <v>0.73</v>
      </c>
      <c r="AE35" s="246">
        <v>0.23</v>
      </c>
      <c r="AF35" s="247">
        <v>0</v>
      </c>
      <c r="AG35" s="248">
        <v>0</v>
      </c>
      <c r="AH35" s="248">
        <v>0.01</v>
      </c>
      <c r="AI35" s="248">
        <v>0.01</v>
      </c>
      <c r="AJ35" s="249" t="s">
        <v>133</v>
      </c>
      <c r="AK35" s="250" t="s">
        <v>33</v>
      </c>
      <c r="AL35" s="224" t="s">
        <v>146</v>
      </c>
      <c r="AM35" s="264"/>
    </row>
    <row r="36" spans="1:39" x14ac:dyDescent="0.3">
      <c r="A36" s="218"/>
      <c r="B36" s="219"/>
      <c r="C36" s="219"/>
      <c r="D36" s="226"/>
      <c r="E36" s="222"/>
      <c r="F36" s="220"/>
      <c r="G36" s="219"/>
      <c r="H36" s="221"/>
      <c r="I36" s="222"/>
      <c r="J36" s="236"/>
      <c r="K36" s="237"/>
      <c r="L36" s="238"/>
      <c r="M36" s="239"/>
      <c r="N36" s="240"/>
      <c r="O36" s="238"/>
      <c r="P36" s="238"/>
      <c r="Q36" s="238"/>
      <c r="R36" s="238"/>
      <c r="S36" s="242"/>
      <c r="T36" s="243"/>
      <c r="U36" s="243"/>
      <c r="V36" s="242"/>
      <c r="W36" s="247"/>
      <c r="X36" s="243"/>
      <c r="Y36" s="242"/>
      <c r="Z36" s="242"/>
      <c r="AA36" s="242"/>
      <c r="AB36" s="243"/>
      <c r="AC36" s="236"/>
      <c r="AD36" s="245"/>
      <c r="AE36" s="246"/>
      <c r="AF36" s="247"/>
      <c r="AG36" s="248"/>
      <c r="AH36" s="248"/>
      <c r="AI36" s="248"/>
      <c r="AJ36" s="249"/>
      <c r="AK36" s="250"/>
      <c r="AL36" s="235" t="s">
        <v>147</v>
      </c>
      <c r="AM36" s="264"/>
    </row>
    <row r="37" spans="1:39" x14ac:dyDescent="0.3">
      <c r="A37" s="79">
        <v>13</v>
      </c>
      <c r="B37" s="80">
        <v>16</v>
      </c>
      <c r="C37" s="194" t="s">
        <v>154</v>
      </c>
      <c r="D37" s="93" t="s">
        <v>116</v>
      </c>
      <c r="E37" s="91"/>
      <c r="F37" s="103" t="s">
        <v>129</v>
      </c>
      <c r="G37" s="80">
        <v>2011</v>
      </c>
      <c r="H37" s="95">
        <v>1023</v>
      </c>
      <c r="I37" s="91" t="s">
        <v>130</v>
      </c>
      <c r="J37" s="106">
        <v>2.1999999999999999E-2</v>
      </c>
      <c r="K37" s="107">
        <v>37.299999999999997</v>
      </c>
      <c r="L37" s="108">
        <v>36</v>
      </c>
      <c r="M37" s="109">
        <v>1</v>
      </c>
      <c r="N37" s="110">
        <v>0.87880000000000003</v>
      </c>
      <c r="O37" s="108" t="s">
        <v>14</v>
      </c>
      <c r="P37" s="108"/>
      <c r="Q37" s="108">
        <v>21</v>
      </c>
      <c r="R37" s="163" t="s">
        <v>14</v>
      </c>
      <c r="S37" s="147">
        <v>18</v>
      </c>
      <c r="T37" s="148">
        <v>21157</v>
      </c>
      <c r="U37" s="148">
        <v>64224</v>
      </c>
      <c r="V37" s="147">
        <v>4</v>
      </c>
      <c r="W37" s="111">
        <v>129</v>
      </c>
      <c r="X37" s="148">
        <v>1676</v>
      </c>
      <c r="Y37" s="147">
        <v>0</v>
      </c>
      <c r="Z37" s="147">
        <v>1</v>
      </c>
      <c r="AA37" s="147">
        <v>0</v>
      </c>
      <c r="AB37" s="148">
        <f t="shared" si="0"/>
        <v>152</v>
      </c>
      <c r="AC37" s="106">
        <v>0</v>
      </c>
      <c r="AD37" s="112">
        <v>1.35</v>
      </c>
      <c r="AE37" s="113">
        <v>0.22</v>
      </c>
      <c r="AF37" s="111">
        <v>0</v>
      </c>
      <c r="AG37" s="114">
        <v>0</v>
      </c>
      <c r="AH37" s="114">
        <v>0.01</v>
      </c>
      <c r="AI37" s="114">
        <v>0</v>
      </c>
      <c r="AJ37" s="167" t="s">
        <v>131</v>
      </c>
      <c r="AK37" s="168" t="s">
        <v>137</v>
      </c>
      <c r="AL37" s="159" t="s">
        <v>146</v>
      </c>
      <c r="AM37" s="264"/>
    </row>
    <row r="38" spans="1:39" x14ac:dyDescent="0.3">
      <c r="A38" s="79"/>
      <c r="B38" s="80"/>
      <c r="C38" s="80"/>
      <c r="D38" s="93"/>
      <c r="E38" s="91"/>
      <c r="F38" s="103"/>
      <c r="G38" s="80"/>
      <c r="H38" s="95"/>
      <c r="I38" s="91"/>
      <c r="J38" s="81"/>
      <c r="K38" s="82"/>
      <c r="L38" s="83"/>
      <c r="M38" s="84"/>
      <c r="N38" s="85"/>
      <c r="O38" s="83"/>
      <c r="P38" s="83"/>
      <c r="Q38" s="83"/>
      <c r="R38" s="83"/>
      <c r="S38" s="121"/>
      <c r="T38" s="120"/>
      <c r="U38" s="120"/>
      <c r="V38" s="121"/>
      <c r="W38" s="86"/>
      <c r="X38" s="120"/>
      <c r="Y38" s="121"/>
      <c r="Z38" s="121"/>
      <c r="AA38" s="121"/>
      <c r="AB38" s="120">
        <f t="shared" ref="AB38" si="3">+S38+V38+W38+Y38+Z38+AA38</f>
        <v>0</v>
      </c>
      <c r="AC38" s="81"/>
      <c r="AD38" s="87"/>
      <c r="AE38" s="88"/>
      <c r="AF38" s="86"/>
      <c r="AG38" s="89"/>
      <c r="AH38" s="89"/>
      <c r="AI38" s="89"/>
      <c r="AJ38" s="105"/>
      <c r="AK38" s="156"/>
      <c r="AL38" s="140" t="s">
        <v>147</v>
      </c>
      <c r="AM38" s="264"/>
    </row>
    <row r="39" spans="1:39" ht="14.5" thickBot="1" x14ac:dyDescent="0.35">
      <c r="A39" s="31"/>
      <c r="B39" s="32"/>
      <c r="C39" s="32"/>
      <c r="D39" s="32"/>
      <c r="E39" s="62"/>
      <c r="F39" s="98"/>
      <c r="G39" s="33"/>
      <c r="H39" s="34"/>
      <c r="I39" s="32"/>
      <c r="J39" s="35"/>
      <c r="K39" s="36"/>
      <c r="L39" s="32"/>
      <c r="M39" s="36"/>
      <c r="N39" s="37"/>
      <c r="O39" s="33"/>
      <c r="P39" s="32"/>
      <c r="Q39" s="33"/>
      <c r="R39" s="33"/>
      <c r="S39" s="32"/>
      <c r="T39" s="38"/>
      <c r="U39" s="38"/>
      <c r="V39" s="32"/>
      <c r="W39" s="38"/>
      <c r="X39" s="38"/>
      <c r="Y39" s="32"/>
      <c r="Z39" s="32"/>
      <c r="AA39" s="32"/>
      <c r="AB39" s="32"/>
      <c r="AC39" s="38"/>
      <c r="AD39" s="39"/>
      <c r="AE39" s="40"/>
      <c r="AF39" s="38"/>
      <c r="AG39" s="40"/>
      <c r="AH39" s="40"/>
      <c r="AI39" s="40"/>
      <c r="AJ39" s="63"/>
      <c r="AK39" s="158"/>
      <c r="AL39" s="253"/>
      <c r="AM39" s="257"/>
    </row>
    <row r="40" spans="1:39" ht="14.5" thickTop="1" x14ac:dyDescent="0.3">
      <c r="AL40" s="252"/>
    </row>
    <row r="41" spans="1:39" ht="15.5" x14ac:dyDescent="0.35">
      <c r="B41" s="3" t="s">
        <v>40</v>
      </c>
      <c r="C41" s="3"/>
      <c r="D41" s="3"/>
      <c r="E41" s="4"/>
      <c r="F41" s="100"/>
      <c r="G41" s="4"/>
      <c r="H41" s="5"/>
      <c r="I41" s="4"/>
      <c r="J41" s="6"/>
      <c r="K41" s="7"/>
      <c r="L41" s="7"/>
      <c r="M41" s="8"/>
      <c r="N41" s="9"/>
      <c r="O41" s="10"/>
      <c r="P41" s="4"/>
      <c r="Q41" s="10"/>
      <c r="R41" s="4"/>
      <c r="S41" s="4"/>
      <c r="T41" s="11"/>
      <c r="U41" s="11"/>
      <c r="V41" s="4"/>
      <c r="W41" s="4"/>
      <c r="X41" s="11"/>
      <c r="Y41" s="4"/>
      <c r="Z41" s="4"/>
      <c r="AK41" s="30" t="s">
        <v>84</v>
      </c>
    </row>
    <row r="42" spans="1:39" ht="15.5" x14ac:dyDescent="0.35">
      <c r="B42" s="12" t="s">
        <v>42</v>
      </c>
      <c r="C42" s="12"/>
      <c r="D42" s="13" t="s">
        <v>43</v>
      </c>
      <c r="E42" s="54"/>
      <c r="F42" s="101"/>
      <c r="G42" s="5"/>
      <c r="H42" s="11"/>
      <c r="I42" s="6"/>
      <c r="J42" s="7"/>
      <c r="K42" s="7"/>
      <c r="L42" s="8"/>
      <c r="M42" s="9"/>
      <c r="N42" s="10"/>
      <c r="O42" s="4"/>
      <c r="P42" s="10"/>
      <c r="Q42" s="4"/>
      <c r="R42" s="4"/>
      <c r="S42" s="11"/>
      <c r="T42" s="11"/>
      <c r="U42" s="4"/>
      <c r="V42" s="4"/>
      <c r="W42" s="11"/>
      <c r="X42" s="4"/>
      <c r="Y42" s="4"/>
      <c r="AB42" s="46"/>
      <c r="AD42" s="47"/>
      <c r="AE42" s="45"/>
      <c r="AF42" s="47"/>
      <c r="AI42" s="48"/>
      <c r="AJ42" s="30"/>
      <c r="AK42" s="30" t="s">
        <v>85</v>
      </c>
      <c r="AL42" s="251"/>
    </row>
    <row r="43" spans="1:39" ht="16.5" x14ac:dyDescent="0.35">
      <c r="B43" s="13"/>
      <c r="C43" s="13"/>
      <c r="D43" s="14" t="s">
        <v>44</v>
      </c>
      <c r="E43" s="65" t="s">
        <v>87</v>
      </c>
      <c r="F43" s="100"/>
      <c r="G43" s="65"/>
      <c r="H43" s="96"/>
      <c r="I43" s="65"/>
      <c r="J43" s="65"/>
      <c r="K43" s="65"/>
      <c r="L43" s="65"/>
      <c r="M43" s="65"/>
      <c r="N43" s="65"/>
      <c r="O43" s="65"/>
      <c r="P43" s="65"/>
      <c r="Q43" s="65"/>
      <c r="R43" s="65"/>
      <c r="S43" s="65"/>
      <c r="T43" s="65"/>
      <c r="U43" s="65"/>
      <c r="V43" s="65"/>
      <c r="W43" s="65"/>
      <c r="X43" s="65"/>
      <c r="Y43" s="65"/>
      <c r="AB43" s="46"/>
      <c r="AD43" s="47"/>
      <c r="AE43" s="45"/>
      <c r="AF43" s="47"/>
      <c r="AI43" s="48"/>
      <c r="AJ43" s="30"/>
    </row>
    <row r="44" spans="1:39" ht="15.5" x14ac:dyDescent="0.35">
      <c r="B44" s="13"/>
      <c r="C44" s="13"/>
      <c r="D44" s="14" t="s">
        <v>89</v>
      </c>
      <c r="E44" s="65" t="s">
        <v>88</v>
      </c>
      <c r="F44" s="100"/>
      <c r="G44" s="65"/>
      <c r="H44" s="96"/>
      <c r="I44" s="65"/>
      <c r="J44" s="65"/>
      <c r="K44" s="65"/>
      <c r="L44" s="65"/>
      <c r="M44" s="65"/>
      <c r="N44" s="65"/>
      <c r="O44" s="65"/>
      <c r="P44" s="65"/>
      <c r="Q44" s="65"/>
      <c r="R44" s="65"/>
      <c r="S44" s="65"/>
      <c r="T44" s="65"/>
      <c r="U44" s="65"/>
      <c r="V44" s="65"/>
      <c r="W44" s="65"/>
      <c r="X44" s="65"/>
      <c r="Y44" s="65"/>
      <c r="AB44" s="46"/>
      <c r="AD44" s="47"/>
      <c r="AE44" s="45"/>
      <c r="AF44" s="47"/>
      <c r="AI44" s="48"/>
      <c r="AJ44" s="30"/>
    </row>
    <row r="45" spans="1:39" ht="15.5" x14ac:dyDescent="0.35">
      <c r="B45" s="13"/>
      <c r="C45" s="13"/>
      <c r="D45" s="14" t="s">
        <v>45</v>
      </c>
      <c r="E45" s="65" t="s">
        <v>46</v>
      </c>
      <c r="F45" s="100"/>
      <c r="G45" s="65"/>
      <c r="H45" s="96"/>
      <c r="I45" s="65"/>
      <c r="J45" s="65"/>
      <c r="K45" s="65"/>
      <c r="L45" s="65"/>
      <c r="M45" s="65"/>
      <c r="N45" s="65"/>
      <c r="O45" s="65"/>
      <c r="P45" s="65"/>
      <c r="Q45" s="65"/>
      <c r="R45" s="65"/>
      <c r="S45" s="65"/>
      <c r="T45" s="65"/>
      <c r="U45" s="65"/>
      <c r="V45" s="65"/>
      <c r="W45" s="65"/>
      <c r="X45" s="65"/>
      <c r="Y45" s="65"/>
      <c r="AB45" s="46"/>
      <c r="AD45" s="47"/>
      <c r="AE45" s="45"/>
      <c r="AF45" s="47"/>
      <c r="AI45" s="48"/>
      <c r="AJ45" s="30"/>
    </row>
    <row r="46" spans="1:39" ht="15.5" x14ac:dyDescent="0.35">
      <c r="B46" s="13"/>
      <c r="C46" s="13"/>
      <c r="D46" s="14" t="s">
        <v>56</v>
      </c>
      <c r="E46" s="54" t="s">
        <v>90</v>
      </c>
      <c r="F46" s="100"/>
      <c r="G46" s="54"/>
      <c r="H46" s="96"/>
      <c r="I46" s="54"/>
      <c r="J46" s="54"/>
      <c r="K46" s="54"/>
      <c r="L46" s="54"/>
      <c r="M46" s="54"/>
      <c r="N46" s="54"/>
      <c r="O46" s="54"/>
      <c r="P46" s="54"/>
      <c r="Q46" s="54"/>
      <c r="R46" s="54"/>
      <c r="S46" s="54"/>
      <c r="T46" s="54"/>
      <c r="U46" s="54"/>
      <c r="V46" s="54"/>
      <c r="W46" s="54"/>
      <c r="X46" s="54"/>
      <c r="Y46" s="54"/>
      <c r="AB46" s="46"/>
      <c r="AD46" s="47"/>
      <c r="AE46" s="45"/>
      <c r="AF46" s="47"/>
      <c r="AI46" s="48"/>
      <c r="AJ46" s="30"/>
    </row>
    <row r="47" spans="1:39" ht="15.5" x14ac:dyDescent="0.35">
      <c r="B47" s="60" t="s">
        <v>47</v>
      </c>
      <c r="C47" s="60"/>
      <c r="D47" s="15" t="s">
        <v>48</v>
      </c>
      <c r="E47" s="49"/>
      <c r="F47" s="101"/>
      <c r="G47" s="5"/>
      <c r="H47" s="11"/>
      <c r="I47" s="6"/>
      <c r="J47" s="7"/>
      <c r="K47" s="7"/>
      <c r="L47" s="8"/>
      <c r="M47" s="9"/>
      <c r="N47" s="10"/>
      <c r="O47" s="4"/>
      <c r="P47" s="10"/>
      <c r="Q47" s="4"/>
      <c r="R47" s="4"/>
      <c r="S47" s="11"/>
      <c r="T47" s="11"/>
      <c r="U47" s="4"/>
      <c r="V47" s="4"/>
      <c r="W47" s="11"/>
      <c r="X47" s="4"/>
      <c r="Y47" s="4"/>
      <c r="AB47" s="46"/>
      <c r="AD47" s="47"/>
      <c r="AE47" s="45"/>
      <c r="AF47" s="47"/>
      <c r="AI47" s="48"/>
      <c r="AJ47" s="30"/>
    </row>
    <row r="48" spans="1:39" ht="15.5" x14ac:dyDescent="0.35">
      <c r="B48" s="61"/>
      <c r="C48" s="61"/>
      <c r="D48" s="17" t="s">
        <v>44</v>
      </c>
      <c r="E48" s="65" t="s">
        <v>49</v>
      </c>
      <c r="F48" s="100"/>
      <c r="G48" s="65"/>
      <c r="H48" s="96"/>
      <c r="I48" s="65"/>
      <c r="J48" s="65"/>
      <c r="K48" s="65"/>
      <c r="L48" s="65"/>
      <c r="M48" s="65"/>
      <c r="N48" s="65"/>
      <c r="O48" s="4"/>
      <c r="P48" s="10"/>
      <c r="Q48" s="4"/>
      <c r="R48" s="4"/>
      <c r="S48" s="11"/>
      <c r="T48" s="11"/>
      <c r="U48" s="4"/>
      <c r="V48" s="4"/>
      <c r="W48" s="11"/>
      <c r="X48" s="4"/>
      <c r="Y48" s="4"/>
      <c r="AB48" s="46"/>
      <c r="AD48" s="47"/>
      <c r="AE48" s="45"/>
      <c r="AF48" s="47"/>
      <c r="AI48" s="48"/>
      <c r="AJ48" s="30"/>
    </row>
    <row r="49" spans="2:36" ht="15.5" x14ac:dyDescent="0.35">
      <c r="B49" s="61"/>
      <c r="C49" s="61"/>
      <c r="D49" s="14" t="s">
        <v>89</v>
      </c>
      <c r="E49" s="65" t="s">
        <v>50</v>
      </c>
      <c r="F49" s="100"/>
      <c r="G49" s="65"/>
      <c r="H49" s="96"/>
      <c r="I49" s="65"/>
      <c r="J49" s="65"/>
      <c r="K49" s="65"/>
      <c r="L49" s="65"/>
      <c r="M49" s="65"/>
      <c r="N49" s="65"/>
      <c r="O49" s="4"/>
      <c r="P49" s="10"/>
      <c r="Q49" s="4"/>
      <c r="R49" s="4"/>
      <c r="S49" s="11"/>
      <c r="T49" s="11"/>
      <c r="U49" s="4"/>
      <c r="V49" s="4"/>
      <c r="W49" s="11"/>
      <c r="X49" s="4"/>
      <c r="Y49" s="4"/>
      <c r="AB49" s="46"/>
      <c r="AD49" s="47"/>
      <c r="AE49" s="45"/>
      <c r="AF49" s="47"/>
      <c r="AI49" s="48"/>
      <c r="AJ49" s="30"/>
    </row>
    <row r="50" spans="2:36" ht="15.75" customHeight="1" x14ac:dyDescent="0.35">
      <c r="B50" s="61"/>
      <c r="C50" s="61"/>
      <c r="D50" s="14" t="s">
        <v>45</v>
      </c>
      <c r="E50" s="334" t="s">
        <v>98</v>
      </c>
      <c r="F50" s="334"/>
      <c r="G50" s="334"/>
      <c r="H50" s="334"/>
      <c r="I50" s="334"/>
      <c r="J50" s="334"/>
      <c r="K50" s="334"/>
      <c r="L50" s="334"/>
      <c r="M50" s="334"/>
      <c r="N50" s="334"/>
      <c r="O50" s="334"/>
      <c r="P50" s="334"/>
      <c r="Q50" s="334"/>
      <c r="R50" s="334"/>
      <c r="S50" s="334"/>
      <c r="T50" s="334"/>
      <c r="U50" s="4"/>
      <c r="V50" s="4"/>
      <c r="W50" s="11"/>
      <c r="X50" s="4"/>
      <c r="Y50" s="4"/>
      <c r="AB50" s="46"/>
      <c r="AD50" s="47"/>
      <c r="AE50" s="45"/>
      <c r="AF50" s="47"/>
      <c r="AI50" s="48"/>
      <c r="AJ50" s="30"/>
    </row>
    <row r="51" spans="2:36" ht="15.5" x14ac:dyDescent="0.35">
      <c r="B51" s="61"/>
      <c r="C51" s="61"/>
      <c r="D51" s="14"/>
      <c r="E51" s="334"/>
      <c r="F51" s="334"/>
      <c r="G51" s="334"/>
      <c r="H51" s="334"/>
      <c r="I51" s="334"/>
      <c r="J51" s="334"/>
      <c r="K51" s="334"/>
      <c r="L51" s="334"/>
      <c r="M51" s="334"/>
      <c r="N51" s="334"/>
      <c r="O51" s="334"/>
      <c r="P51" s="334"/>
      <c r="Q51" s="334"/>
      <c r="R51" s="334"/>
      <c r="S51" s="334"/>
      <c r="T51" s="334"/>
      <c r="U51" s="4"/>
      <c r="V51" s="4"/>
      <c r="W51" s="11"/>
      <c r="X51" s="4"/>
      <c r="Y51" s="4"/>
      <c r="AB51" s="46"/>
      <c r="AD51" s="47"/>
      <c r="AE51" s="45"/>
      <c r="AF51" s="47"/>
      <c r="AI51" s="48"/>
      <c r="AJ51" s="30"/>
    </row>
    <row r="52" spans="2:36" ht="15.5" x14ac:dyDescent="0.35">
      <c r="B52" s="60" t="s">
        <v>51</v>
      </c>
      <c r="C52" s="60"/>
      <c r="D52" s="67" t="s">
        <v>52</v>
      </c>
      <c r="E52" s="67"/>
      <c r="F52" s="102"/>
      <c r="G52" s="67"/>
      <c r="H52" s="97"/>
      <c r="I52" s="67"/>
      <c r="J52" s="67"/>
      <c r="K52" s="7"/>
      <c r="L52" s="8"/>
      <c r="M52" s="9"/>
      <c r="N52" s="10"/>
      <c r="O52" s="4"/>
      <c r="P52" s="10"/>
      <c r="Q52" s="4"/>
      <c r="R52" s="4"/>
      <c r="S52" s="11"/>
      <c r="T52" s="11"/>
      <c r="U52" s="4"/>
      <c r="V52" s="4"/>
      <c r="W52" s="11"/>
      <c r="X52" s="4"/>
      <c r="Y52" s="4"/>
      <c r="AB52" s="46"/>
      <c r="AD52" s="47"/>
      <c r="AE52" s="45"/>
      <c r="AF52" s="47"/>
      <c r="AI52" s="48"/>
      <c r="AJ52" s="30"/>
    </row>
    <row r="53" spans="2:36" ht="15.5" x14ac:dyDescent="0.35">
      <c r="B53" s="16"/>
      <c r="C53" s="16"/>
      <c r="D53" s="17" t="s">
        <v>44</v>
      </c>
      <c r="E53" s="65" t="s">
        <v>53</v>
      </c>
      <c r="F53" s="100"/>
      <c r="G53" s="65"/>
      <c r="H53" s="96"/>
      <c r="I53" s="65"/>
      <c r="J53" s="65"/>
      <c r="K53" s="65"/>
      <c r="L53" s="65"/>
      <c r="M53" s="65"/>
      <c r="N53" s="65"/>
      <c r="O53" s="65"/>
      <c r="P53" s="65"/>
      <c r="Q53" s="65"/>
      <c r="R53" s="65"/>
      <c r="S53" s="65"/>
      <c r="T53" s="65"/>
      <c r="U53" s="65"/>
      <c r="V53" s="65"/>
      <c r="W53" s="65"/>
      <c r="X53" s="65"/>
      <c r="Y53" s="65"/>
      <c r="AB53" s="46"/>
      <c r="AD53" s="47"/>
      <c r="AE53" s="45"/>
      <c r="AF53" s="47"/>
      <c r="AI53" s="48"/>
      <c r="AJ53" s="30"/>
    </row>
    <row r="54" spans="2:36" x14ac:dyDescent="0.3">
      <c r="B54" s="4"/>
      <c r="C54" s="4"/>
      <c r="D54" s="14" t="s">
        <v>89</v>
      </c>
      <c r="E54" s="333" t="s">
        <v>54</v>
      </c>
      <c r="F54" s="333"/>
      <c r="G54" s="333"/>
      <c r="H54" s="333"/>
      <c r="I54" s="333"/>
      <c r="J54" s="333"/>
      <c r="K54" s="333"/>
      <c r="L54" s="333"/>
      <c r="M54" s="333"/>
      <c r="N54" s="333"/>
      <c r="O54" s="333"/>
      <c r="P54" s="333"/>
      <c r="Q54" s="333"/>
      <c r="R54" s="333"/>
      <c r="S54" s="333"/>
      <c r="T54" s="333"/>
      <c r="U54" s="66"/>
      <c r="V54" s="66"/>
      <c r="W54" s="66"/>
      <c r="X54" s="66"/>
      <c r="Y54" s="66"/>
      <c r="AB54" s="46"/>
      <c r="AD54" s="47"/>
      <c r="AE54" s="45"/>
      <c r="AF54" s="47"/>
      <c r="AI54" s="48"/>
      <c r="AJ54" s="30"/>
    </row>
    <row r="55" spans="2:36" x14ac:dyDescent="0.3">
      <c r="B55" s="4"/>
      <c r="C55" s="4"/>
      <c r="D55" s="17"/>
      <c r="E55" s="333"/>
      <c r="F55" s="333"/>
      <c r="G55" s="333"/>
      <c r="H55" s="333"/>
      <c r="I55" s="333"/>
      <c r="J55" s="333"/>
      <c r="K55" s="333"/>
      <c r="L55" s="333"/>
      <c r="M55" s="333"/>
      <c r="N55" s="333"/>
      <c r="O55" s="333"/>
      <c r="P55" s="333"/>
      <c r="Q55" s="333"/>
      <c r="R55" s="333"/>
      <c r="S55" s="333"/>
      <c r="T55" s="333"/>
      <c r="U55" s="66"/>
      <c r="V55" s="66"/>
      <c r="W55" s="66"/>
      <c r="X55" s="66"/>
      <c r="Y55" s="66"/>
      <c r="AB55" s="46"/>
      <c r="AD55" s="47"/>
      <c r="AE55" s="45"/>
      <c r="AF55" s="47"/>
      <c r="AI55" s="48"/>
      <c r="AJ55" s="30"/>
    </row>
    <row r="56" spans="2:36" ht="16.5" customHeight="1" x14ac:dyDescent="0.3">
      <c r="B56" s="4"/>
      <c r="C56" s="4"/>
      <c r="D56" s="17" t="s">
        <v>45</v>
      </c>
      <c r="E56" s="49" t="s">
        <v>55</v>
      </c>
      <c r="F56" s="101"/>
      <c r="G56" s="5"/>
      <c r="H56" s="11"/>
      <c r="I56" s="6"/>
      <c r="J56" s="7"/>
      <c r="K56" s="7"/>
      <c r="L56" s="8"/>
      <c r="M56" s="9"/>
      <c r="N56" s="10"/>
      <c r="O56" s="4"/>
      <c r="P56" s="10"/>
      <c r="Q56" s="4"/>
      <c r="R56" s="4"/>
      <c r="S56" s="11"/>
      <c r="T56" s="11"/>
      <c r="U56" s="4"/>
      <c r="V56" s="4"/>
      <c r="W56" s="11"/>
      <c r="X56" s="4"/>
      <c r="Y56" s="4"/>
      <c r="AB56" s="46"/>
      <c r="AD56" s="47"/>
      <c r="AE56" s="45"/>
      <c r="AF56" s="47"/>
      <c r="AI56" s="48"/>
      <c r="AJ56" s="30"/>
    </row>
    <row r="57" spans="2:36" ht="16.5" customHeight="1" x14ac:dyDescent="0.3">
      <c r="B57" s="4"/>
      <c r="C57" s="4"/>
      <c r="D57" s="17" t="s">
        <v>56</v>
      </c>
      <c r="E57" s="49" t="s">
        <v>57</v>
      </c>
      <c r="F57" s="101"/>
      <c r="G57" s="5"/>
      <c r="H57" s="11"/>
      <c r="I57" s="6"/>
      <c r="J57" s="7"/>
      <c r="K57" s="7"/>
      <c r="L57" s="8"/>
      <c r="M57" s="9"/>
      <c r="N57" s="10"/>
      <c r="O57" s="4"/>
      <c r="P57" s="10"/>
      <c r="Q57" s="4"/>
      <c r="R57" s="4"/>
      <c r="S57" s="11"/>
      <c r="T57" s="11"/>
      <c r="U57" s="4"/>
      <c r="V57" s="4"/>
      <c r="W57" s="11"/>
      <c r="X57" s="4"/>
      <c r="Y57" s="4"/>
      <c r="AB57" s="46"/>
      <c r="AD57" s="47"/>
      <c r="AE57" s="45"/>
      <c r="AF57" s="47"/>
      <c r="AI57" s="48"/>
      <c r="AJ57" s="30"/>
    </row>
    <row r="58" spans="2:36" ht="16.5" customHeight="1" x14ac:dyDescent="0.3"/>
    <row r="59" spans="2:36" ht="15" customHeight="1" x14ac:dyDescent="0.3">
      <c r="D59" s="144"/>
      <c r="E59" s="328"/>
      <c r="F59" s="328"/>
      <c r="G59" s="328"/>
      <c r="H59" s="328"/>
      <c r="I59" s="328"/>
      <c r="J59" s="328"/>
      <c r="K59" s="328"/>
      <c r="L59" s="328"/>
      <c r="M59" s="328"/>
      <c r="N59" s="328"/>
      <c r="O59" s="328"/>
      <c r="P59" s="328"/>
    </row>
    <row r="60" spans="2:36" ht="16.5" x14ac:dyDescent="0.45">
      <c r="D60" s="144"/>
      <c r="E60" s="150"/>
      <c r="F60" s="150"/>
      <c r="G60" s="150"/>
      <c r="H60" s="150"/>
      <c r="I60" s="150"/>
      <c r="J60" s="150"/>
      <c r="K60" s="150"/>
      <c r="L60" s="150"/>
      <c r="M60" s="150"/>
      <c r="N60" s="150"/>
      <c r="O60" s="150"/>
      <c r="P60" s="150"/>
      <c r="Q60" s="150"/>
      <c r="R60" s="150"/>
      <c r="S60" s="150"/>
      <c r="T60" s="150"/>
    </row>
    <row r="61" spans="2:36" ht="16.5" x14ac:dyDescent="0.3">
      <c r="D61" s="144"/>
      <c r="E61" s="151"/>
      <c r="F61" s="151"/>
      <c r="G61" s="151"/>
      <c r="H61" s="151"/>
      <c r="I61" s="151"/>
      <c r="J61" s="151"/>
    </row>
    <row r="62" spans="2:36" ht="16.5" x14ac:dyDescent="0.3">
      <c r="D62" s="144"/>
      <c r="E62" s="152"/>
      <c r="F62" s="152"/>
      <c r="G62" s="152"/>
      <c r="H62" s="152"/>
      <c r="I62" s="152"/>
      <c r="J62" s="152"/>
      <c r="K62" s="152"/>
      <c r="L62" s="152"/>
      <c r="M62" s="152"/>
      <c r="N62" s="152"/>
      <c r="O62" s="149"/>
      <c r="P62" s="149"/>
      <c r="Q62" s="149"/>
      <c r="R62" s="149"/>
      <c r="S62" s="149"/>
    </row>
    <row r="63" spans="2:36" ht="16.5" x14ac:dyDescent="0.3">
      <c r="D63" s="144"/>
      <c r="E63" s="152"/>
      <c r="F63" s="152"/>
      <c r="G63" s="152"/>
      <c r="H63" s="152"/>
      <c r="I63" s="152"/>
      <c r="J63" s="152"/>
      <c r="K63" s="152"/>
      <c r="L63" s="152"/>
      <c r="M63" s="152"/>
      <c r="N63" s="152"/>
      <c r="O63" s="152"/>
    </row>
    <row r="64" spans="2:36" ht="16.5" x14ac:dyDescent="0.45">
      <c r="D64" s="144"/>
      <c r="E64" s="64"/>
    </row>
    <row r="65" spans="4:4" x14ac:dyDescent="0.3">
      <c r="D65" s="144"/>
    </row>
    <row r="66" spans="4:4" x14ac:dyDescent="0.3">
      <c r="D66" s="144"/>
    </row>
    <row r="67" spans="4:4" x14ac:dyDescent="0.3">
      <c r="D67" s="144"/>
    </row>
    <row r="68" spans="4:4" x14ac:dyDescent="0.3">
      <c r="D68" s="144"/>
    </row>
    <row r="69" spans="4:4" x14ac:dyDescent="0.3">
      <c r="D69" s="143"/>
    </row>
    <row r="70" spans="4:4" x14ac:dyDescent="0.3">
      <c r="D70" s="143"/>
    </row>
    <row r="71" spans="4:4" x14ac:dyDescent="0.3">
      <c r="D71" s="143"/>
    </row>
    <row r="72" spans="4:4" x14ac:dyDescent="0.3">
      <c r="D72" s="143"/>
    </row>
    <row r="73" spans="4:4" x14ac:dyDescent="0.3">
      <c r="D73" s="143"/>
    </row>
    <row r="74" spans="4:4" x14ac:dyDescent="0.3">
      <c r="D74" s="143"/>
    </row>
    <row r="75" spans="4:4" x14ac:dyDescent="0.3">
      <c r="D75" s="143"/>
    </row>
    <row r="76" spans="4:4" x14ac:dyDescent="0.3">
      <c r="D76" s="143"/>
    </row>
    <row r="77" spans="4:4" x14ac:dyDescent="0.3">
      <c r="D77" s="143"/>
    </row>
    <row r="78" spans="4:4" x14ac:dyDescent="0.3">
      <c r="D78" s="143"/>
    </row>
    <row r="79" spans="4:4" x14ac:dyDescent="0.3">
      <c r="D79" s="143"/>
    </row>
    <row r="80" spans="4:4" x14ac:dyDescent="0.3">
      <c r="D80" s="143"/>
    </row>
    <row r="81" spans="4:4" x14ac:dyDescent="0.3">
      <c r="D81" s="143"/>
    </row>
    <row r="82" spans="4:4" x14ac:dyDescent="0.3">
      <c r="D82" s="143"/>
    </row>
    <row r="83" spans="4:4" x14ac:dyDescent="0.3">
      <c r="D83" s="143"/>
    </row>
    <row r="84" spans="4:4" x14ac:dyDescent="0.3">
      <c r="D84" s="143"/>
    </row>
    <row r="85" spans="4:4" x14ac:dyDescent="0.3">
      <c r="D85" s="143"/>
    </row>
    <row r="86" spans="4:4" x14ac:dyDescent="0.3">
      <c r="D86" s="143"/>
    </row>
    <row r="87" spans="4:4" x14ac:dyDescent="0.3">
      <c r="D87" s="143"/>
    </row>
    <row r="88" spans="4:4" x14ac:dyDescent="0.3">
      <c r="D88" s="143"/>
    </row>
    <row r="89" spans="4:4" x14ac:dyDescent="0.3">
      <c r="D89" s="143"/>
    </row>
  </sheetData>
  <mergeCells count="55">
    <mergeCell ref="E59:P59"/>
    <mergeCell ref="AF4:AF5"/>
    <mergeCell ref="V4:V5"/>
    <mergeCell ref="W4:W5"/>
    <mergeCell ref="X4:X5"/>
    <mergeCell ref="AB4:AB5"/>
    <mergeCell ref="Z4:Z5"/>
    <mergeCell ref="AA4:AA5"/>
    <mergeCell ref="E54:T55"/>
    <mergeCell ref="E50:T51"/>
    <mergeCell ref="O4:O5"/>
    <mergeCell ref="J4:J5"/>
    <mergeCell ref="K4:K5"/>
    <mergeCell ref="S4:S5"/>
    <mergeCell ref="T4:T5"/>
    <mergeCell ref="B6:I6"/>
    <mergeCell ref="A1:A3"/>
    <mergeCell ref="B1:B3"/>
    <mergeCell ref="J1:AK1"/>
    <mergeCell ref="AK2:AK5"/>
    <mergeCell ref="O2:O3"/>
    <mergeCell ref="P2:P3"/>
    <mergeCell ref="K2:K3"/>
    <mergeCell ref="Y4:Y5"/>
    <mergeCell ref="L2:L3"/>
    <mergeCell ref="U4:U5"/>
    <mergeCell ref="G1:G3"/>
    <mergeCell ref="H1:H3"/>
    <mergeCell ref="I1:I3"/>
    <mergeCell ref="F1:F3"/>
    <mergeCell ref="D1:E3"/>
    <mergeCell ref="P4:P5"/>
    <mergeCell ref="AJ2:AJ3"/>
    <mergeCell ref="M2:M3"/>
    <mergeCell ref="AG2:AI2"/>
    <mergeCell ref="N2:N3"/>
    <mergeCell ref="AC2:AD2"/>
    <mergeCell ref="Q2:R2"/>
    <mergeCell ref="AF2:AF3"/>
    <mergeCell ref="C1:C3"/>
    <mergeCell ref="AM1:AM5"/>
    <mergeCell ref="AM8:AM38"/>
    <mergeCell ref="J2:J3"/>
    <mergeCell ref="Q4:R5"/>
    <mergeCell ref="L4:L5"/>
    <mergeCell ref="M4:M5"/>
    <mergeCell ref="N4:N5"/>
    <mergeCell ref="AE4:AE5"/>
    <mergeCell ref="AL1:AL5"/>
    <mergeCell ref="A4:I5"/>
    <mergeCell ref="AC4:AD5"/>
    <mergeCell ref="AG4:AI5"/>
    <mergeCell ref="AJ4:AJ5"/>
    <mergeCell ref="S2:AB2"/>
    <mergeCell ref="AE2:AE3"/>
  </mergeCells>
  <phoneticPr fontId="2" type="noConversion"/>
  <printOptions horizontalCentered="1" verticalCentered="1"/>
  <pageMargins left="0.19685039370078741" right="0" top="0.19685039370078741" bottom="0.19685039370078741" header="0.31496062992125984" footer="0.31496062992125984"/>
  <pageSetup paperSize="8" scale="9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Rizki Firmansyah</cp:lastModifiedBy>
  <cp:lastPrinted>2012-09-06T06:53:48Z</cp:lastPrinted>
  <dcterms:created xsi:type="dcterms:W3CDTF">2009-01-26T13:24:26Z</dcterms:created>
  <dcterms:modified xsi:type="dcterms:W3CDTF">2023-12-06T06:58:51Z</dcterms:modified>
</cp:coreProperties>
</file>