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00" yWindow="130" windowWidth="13380" windowHeight="3590"/>
  </bookViews>
  <sheets>
    <sheet name="Sheet1" sheetId="2" r:id="rId1"/>
  </sheets>
  <externalReferences>
    <externalReference r:id="rId2"/>
  </externalReferences>
  <calcPr calcId="145621"/>
</workbook>
</file>

<file path=xl/calcChain.xml><?xml version="1.0" encoding="utf-8"?>
<calcChain xmlns="http://schemas.openxmlformats.org/spreadsheetml/2006/main">
  <c r="R118" i="2" l="1"/>
  <c r="Q118" i="2"/>
  <c r="P118" i="2"/>
  <c r="O118" i="2"/>
  <c r="N118" i="2"/>
  <c r="M118" i="2"/>
  <c r="L118" i="2"/>
  <c r="K118" i="2"/>
  <c r="J118" i="2"/>
  <c r="I118" i="2"/>
  <c r="H118" i="2"/>
  <c r="G118" i="2"/>
  <c r="R99" i="2"/>
  <c r="Q99" i="2"/>
  <c r="P99" i="2"/>
  <c r="O99" i="2"/>
  <c r="N99" i="2"/>
  <c r="M99" i="2"/>
  <c r="L99" i="2"/>
  <c r="K99" i="2"/>
  <c r="J99" i="2"/>
  <c r="I99" i="2"/>
  <c r="H99" i="2"/>
  <c r="G99" i="2"/>
  <c r="R80" i="2"/>
  <c r="Q80" i="2"/>
  <c r="P80" i="2"/>
  <c r="O80" i="2"/>
  <c r="N80" i="2"/>
  <c r="M80" i="2"/>
  <c r="L80" i="2"/>
  <c r="K80" i="2"/>
  <c r="J80" i="2"/>
  <c r="I80" i="2"/>
  <c r="H80" i="2"/>
  <c r="G80" i="2"/>
  <c r="R61" i="2"/>
  <c r="Q61" i="2"/>
  <c r="P61" i="2"/>
  <c r="O61" i="2"/>
  <c r="N61" i="2"/>
  <c r="M61" i="2"/>
  <c r="L61" i="2"/>
  <c r="K61" i="2"/>
  <c r="J61" i="2"/>
  <c r="I61" i="2"/>
  <c r="H61" i="2"/>
  <c r="G61" i="2"/>
  <c r="R42" i="2"/>
  <c r="Q42" i="2"/>
  <c r="P42" i="2"/>
  <c r="O42" i="2"/>
  <c r="N42" i="2"/>
  <c r="M42" i="2"/>
  <c r="L42" i="2"/>
  <c r="K42" i="2"/>
  <c r="J42" i="2"/>
  <c r="I42" i="2"/>
  <c r="H42" i="2"/>
  <c r="G42" i="2"/>
  <c r="R23" i="2"/>
  <c r="Q23" i="2"/>
  <c r="P23" i="2"/>
  <c r="O23" i="2"/>
  <c r="N23" i="2"/>
  <c r="M23" i="2"/>
  <c r="L23" i="2"/>
  <c r="K23" i="2"/>
  <c r="J23" i="2"/>
  <c r="I23" i="2"/>
  <c r="H23" i="2"/>
  <c r="G23" i="2"/>
</calcChain>
</file>

<file path=xl/comments1.xml><?xml version="1.0" encoding="utf-8"?>
<comments xmlns="http://schemas.openxmlformats.org/spreadsheetml/2006/main">
  <authors>
    <author>Yayat Nur Falastra</author>
  </authors>
  <commentList>
    <comment ref="P63" authorId="0">
      <text>
        <r>
          <rPr>
            <b/>
            <sz val="9"/>
            <color indexed="81"/>
            <rFont val="Tahoma"/>
            <family val="2"/>
          </rPr>
          <t>Yayat Nur Falastra:</t>
        </r>
        <r>
          <rPr>
            <sz val="9"/>
            <color indexed="81"/>
            <rFont val="Tahoma"/>
            <family val="2"/>
          </rPr>
          <t xml:space="preserve">
- C/O dari CEP 1A
- Tidak jadi, karena flow tidak tercapai
- Flow di 40.000 kg/h (normal di 90.000 kg/h)</t>
        </r>
      </text>
    </comment>
  </commentList>
</comments>
</file>

<file path=xl/sharedStrings.xml><?xml version="1.0" encoding="utf-8"?>
<sst xmlns="http://schemas.openxmlformats.org/spreadsheetml/2006/main" count="353" uniqueCount="64">
  <si>
    <t>Month</t>
  </si>
  <si>
    <t>Load</t>
  </si>
  <si>
    <t>APR</t>
  </si>
  <si>
    <t>Current 1</t>
  </si>
  <si>
    <t>-</t>
  </si>
  <si>
    <t>Current 2</t>
  </si>
  <si>
    <t>Current 3</t>
  </si>
  <si>
    <t>Dev Current</t>
  </si>
  <si>
    <t>&gt; 5 %</t>
  </si>
  <si>
    <t>Voltage 1</t>
  </si>
  <si>
    <t>&lt; 350 V &amp; &gt; 424 V</t>
  </si>
  <si>
    <t>Voltage 2</t>
  </si>
  <si>
    <t>Voltage 3</t>
  </si>
  <si>
    <t>Dev Voltage</t>
  </si>
  <si>
    <t>&gt; 5%</t>
  </si>
  <si>
    <t>Rotorbar Health</t>
  </si>
  <si>
    <t>&gt;3</t>
  </si>
  <si>
    <t>Upper Sideband</t>
  </si>
  <si>
    <t xml:space="preserve">&lt; 42 </t>
  </si>
  <si>
    <t>Lower Sideband</t>
  </si>
  <si>
    <t>Bearing</t>
  </si>
  <si>
    <t>Bad</t>
  </si>
  <si>
    <t>Kondisi</t>
  </si>
  <si>
    <t>AUG</t>
  </si>
  <si>
    <t>DEC</t>
  </si>
  <si>
    <t>FEB</t>
  </si>
  <si>
    <t>JUL</t>
  </si>
  <si>
    <t>JUN</t>
  </si>
  <si>
    <t>MAR</t>
  </si>
  <si>
    <t>MAY</t>
  </si>
  <si>
    <t>NOV</t>
  </si>
  <si>
    <t>OCT</t>
  </si>
  <si>
    <t>SEP</t>
  </si>
  <si>
    <t>JAN</t>
  </si>
  <si>
    <t>power factor</t>
  </si>
  <si>
    <t>&lt;0.8</t>
  </si>
  <si>
    <t>THD Current %</t>
  </si>
  <si>
    <t>THD Voltage %</t>
  </si>
  <si>
    <t>&gt;5</t>
  </si>
  <si>
    <t>Real Power</t>
  </si>
  <si>
    <t>OK</t>
  </si>
  <si>
    <t>NO</t>
  </si>
  <si>
    <t>KKS</t>
  </si>
  <si>
    <t>Equpment</t>
  </si>
  <si>
    <t>Parameter Trending</t>
  </si>
  <si>
    <t>Warning</t>
  </si>
  <si>
    <t>Bulan</t>
  </si>
  <si>
    <t>TRENDING KONSUMSI DAYA MOTOR</t>
  </si>
  <si>
    <t>TRENDING DEVIASI CURRENT MOTOR</t>
  </si>
  <si>
    <t>TRENDING ROTOR BAR HEALTH</t>
  </si>
  <si>
    <t>LJ20MAG10AP011-001</t>
  </si>
  <si>
    <t>EQUIPMENT-VACUUM PUMP A UNIT 2</t>
  </si>
  <si>
    <t>≤ 25%</t>
  </si>
  <si>
    <t>- Normal = Hijau 
- Alarm = Kuning
- High = Merah</t>
  </si>
  <si>
    <t>LJ20MAG10AP012-001</t>
  </si>
  <si>
    <t>EQUIPMENT-VACUUM PUMP B UNIT 2</t>
  </si>
  <si>
    <t>LJ20LCB10AP010-001</t>
  </si>
  <si>
    <t>EQUIPMENT-CONDENSATE EXTRACTION PUMP (CEP) 2A</t>
  </si>
  <si>
    <t>LJ20LCB10AP020-001</t>
  </si>
  <si>
    <t>EQUIPMENT-CONDENSATE EXTRACTION PUMP (CEP) 2B</t>
  </si>
  <si>
    <t>LJ20PGB10AP001-001</t>
  </si>
  <si>
    <t>EQUIPMENT-CLOSED COOLING CIRCULATING WATER PUMP (C3WP) 2A</t>
  </si>
  <si>
    <t>LJ20PGB10AP002-001</t>
  </si>
  <si>
    <t>EQUIPMENT-CLOSED COOLING CIRCULATING WATER PUMP (C3WP) 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</si>
</sst>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9.5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6">
    <xf numFmtId="0" fontId="0" fillId="0" borderId="0" xfId="0"/>
    <xf numFmtId="0" fontId="0" fillId="34" borderId="0" xfId="0" applyFill="1"/>
    <xf numFmtId="0" fontId="0" fillId="34" borderId="0" xfId="0" applyFill="1" applyAlignment="1">
      <alignment horizontal="center" vertical="center"/>
    </xf>
    <xf numFmtId="2" fontId="0" fillId="34" borderId="0" xfId="0" applyNumberFormat="1" applyFill="1"/>
    <xf numFmtId="164" fontId="0" fillId="34" borderId="0" xfId="0" applyNumberFormat="1" applyFill="1"/>
    <xf numFmtId="0" fontId="0" fillId="34" borderId="11" xfId="0" applyFill="1" applyBorder="1"/>
    <xf numFmtId="0" fontId="0" fillId="34" borderId="10" xfId="0" applyFill="1" applyBorder="1"/>
    <xf numFmtId="0" fontId="0" fillId="34" borderId="12" xfId="0" applyFill="1" applyBorder="1"/>
    <xf numFmtId="0" fontId="0" fillId="34" borderId="0" xfId="0" applyFill="1" applyBorder="1"/>
    <xf numFmtId="0" fontId="0" fillId="34" borderId="13" xfId="0" applyFill="1" applyBorder="1"/>
    <xf numFmtId="0" fontId="0" fillId="34" borderId="14" xfId="0" applyFill="1" applyBorder="1"/>
    <xf numFmtId="0" fontId="0" fillId="34" borderId="17" xfId="0" applyFill="1" applyBorder="1"/>
    <xf numFmtId="0" fontId="0" fillId="34" borderId="16" xfId="0" applyFill="1" applyBorder="1"/>
    <xf numFmtId="0" fontId="0" fillId="34" borderId="18" xfId="0" applyFill="1" applyBorder="1"/>
    <xf numFmtId="0" fontId="20" fillId="35" borderId="23" xfId="0" applyFont="1" applyFill="1" applyBorder="1" applyAlignment="1"/>
    <xf numFmtId="0" fontId="21" fillId="35" borderId="24" xfId="0" applyFont="1" applyFill="1" applyBorder="1"/>
    <xf numFmtId="15" fontId="19" fillId="0" borderId="24" xfId="0" applyNumberFormat="1" applyFont="1" applyBorder="1" applyAlignment="1">
      <alignment horizontal="center" vertical="center"/>
    </xf>
    <xf numFmtId="15" fontId="19" fillId="34" borderId="24" xfId="0" applyNumberFormat="1" applyFont="1" applyFill="1" applyBorder="1" applyAlignment="1">
      <alignment horizontal="center" vertical="center"/>
    </xf>
    <xf numFmtId="164" fontId="19" fillId="0" borderId="24" xfId="0" applyNumberFormat="1" applyFont="1" applyBorder="1" applyAlignment="1">
      <alignment horizontal="center" vertical="center"/>
    </xf>
    <xf numFmtId="15" fontId="19" fillId="0" borderId="25" xfId="0" applyNumberFormat="1" applyFont="1" applyBorder="1" applyAlignment="1">
      <alignment horizontal="center" vertical="center"/>
    </xf>
    <xf numFmtId="0" fontId="21" fillId="0" borderId="26" xfId="0" applyFont="1" applyBorder="1" applyAlignment="1">
      <alignment vertical="center"/>
    </xf>
    <xf numFmtId="9" fontId="21" fillId="33" borderId="27" xfId="0" applyNumberFormat="1" applyFont="1" applyFill="1" applyBorder="1" applyAlignment="1">
      <alignment horizontal="center" vertical="center"/>
    </xf>
    <xf numFmtId="164" fontId="21" fillId="0" borderId="24" xfId="0" applyNumberFormat="1" applyFont="1" applyBorder="1" applyAlignment="1">
      <alignment horizontal="center" vertical="center"/>
    </xf>
    <xf numFmtId="164" fontId="21" fillId="0" borderId="28" xfId="0" applyNumberFormat="1" applyFont="1" applyBorder="1" applyAlignment="1">
      <alignment horizontal="center" vertical="center"/>
    </xf>
    <xf numFmtId="164" fontId="21" fillId="0" borderId="25" xfId="0" applyNumberFormat="1" applyFont="1" applyBorder="1" applyAlignment="1">
      <alignment horizontal="center" vertical="center"/>
    </xf>
    <xf numFmtId="0" fontId="21" fillId="0" borderId="27" xfId="0" applyFont="1" applyBorder="1" applyAlignment="1">
      <alignment vertical="center"/>
    </xf>
    <xf numFmtId="0" fontId="21" fillId="0" borderId="27" xfId="0" quotePrefix="1" applyFont="1" applyBorder="1" applyAlignment="1">
      <alignment horizontal="center" vertical="center"/>
    </xf>
    <xf numFmtId="164" fontId="21" fillId="34" borderId="27" xfId="0" applyNumberFormat="1" applyFont="1" applyFill="1" applyBorder="1" applyAlignment="1">
      <alignment horizontal="center" vertical="center"/>
    </xf>
    <xf numFmtId="164" fontId="21" fillId="0" borderId="27" xfId="0" applyNumberFormat="1" applyFont="1" applyBorder="1" applyAlignment="1">
      <alignment horizontal="center" vertical="center"/>
    </xf>
    <xf numFmtId="164" fontId="21" fillId="0" borderId="27" xfId="0" applyNumberFormat="1" applyFont="1" applyFill="1" applyBorder="1" applyAlignment="1">
      <alignment horizontal="center" vertical="center"/>
    </xf>
    <xf numFmtId="164" fontId="21" fillId="36" borderId="27" xfId="0" applyNumberFormat="1" applyFont="1" applyFill="1" applyBorder="1" applyAlignment="1">
      <alignment horizontal="center" vertical="center" wrapText="1"/>
    </xf>
    <xf numFmtId="2" fontId="21" fillId="0" borderId="27" xfId="0" applyNumberFormat="1" applyFont="1" applyBorder="1" applyAlignment="1">
      <alignment horizontal="center" vertical="center"/>
    </xf>
    <xf numFmtId="2" fontId="21" fillId="0" borderId="28" xfId="0" applyNumberFormat="1" applyFont="1" applyBorder="1" applyAlignment="1">
      <alignment horizontal="center" vertical="center"/>
    </xf>
    <xf numFmtId="0" fontId="21" fillId="33" borderId="27" xfId="0" applyFont="1" applyFill="1" applyBorder="1" applyAlignment="1">
      <alignment horizontal="center" vertical="center"/>
    </xf>
    <xf numFmtId="164" fontId="21" fillId="34" borderId="29" xfId="0" applyNumberFormat="1" applyFont="1" applyFill="1" applyBorder="1" applyAlignment="1">
      <alignment horizontal="center" vertical="center"/>
    </xf>
    <xf numFmtId="2" fontId="21" fillId="34" borderId="27" xfId="0" applyNumberFormat="1" applyFont="1" applyFill="1" applyBorder="1" applyAlignment="1">
      <alignment horizontal="center" vertical="center"/>
    </xf>
    <xf numFmtId="2" fontId="21" fillId="0" borderId="27" xfId="0" applyNumberFormat="1" applyFont="1" applyFill="1" applyBorder="1" applyAlignment="1">
      <alignment horizontal="center" vertical="center"/>
    </xf>
    <xf numFmtId="0" fontId="21" fillId="0" borderId="29" xfId="0" applyFont="1" applyBorder="1" applyAlignment="1">
      <alignment vertical="center"/>
    </xf>
    <xf numFmtId="164" fontId="21" fillId="0" borderId="27" xfId="0" quotePrefix="1" applyNumberFormat="1" applyFont="1" applyBorder="1" applyAlignment="1">
      <alignment horizontal="center" vertical="center"/>
    </xf>
    <xf numFmtId="1" fontId="21" fillId="0" borderId="27" xfId="0" applyNumberFormat="1" applyFont="1" applyBorder="1" applyAlignment="1">
      <alignment horizontal="center" vertical="center"/>
    </xf>
    <xf numFmtId="1" fontId="21" fillId="34" borderId="27" xfId="0" applyNumberFormat="1" applyFont="1" applyFill="1" applyBorder="1" applyAlignment="1">
      <alignment horizontal="center" vertical="center"/>
    </xf>
    <xf numFmtId="1" fontId="21" fillId="0" borderId="27" xfId="0" applyNumberFormat="1" applyFont="1" applyFill="1" applyBorder="1" applyAlignment="1">
      <alignment horizontal="center" vertical="center"/>
    </xf>
    <xf numFmtId="1" fontId="21" fillId="0" borderId="28" xfId="0" applyNumberFormat="1" applyFont="1" applyBorder="1" applyAlignment="1">
      <alignment horizontal="center" vertical="center"/>
    </xf>
    <xf numFmtId="164" fontId="21" fillId="0" borderId="30" xfId="0" applyNumberFormat="1" applyFont="1" applyFill="1" applyBorder="1" applyAlignment="1">
      <alignment horizontal="center" vertical="center"/>
    </xf>
    <xf numFmtId="164" fontId="21" fillId="34" borderId="30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1" fillId="37" borderId="28" xfId="0" applyFont="1" applyFill="1" applyBorder="1" applyAlignment="1">
      <alignment horizontal="center" vertical="center"/>
    </xf>
    <xf numFmtId="0" fontId="21" fillId="33" borderId="28" xfId="0" quotePrefix="1" applyFont="1" applyFill="1" applyBorder="1" applyAlignment="1">
      <alignment horizontal="center" vertical="center" wrapText="1"/>
    </xf>
    <xf numFmtId="164" fontId="21" fillId="33" borderId="27" xfId="0" applyNumberFormat="1" applyFont="1" applyFill="1" applyBorder="1" applyAlignment="1">
      <alignment horizontal="center" vertical="center"/>
    </xf>
    <xf numFmtId="164" fontId="21" fillId="33" borderId="28" xfId="0" applyNumberFormat="1" applyFont="1" applyFill="1" applyBorder="1" applyAlignment="1">
      <alignment horizontal="center" vertical="center"/>
    </xf>
    <xf numFmtId="0" fontId="21" fillId="35" borderId="0" xfId="0" applyFont="1" applyFill="1" applyBorder="1"/>
    <xf numFmtId="15" fontId="19" fillId="0" borderId="27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0" fillId="35" borderId="26" xfId="0" applyFont="1" applyFill="1" applyBorder="1" applyAlignment="1"/>
    <xf numFmtId="164" fontId="19" fillId="0" borderId="27" xfId="0" applyNumberFormat="1" applyFont="1" applyBorder="1" applyAlignment="1">
      <alignment horizontal="center" vertical="center"/>
    </xf>
    <xf numFmtId="164" fontId="21" fillId="0" borderId="24" xfId="0" applyNumberFormat="1" applyFont="1" applyFill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164" fontId="21" fillId="33" borderId="29" xfId="0" applyNumberFormat="1" applyFont="1" applyFill="1" applyBorder="1" applyAlignment="1">
      <alignment horizontal="center" vertical="center"/>
    </xf>
    <xf numFmtId="0" fontId="20" fillId="35" borderId="27" xfId="0" applyFont="1" applyFill="1" applyBorder="1" applyAlignment="1"/>
    <xf numFmtId="0" fontId="21" fillId="35" borderId="28" xfId="0" applyFont="1" applyFill="1" applyBorder="1"/>
    <xf numFmtId="164" fontId="22" fillId="36" borderId="27" xfId="0" applyNumberFormat="1" applyFont="1" applyFill="1" applyBorder="1" applyAlignment="1">
      <alignment horizontal="center" vertical="center" wrapText="1"/>
    </xf>
    <xf numFmtId="0" fontId="21" fillId="0" borderId="28" xfId="0" quotePrefix="1" applyFont="1" applyFill="1" applyBorder="1" applyAlignment="1">
      <alignment horizontal="center" vertical="center" wrapText="1"/>
    </xf>
    <xf numFmtId="0" fontId="21" fillId="35" borderId="27" xfId="0" applyFont="1" applyFill="1" applyBorder="1"/>
    <xf numFmtId="0" fontId="20" fillId="34" borderId="19" xfId="0" applyFont="1" applyFill="1" applyBorder="1" applyAlignment="1">
      <alignment horizontal="center" vertical="center"/>
    </xf>
    <xf numFmtId="0" fontId="20" fillId="34" borderId="21" xfId="0" applyFont="1" applyFill="1" applyBorder="1" applyAlignment="1">
      <alignment horizontal="center" vertical="center"/>
    </xf>
    <xf numFmtId="0" fontId="20" fillId="34" borderId="22" xfId="0" applyFont="1" applyFill="1" applyBorder="1" applyAlignment="1">
      <alignment horizontal="center" vertical="center"/>
    </xf>
    <xf numFmtId="0" fontId="20" fillId="34" borderId="19" xfId="0" applyFont="1" applyFill="1" applyBorder="1" applyAlignment="1">
      <alignment horizontal="center" vertical="center" wrapText="1"/>
    </xf>
    <xf numFmtId="0" fontId="20" fillId="34" borderId="21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32" xfId="0" applyFont="1" applyFill="1" applyBorder="1" applyAlignment="1">
      <alignment horizontal="center" vertical="center"/>
    </xf>
    <xf numFmtId="0" fontId="20" fillId="35" borderId="31" xfId="0" applyFont="1" applyFill="1" applyBorder="1" applyAlignment="1">
      <alignment horizontal="center" vertical="center"/>
    </xf>
    <xf numFmtId="0" fontId="20" fillId="35" borderId="15" xfId="0" applyFont="1" applyFill="1" applyBorder="1" applyAlignment="1">
      <alignment horizontal="center" vertical="center"/>
    </xf>
    <xf numFmtId="0" fontId="20" fillId="35" borderId="13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/>
    </xf>
    <xf numFmtId="0" fontId="18" fillId="34" borderId="13" xfId="0" applyFont="1" applyFill="1" applyBorder="1" applyAlignment="1">
      <alignment horizontal="center" vertical="center"/>
    </xf>
    <xf numFmtId="0" fontId="18" fillId="34" borderId="0" xfId="0" applyFont="1" applyFill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8" fillId="34" borderId="17" xfId="0" applyFont="1" applyFill="1" applyBorder="1" applyAlignment="1">
      <alignment horizontal="center" vertical="center"/>
    </xf>
    <xf numFmtId="0" fontId="18" fillId="34" borderId="12" xfId="0" applyFont="1" applyFill="1" applyBorder="1" applyAlignment="1">
      <alignment horizontal="center" vertical="center"/>
    </xf>
    <xf numFmtId="0" fontId="18" fillId="34" borderId="0" xfId="0" applyFont="1" applyFill="1" applyBorder="1" applyAlignment="1">
      <alignment horizontal="center" vertical="center"/>
    </xf>
    <xf numFmtId="0" fontId="18" fillId="34" borderId="14" xfId="0" applyFont="1" applyFill="1" applyBorder="1" applyAlignment="1">
      <alignment horizontal="center" vertical="center"/>
    </xf>
    <xf numFmtId="0" fontId="18" fillId="34" borderId="18" xfId="0" applyFont="1" applyFill="1" applyBorder="1" applyAlignment="1">
      <alignment horizontal="center" vertical="center"/>
    </xf>
    <xf numFmtId="0" fontId="19" fillId="35" borderId="19" xfId="0" applyFont="1" applyFill="1" applyBorder="1" applyAlignment="1">
      <alignment horizontal="center" vertical="center"/>
    </xf>
    <xf numFmtId="0" fontId="19" fillId="35" borderId="21" xfId="0" applyFont="1" applyFill="1" applyBorder="1" applyAlignment="1">
      <alignment horizontal="center" vertical="center"/>
    </xf>
    <xf numFmtId="0" fontId="19" fillId="35" borderId="22" xfId="0" applyFont="1" applyFill="1" applyBorder="1" applyAlignment="1">
      <alignment horizontal="center" vertical="center"/>
    </xf>
    <xf numFmtId="0" fontId="19" fillId="35" borderId="20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00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KONSUMSI DAYA VACUUM PUMP 2A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'[1]UNIT 2 2023'!$E$25</c:f>
              <c:strCache>
                <c:ptCount val="1"/>
                <c:pt idx="0">
                  <c:v>Real Power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'[1]UNIT 2 2023'!$G$12:$R$12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'[1]UNIT 2 2023'!$G$25:$R$25</c:f>
              <c:numCache>
                <c:formatCode>0.0</c:formatCode>
                <c:ptCount val="12"/>
                <c:pt idx="0">
                  <c:v>24.94</c:v>
                </c:pt>
                <c:pt idx="1">
                  <c:v>25.3</c:v>
                </c:pt>
                <c:pt idx="2">
                  <c:v>24.5</c:v>
                </c:pt>
                <c:pt idx="3">
                  <c:v>24.98</c:v>
                </c:pt>
                <c:pt idx="4">
                  <c:v>24.45</c:v>
                </c:pt>
                <c:pt idx="5">
                  <c:v>24.45</c:v>
                </c:pt>
                <c:pt idx="6">
                  <c:v>24.89</c:v>
                </c:pt>
                <c:pt idx="7">
                  <c:v>24.38</c:v>
                </c:pt>
                <c:pt idx="8">
                  <c:v>24.21</c:v>
                </c:pt>
                <c:pt idx="9">
                  <c:v>24.31</c:v>
                </c:pt>
                <c:pt idx="10">
                  <c:v>23.99</c:v>
                </c:pt>
                <c:pt idx="11" formatCode="0.00">
                  <c:v>24.57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3337088"/>
        <c:axId val="817084032"/>
      </c:lineChart>
      <c:catAx>
        <c:axId val="73333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7084032"/>
        <c:crosses val="autoZero"/>
        <c:auto val="1"/>
        <c:lblAlgn val="ctr"/>
        <c:lblOffset val="100"/>
        <c:noMultiLvlLbl val="0"/>
      </c:catAx>
      <c:valAx>
        <c:axId val="81708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333333"/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333708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6181977252843393"/>
          <c:y val="0.10732887094394292"/>
          <c:w val="7.8127323928258996E-2"/>
          <c:h val="3.23690458624529E-2"/>
        </c:manualLayout>
      </c:layout>
      <c:overlay val="0"/>
      <c:txPr>
        <a:bodyPr/>
        <a:lstStyle/>
        <a:p>
          <a:pPr>
            <a:defRPr sz="26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t>DEV CURRENT VACUUM PUMP 2A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'[1]UNIT 2 2023'!$E$17</c:f>
              <c:strCache>
                <c:ptCount val="1"/>
                <c:pt idx="0">
                  <c:v>Dev Current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'[1]UNIT 2 2023'!$G$12:$R$12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'[1]UNIT 2 2023'!$G$17:$R$17</c:f>
              <c:numCache>
                <c:formatCode>0.00</c:formatCode>
                <c:ptCount val="12"/>
                <c:pt idx="0">
                  <c:v>0.9</c:v>
                </c:pt>
                <c:pt idx="1">
                  <c:v>1.1000000000000001</c:v>
                </c:pt>
                <c:pt idx="2">
                  <c:v>0.7</c:v>
                </c:pt>
                <c:pt idx="3">
                  <c:v>1.1000000000000001</c:v>
                </c:pt>
                <c:pt idx="4">
                  <c:v>1.1000000000000001</c:v>
                </c:pt>
                <c:pt idx="5">
                  <c:v>1.1000000000000001</c:v>
                </c:pt>
                <c:pt idx="6">
                  <c:v>1.4</c:v>
                </c:pt>
                <c:pt idx="7">
                  <c:v>1.4</c:v>
                </c:pt>
                <c:pt idx="8">
                  <c:v>1.3</c:v>
                </c:pt>
                <c:pt idx="9">
                  <c:v>1.2</c:v>
                </c:pt>
                <c:pt idx="10">
                  <c:v>1.1000000000000001</c:v>
                </c:pt>
                <c:pt idx="11">
                  <c:v>1.1000000000000001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7317888"/>
        <c:axId val="909245184"/>
      </c:lineChart>
      <c:catAx>
        <c:axId val="81731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245184"/>
        <c:crosses val="autoZero"/>
        <c:auto val="1"/>
        <c:lblAlgn val="ctr"/>
        <c:lblOffset val="100"/>
        <c:noMultiLvlLbl val="0"/>
      </c:catAx>
      <c:valAx>
        <c:axId val="90924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333333"/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731788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6008352471566055"/>
          <c:y val="0.10642237710151096"/>
          <c:w val="0.53994709645669292"/>
          <c:h val="0.13851803575228772"/>
        </c:manualLayout>
      </c:layout>
      <c:overlay val="0"/>
      <c:txPr>
        <a:bodyPr/>
        <a:lstStyle/>
        <a:p>
          <a:pPr>
            <a:defRPr sz="26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t>ROTOR BAR HEALTH VACUUM PUMP 2A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'[1]UNIT 2 2023'!$E$26</c:f>
              <c:strCache>
                <c:ptCount val="1"/>
                <c:pt idx="0">
                  <c:v>Rotorbar Health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'[1]UNIT 2 2023'!$G$12:$R$12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'[1]UNIT 2 2023'!$G$26:$R$26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7336320"/>
        <c:axId val="909935168"/>
      </c:lineChart>
      <c:catAx>
        <c:axId val="81733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935168"/>
        <c:crosses val="autoZero"/>
        <c:auto val="1"/>
        <c:lblAlgn val="ctr"/>
        <c:lblOffset val="100"/>
        <c:noMultiLvlLbl val="0"/>
      </c:catAx>
      <c:valAx>
        <c:axId val="90993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333333"/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733632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5313894356955381"/>
          <c:y val="0.10016460381870683"/>
          <c:w val="0.54341945538057745"/>
          <c:h val="0.13086029028277765"/>
        </c:manualLayout>
      </c:layout>
      <c:overlay val="0"/>
      <c:txPr>
        <a:bodyPr/>
        <a:lstStyle/>
        <a:p>
          <a:pPr>
            <a:defRPr sz="26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KONSUMSI DAYA VACUUM PUMP 2B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'[1]UNIT 2 2023'!$E$44</c:f>
              <c:strCache>
                <c:ptCount val="1"/>
                <c:pt idx="0">
                  <c:v>Real Power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'[1]UNIT 2 2023'!$G$12:$R$12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'[1]UNIT 2 2023'!$G$44:$R$44</c:f>
              <c:numCache>
                <c:formatCode>0.0</c:formatCode>
                <c:ptCount val="12"/>
                <c:pt idx="0">
                  <c:v>29.02</c:v>
                </c:pt>
                <c:pt idx="1">
                  <c:v>29.02</c:v>
                </c:pt>
                <c:pt idx="2">
                  <c:v>28.87</c:v>
                </c:pt>
                <c:pt idx="3">
                  <c:v>29.12</c:v>
                </c:pt>
                <c:pt idx="4">
                  <c:v>29.01</c:v>
                </c:pt>
                <c:pt idx="5">
                  <c:v>29.01</c:v>
                </c:pt>
                <c:pt idx="6">
                  <c:v>29.12</c:v>
                </c:pt>
                <c:pt idx="7">
                  <c:v>29.03</c:v>
                </c:pt>
                <c:pt idx="8">
                  <c:v>28.98</c:v>
                </c:pt>
                <c:pt idx="9">
                  <c:v>28.93</c:v>
                </c:pt>
                <c:pt idx="10">
                  <c:v>28.84</c:v>
                </c:pt>
                <c:pt idx="11" formatCode="0.00">
                  <c:v>28.66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7336832"/>
        <c:axId val="909936896"/>
      </c:lineChart>
      <c:catAx>
        <c:axId val="81733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936896"/>
        <c:crosses val="autoZero"/>
        <c:auto val="1"/>
        <c:lblAlgn val="ctr"/>
        <c:lblOffset val="100"/>
        <c:noMultiLvlLbl val="0"/>
      </c:catAx>
      <c:valAx>
        <c:axId val="90993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333333"/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73368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6181977252843393"/>
          <c:y val="0.10016460381870683"/>
          <c:w val="7.8127323928258996E-2"/>
          <c:h val="3.0695686464070823E-2"/>
        </c:manualLayout>
      </c:layout>
      <c:overlay val="0"/>
      <c:txPr>
        <a:bodyPr/>
        <a:lstStyle/>
        <a:p>
          <a:pPr>
            <a:defRPr sz="26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t>DEV CURRENT VACUUM PUMP 2B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'[1]UNIT 2 2023'!$E$36</c:f>
              <c:strCache>
                <c:ptCount val="1"/>
                <c:pt idx="0">
                  <c:v>Dev Current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'[1]UNIT 2 2023'!$G$12:$R$12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'[1]UNIT 2 2023'!$G$36:$R$36</c:f>
              <c:numCache>
                <c:formatCode>0.00</c:formatCode>
                <c:ptCount val="12"/>
                <c:pt idx="0">
                  <c:v>1.1000000000000001</c:v>
                </c:pt>
                <c:pt idx="1">
                  <c:v>1.1000000000000001</c:v>
                </c:pt>
                <c:pt idx="2">
                  <c:v>0.6</c:v>
                </c:pt>
                <c:pt idx="3">
                  <c:v>1.2</c:v>
                </c:pt>
                <c:pt idx="4">
                  <c:v>1.1000000000000001</c:v>
                </c:pt>
                <c:pt idx="5">
                  <c:v>1.1000000000000001</c:v>
                </c:pt>
                <c:pt idx="6">
                  <c:v>1</c:v>
                </c:pt>
                <c:pt idx="7">
                  <c:v>1.2</c:v>
                </c:pt>
                <c:pt idx="8">
                  <c:v>1.2</c:v>
                </c:pt>
                <c:pt idx="9">
                  <c:v>1.2</c:v>
                </c:pt>
                <c:pt idx="10">
                  <c:v>1.5</c:v>
                </c:pt>
                <c:pt idx="11">
                  <c:v>1.2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7338880"/>
        <c:axId val="909938624"/>
      </c:lineChart>
      <c:catAx>
        <c:axId val="81733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938624"/>
        <c:crosses val="autoZero"/>
        <c:auto val="1"/>
        <c:lblAlgn val="ctr"/>
        <c:lblOffset val="100"/>
        <c:noMultiLvlLbl val="0"/>
      </c:catAx>
      <c:valAx>
        <c:axId val="90993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333333"/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733888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6008352471566055"/>
          <c:y val="0.10016460381870683"/>
          <c:w val="0.53994709645669292"/>
          <c:h val="0.13086029028277765"/>
        </c:manualLayout>
      </c:layout>
      <c:overlay val="0"/>
      <c:txPr>
        <a:bodyPr/>
        <a:lstStyle/>
        <a:p>
          <a:pPr>
            <a:defRPr sz="26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t>ROTOR BAR HEALTH VACUUM PUMP 2B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'[1]UNIT 2 2023'!$E$45</c:f>
              <c:strCache>
                <c:ptCount val="1"/>
                <c:pt idx="0">
                  <c:v>Rotorbar Health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'[1]UNIT 2 2023'!$G$12:$R$12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'[1]UNIT 2 2023'!$G$45:$R$45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 formatCode="0">
                  <c:v>1</c:v>
                </c:pt>
                <c:pt idx="3" formatCode="0">
                  <c:v>1</c:v>
                </c:pt>
                <c:pt idx="4" formatCode="0">
                  <c:v>1</c:v>
                </c:pt>
                <c:pt idx="5" formatCode="0">
                  <c:v>1</c:v>
                </c:pt>
                <c:pt idx="6" formatCode="0">
                  <c:v>1</c:v>
                </c:pt>
                <c:pt idx="7" formatCode="0">
                  <c:v>1</c:v>
                </c:pt>
                <c:pt idx="8" formatCode="0">
                  <c:v>1</c:v>
                </c:pt>
                <c:pt idx="9" formatCode="0">
                  <c:v>1</c:v>
                </c:pt>
                <c:pt idx="10" formatCode="0">
                  <c:v>1</c:v>
                </c:pt>
                <c:pt idx="11" formatCode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7404416"/>
        <c:axId val="909940352"/>
      </c:lineChart>
      <c:catAx>
        <c:axId val="81740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940352"/>
        <c:crosses val="autoZero"/>
        <c:auto val="1"/>
        <c:lblAlgn val="ctr"/>
        <c:lblOffset val="100"/>
        <c:noMultiLvlLbl val="0"/>
      </c:catAx>
      <c:valAx>
        <c:axId val="90994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333333"/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740441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5313894356955381"/>
          <c:y val="0.10016460381870683"/>
          <c:w val="0.54341945538057745"/>
          <c:h val="0.13086029028277765"/>
        </c:manualLayout>
      </c:layout>
      <c:overlay val="0"/>
      <c:txPr>
        <a:bodyPr/>
        <a:lstStyle/>
        <a:p>
          <a:pPr>
            <a:defRPr sz="26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KONSUMSI DAYA CONDENSATE PUMP 2A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'[1]UNIT 2 2023'!$E$63</c:f>
              <c:strCache>
                <c:ptCount val="1"/>
                <c:pt idx="0">
                  <c:v>Real Power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'[1]UNIT 2 2023'!$G$12:$R$12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'[1]UNIT 2 2023'!$G$63:$R$63</c:f>
              <c:numCache>
                <c:formatCode>0.0</c:formatCode>
                <c:ptCount val="12"/>
                <c:pt idx="0">
                  <c:v>60.64</c:v>
                </c:pt>
                <c:pt idx="1">
                  <c:v>60.86</c:v>
                </c:pt>
                <c:pt idx="2">
                  <c:v>61.11</c:v>
                </c:pt>
                <c:pt idx="3">
                  <c:v>60.39</c:v>
                </c:pt>
                <c:pt idx="4">
                  <c:v>60.39</c:v>
                </c:pt>
                <c:pt idx="6">
                  <c:v>59.41</c:v>
                </c:pt>
                <c:pt idx="7">
                  <c:v>60.8</c:v>
                </c:pt>
                <c:pt idx="8">
                  <c:v>60.65</c:v>
                </c:pt>
                <c:pt idx="9">
                  <c:v>60.67</c:v>
                </c:pt>
                <c:pt idx="10">
                  <c:v>59.9</c:v>
                </c:pt>
                <c:pt idx="11" formatCode="0.00">
                  <c:v>59.79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7419264"/>
        <c:axId val="950215232"/>
      </c:lineChart>
      <c:catAx>
        <c:axId val="81741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215232"/>
        <c:crosses val="autoZero"/>
        <c:auto val="1"/>
        <c:lblAlgn val="ctr"/>
        <c:lblOffset val="100"/>
        <c:noMultiLvlLbl val="0"/>
      </c:catAx>
      <c:valAx>
        <c:axId val="95021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333333"/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741926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6181977252843393"/>
          <c:y val="0.10732887094394292"/>
          <c:w val="7.8127323928258996E-2"/>
          <c:h val="3.23690458624529E-2"/>
        </c:manualLayout>
      </c:layout>
      <c:overlay val="0"/>
      <c:txPr>
        <a:bodyPr/>
        <a:lstStyle/>
        <a:p>
          <a:pPr>
            <a:defRPr sz="26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t>DEV CURRENT CONDENSATE PUMP 2A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'[1]UNIT 2 2023'!$E$55</c:f>
              <c:strCache>
                <c:ptCount val="1"/>
                <c:pt idx="0">
                  <c:v>Dev Current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'[1]UNIT 2 2023'!$G$12:$R$12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'[1]UNIT 2 2023'!$G$55:$R$55</c:f>
              <c:numCache>
                <c:formatCode>0.00</c:formatCode>
                <c:ptCount val="12"/>
                <c:pt idx="0">
                  <c:v>0.6</c:v>
                </c:pt>
                <c:pt idx="1">
                  <c:v>1.2</c:v>
                </c:pt>
                <c:pt idx="2">
                  <c:v>0.7</c:v>
                </c:pt>
                <c:pt idx="3">
                  <c:v>1.2</c:v>
                </c:pt>
                <c:pt idx="4">
                  <c:v>1.2</c:v>
                </c:pt>
                <c:pt idx="6">
                  <c:v>1.6</c:v>
                </c:pt>
                <c:pt idx="7">
                  <c:v>1.5</c:v>
                </c:pt>
                <c:pt idx="8">
                  <c:v>1.4</c:v>
                </c:pt>
                <c:pt idx="9">
                  <c:v>1.4</c:v>
                </c:pt>
                <c:pt idx="10">
                  <c:v>1.2</c:v>
                </c:pt>
                <c:pt idx="11">
                  <c:v>1.2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7702400"/>
        <c:axId val="953265536"/>
      </c:lineChart>
      <c:catAx>
        <c:axId val="81770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265536"/>
        <c:crosses val="autoZero"/>
        <c:auto val="1"/>
        <c:lblAlgn val="ctr"/>
        <c:lblOffset val="100"/>
        <c:noMultiLvlLbl val="0"/>
      </c:catAx>
      <c:valAx>
        <c:axId val="95326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333333"/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77024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6008352471566055"/>
          <c:y val="0.10316480406671297"/>
          <c:w val="0.53994709645669292"/>
          <c:h val="0.1347798288941004"/>
        </c:manualLayout>
      </c:layout>
      <c:overlay val="0"/>
      <c:txPr>
        <a:bodyPr/>
        <a:lstStyle/>
        <a:p>
          <a:pPr>
            <a:defRPr sz="26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t>ROTOR BAR HEALTH CONDENSATE PUMP 2A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'[1]UNIT 2 2023'!$E$64</c:f>
              <c:strCache>
                <c:ptCount val="1"/>
                <c:pt idx="0">
                  <c:v>Rotorbar Health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'[1]UNIT 2 2023'!$G$12:$R$12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'[1]UNIT 2 2023'!$G$64:$R$64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7720320"/>
        <c:axId val="956515456"/>
      </c:lineChart>
      <c:catAx>
        <c:axId val="81772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515456"/>
        <c:crosses val="autoZero"/>
        <c:auto val="1"/>
        <c:lblAlgn val="ctr"/>
        <c:lblOffset val="100"/>
        <c:noMultiLvlLbl val="0"/>
      </c:catAx>
      <c:valAx>
        <c:axId val="95651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333333"/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772032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5313894356955381"/>
          <c:y val="0.10016460381870683"/>
          <c:w val="0.54341945538057745"/>
          <c:h val="0.13086029028277765"/>
        </c:manualLayout>
      </c:layout>
      <c:overlay val="0"/>
      <c:txPr>
        <a:bodyPr/>
        <a:lstStyle/>
        <a:p>
          <a:pPr>
            <a:defRPr sz="26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KONSUMSI DAYA CONDENSATE PUMP 2B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'[1]UNIT 2 2023'!$E$82</c:f>
              <c:strCache>
                <c:ptCount val="1"/>
                <c:pt idx="0">
                  <c:v>Real Power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'[1]UNIT 2 2023'!$G$12:$R$12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'[1]UNIT 2 2023'!$G$82:$R$82</c:f>
              <c:numCache>
                <c:formatCode>0.0</c:formatCode>
                <c:ptCount val="12"/>
                <c:pt idx="5">
                  <c:v>60.25</c:v>
                </c:pt>
                <c:pt idx="9">
                  <c:v>61.2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8274816"/>
        <c:axId val="956518336"/>
      </c:lineChart>
      <c:catAx>
        <c:axId val="81827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518336"/>
        <c:crosses val="autoZero"/>
        <c:auto val="1"/>
        <c:lblAlgn val="ctr"/>
        <c:lblOffset val="100"/>
        <c:noMultiLvlLbl val="0"/>
      </c:catAx>
      <c:valAx>
        <c:axId val="95651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333333"/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827481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6181977252843393"/>
          <c:y val="0.10732860266401964"/>
          <c:w val="7.8127323928258996E-2"/>
          <c:h val="3.2368777582529623E-2"/>
        </c:manualLayout>
      </c:layout>
      <c:overlay val="0"/>
      <c:txPr>
        <a:bodyPr/>
        <a:lstStyle/>
        <a:p>
          <a:pPr>
            <a:defRPr sz="26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t>DEV CURRENT CONDENSATE PUMP 2B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'[1]UNIT 2 2023'!$E$74</c:f>
              <c:strCache>
                <c:ptCount val="1"/>
                <c:pt idx="0">
                  <c:v>Dev Current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'[1]UNIT 2 2023'!$G$12:$R$12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'[1]UNIT 2 2023'!$G$74:$R$74</c:f>
              <c:numCache>
                <c:formatCode>0.00</c:formatCode>
                <c:ptCount val="12"/>
                <c:pt idx="5">
                  <c:v>1.6</c:v>
                </c:pt>
                <c:pt idx="9">
                  <c:v>1.5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8275328"/>
        <c:axId val="956521792"/>
      </c:lineChart>
      <c:catAx>
        <c:axId val="81827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521792"/>
        <c:crosses val="autoZero"/>
        <c:auto val="1"/>
        <c:lblAlgn val="ctr"/>
        <c:lblOffset val="100"/>
        <c:noMultiLvlLbl val="0"/>
      </c:catAx>
      <c:valAx>
        <c:axId val="95652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333333"/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827532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6008352471566055"/>
          <c:y val="0.10732860266401964"/>
          <c:w val="0.53994709645669292"/>
          <c:h val="0.13969738024654926"/>
        </c:manualLayout>
      </c:layout>
      <c:overlay val="0"/>
      <c:txPr>
        <a:bodyPr/>
        <a:lstStyle/>
        <a:p>
          <a:pPr>
            <a:defRPr sz="26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t>ROTOR BAR HEALTH CONDENSATE PUMP 2B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'[1]UNIT 2 2023'!$E$83</c:f>
              <c:strCache>
                <c:ptCount val="1"/>
                <c:pt idx="0">
                  <c:v>Rotorbar Health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'[1]UNIT 2 2023'!$G$12:$R$12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'[1]UNIT 2 2023'!$G$83:$R$83</c:f>
              <c:numCache>
                <c:formatCode>0</c:formatCode>
                <c:ptCount val="12"/>
                <c:pt idx="5">
                  <c:v>1</c:v>
                </c:pt>
                <c:pt idx="9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0493824"/>
        <c:axId val="960998208"/>
      </c:lineChart>
      <c:catAx>
        <c:axId val="82049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998208"/>
        <c:crosses val="autoZero"/>
        <c:auto val="1"/>
        <c:lblAlgn val="ctr"/>
        <c:lblOffset val="100"/>
        <c:noMultiLvlLbl val="0"/>
      </c:catAx>
      <c:valAx>
        <c:axId val="96099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333333"/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049382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5313894356955381"/>
          <c:y val="0.10316480406671297"/>
          <c:w val="0.54341945538057745"/>
          <c:h val="0.1347798288941004"/>
        </c:manualLayout>
      </c:layout>
      <c:overlay val="0"/>
      <c:txPr>
        <a:bodyPr/>
        <a:lstStyle/>
        <a:p>
          <a:pPr>
            <a:defRPr sz="26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KONSUMSI DAYA C3WP 2A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'[1]UNIT 2 2023'!$E$101</c:f>
              <c:strCache>
                <c:ptCount val="1"/>
                <c:pt idx="0">
                  <c:v>Real Power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'[1]UNIT 2 2023'!$G$12:$R$12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'[1]UNIT 2 2023'!$G$101:$R$101</c:f>
              <c:numCache>
                <c:formatCode>0.0</c:formatCode>
                <c:ptCount val="12"/>
                <c:pt idx="0">
                  <c:v>75.67</c:v>
                </c:pt>
                <c:pt idx="1">
                  <c:v>75.790000000000006</c:v>
                </c:pt>
                <c:pt idx="2">
                  <c:v>69.17</c:v>
                </c:pt>
                <c:pt idx="3">
                  <c:v>69.040000000000006</c:v>
                </c:pt>
                <c:pt idx="4">
                  <c:v>71.47</c:v>
                </c:pt>
                <c:pt idx="5">
                  <c:v>71.47</c:v>
                </c:pt>
                <c:pt idx="6">
                  <c:v>71.8</c:v>
                </c:pt>
                <c:pt idx="7">
                  <c:v>71.23</c:v>
                </c:pt>
                <c:pt idx="8">
                  <c:v>71.13</c:v>
                </c:pt>
                <c:pt idx="9">
                  <c:v>71.17</c:v>
                </c:pt>
                <c:pt idx="10">
                  <c:v>70.760000000000005</c:v>
                </c:pt>
                <c:pt idx="11">
                  <c:v>71.069999999999993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0749312"/>
        <c:axId val="961001664"/>
      </c:lineChart>
      <c:catAx>
        <c:axId val="82074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001664"/>
        <c:crosses val="autoZero"/>
        <c:auto val="1"/>
        <c:lblAlgn val="ctr"/>
        <c:lblOffset val="100"/>
        <c:noMultiLvlLbl val="0"/>
      </c:catAx>
      <c:valAx>
        <c:axId val="96100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333333"/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074931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6181977252843393"/>
          <c:y val="0.10732887094394292"/>
          <c:w val="7.8127323928258996E-2"/>
          <c:h val="3.23690458624529E-2"/>
        </c:manualLayout>
      </c:layout>
      <c:overlay val="0"/>
      <c:txPr>
        <a:bodyPr/>
        <a:lstStyle/>
        <a:p>
          <a:pPr>
            <a:defRPr sz="26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t>DEV CURRENT C3WP 2A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'[1]UNIT 2 2023'!$E$93</c:f>
              <c:strCache>
                <c:ptCount val="1"/>
                <c:pt idx="0">
                  <c:v>Dev Current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'[1]UNIT 2 2023'!$G$12:$R$12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'[1]UNIT 2 2023'!$G$93:$R$93</c:f>
              <c:numCache>
                <c:formatCode>0.00</c:formatCode>
                <c:ptCount val="12"/>
                <c:pt idx="0">
                  <c:v>1.9</c:v>
                </c:pt>
                <c:pt idx="1">
                  <c:v>0.9</c:v>
                </c:pt>
                <c:pt idx="2">
                  <c:v>0.2</c:v>
                </c:pt>
                <c:pt idx="3">
                  <c:v>0.6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0.5</c:v>
                </c:pt>
                <c:pt idx="9">
                  <c:v>0.3</c:v>
                </c:pt>
                <c:pt idx="10">
                  <c:v>0.3</c:v>
                </c:pt>
                <c:pt idx="11">
                  <c:v>0.4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0814848"/>
        <c:axId val="964906368"/>
      </c:lineChart>
      <c:catAx>
        <c:axId val="82081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906368"/>
        <c:crosses val="autoZero"/>
        <c:auto val="1"/>
        <c:lblAlgn val="ctr"/>
        <c:lblOffset val="100"/>
        <c:noMultiLvlLbl val="0"/>
      </c:catAx>
      <c:valAx>
        <c:axId val="96490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333333"/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081484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6008352471566055"/>
          <c:y val="0.10316480406671297"/>
          <c:w val="0.53994709645669292"/>
          <c:h val="0.1347798288941004"/>
        </c:manualLayout>
      </c:layout>
      <c:overlay val="0"/>
      <c:txPr>
        <a:bodyPr/>
        <a:lstStyle/>
        <a:p>
          <a:pPr>
            <a:defRPr sz="26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t>ROTOR BAR HEALTH C3WP 2A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'[1]UNIT 2 2023'!$E$102</c:f>
              <c:strCache>
                <c:ptCount val="1"/>
                <c:pt idx="0">
                  <c:v>Rotorbar Health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'[1]UNIT 2 2023'!$G$12:$R$12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'[1]UNIT 2 2023'!$G$102:$R$102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03136"/>
        <c:axId val="968115328"/>
      </c:lineChart>
      <c:catAx>
        <c:axId val="82300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115328"/>
        <c:crosses val="autoZero"/>
        <c:auto val="1"/>
        <c:lblAlgn val="ctr"/>
        <c:lblOffset val="100"/>
        <c:noMultiLvlLbl val="0"/>
      </c:catAx>
      <c:valAx>
        <c:axId val="96811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333333"/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00313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5313894356955381"/>
          <c:y val="0.10016460381870683"/>
          <c:w val="0.54341945538057745"/>
          <c:h val="0.13086029028277765"/>
        </c:manualLayout>
      </c:layout>
      <c:overlay val="0"/>
      <c:txPr>
        <a:bodyPr/>
        <a:lstStyle/>
        <a:p>
          <a:pPr>
            <a:defRPr sz="26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KONSUMSI DAYA C3WP 2B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'[1]UNIT 2 2023'!$E$120</c:f>
              <c:strCache>
                <c:ptCount val="1"/>
                <c:pt idx="0">
                  <c:v>Real Power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'[1]UNIT 2 2023'!$G$12:$R$12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'[1]UNIT 2 2023'!$G$120:$R$120</c:f>
              <c:numCache>
                <c:formatCode>0.0</c:formatCode>
                <c:ptCount val="12"/>
                <c:pt idx="0">
                  <c:v>76.48</c:v>
                </c:pt>
                <c:pt idx="1">
                  <c:v>76.48</c:v>
                </c:pt>
                <c:pt idx="2">
                  <c:v>71.349999999999994</c:v>
                </c:pt>
                <c:pt idx="3">
                  <c:v>71.25</c:v>
                </c:pt>
                <c:pt idx="4">
                  <c:v>68.900000000000006</c:v>
                </c:pt>
                <c:pt idx="5">
                  <c:v>68.900000000000006</c:v>
                </c:pt>
                <c:pt idx="6">
                  <c:v>68.599999999999994</c:v>
                </c:pt>
                <c:pt idx="7">
                  <c:v>68.28</c:v>
                </c:pt>
                <c:pt idx="8">
                  <c:v>67.63</c:v>
                </c:pt>
                <c:pt idx="9">
                  <c:v>68.599999999999994</c:v>
                </c:pt>
                <c:pt idx="10">
                  <c:v>68.75</c:v>
                </c:pt>
                <c:pt idx="11" formatCode="0.00">
                  <c:v>67.38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145088"/>
        <c:axId val="968121088"/>
      </c:lineChart>
      <c:catAx>
        <c:axId val="82114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121088"/>
        <c:crosses val="autoZero"/>
        <c:auto val="1"/>
        <c:lblAlgn val="ctr"/>
        <c:lblOffset val="100"/>
        <c:noMultiLvlLbl val="0"/>
      </c:catAx>
      <c:valAx>
        <c:axId val="96812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333333"/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14508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6181977252843393"/>
          <c:y val="0.10016460381870683"/>
          <c:w val="7.8127323928258996E-2"/>
          <c:h val="3.0695686464070823E-2"/>
        </c:manualLayout>
      </c:layout>
      <c:overlay val="0"/>
      <c:txPr>
        <a:bodyPr/>
        <a:lstStyle/>
        <a:p>
          <a:pPr>
            <a:defRPr sz="26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t>DEV CURRENT C3WP 2B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'[1]UNIT 2 2023'!$E$112</c:f>
              <c:strCache>
                <c:ptCount val="1"/>
                <c:pt idx="0">
                  <c:v>Dev Current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'[1]UNIT 2 2023'!$G$12:$R$12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'[1]UNIT 2 2023'!$G$112:$R$112</c:f>
              <c:numCache>
                <c:formatCode>0.00</c:formatCode>
                <c:ptCount val="12"/>
                <c:pt idx="0">
                  <c:v>0.5</c:v>
                </c:pt>
                <c:pt idx="1">
                  <c:v>0.5</c:v>
                </c:pt>
                <c:pt idx="2">
                  <c:v>0.7</c:v>
                </c:pt>
                <c:pt idx="3">
                  <c:v>0.1</c:v>
                </c:pt>
                <c:pt idx="4">
                  <c:v>0.3</c:v>
                </c:pt>
                <c:pt idx="5">
                  <c:v>0.3</c:v>
                </c:pt>
                <c:pt idx="6">
                  <c:v>0.5</c:v>
                </c:pt>
                <c:pt idx="7">
                  <c:v>0.4</c:v>
                </c:pt>
                <c:pt idx="8">
                  <c:v>0.3</c:v>
                </c:pt>
                <c:pt idx="9">
                  <c:v>0.2</c:v>
                </c:pt>
                <c:pt idx="10">
                  <c:v>0.4</c:v>
                </c:pt>
                <c:pt idx="11">
                  <c:v>0.7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517696"/>
        <c:axId val="970230592"/>
      </c:lineChart>
      <c:catAx>
        <c:axId val="82351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230592"/>
        <c:crosses val="autoZero"/>
        <c:auto val="1"/>
        <c:lblAlgn val="ctr"/>
        <c:lblOffset val="100"/>
        <c:noMultiLvlLbl val="0"/>
      </c:catAx>
      <c:valAx>
        <c:axId val="97023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333333"/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51769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6008352471566055"/>
          <c:y val="0.10016460381870683"/>
          <c:w val="0.53994709645669292"/>
          <c:h val="0.13086029028277765"/>
        </c:manualLayout>
      </c:layout>
      <c:overlay val="0"/>
      <c:txPr>
        <a:bodyPr/>
        <a:lstStyle/>
        <a:p>
          <a:pPr>
            <a:defRPr sz="26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t>ROTOR BAR HEALTH C3WP 2B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'[1]UNIT 2 2023'!$E$121</c:f>
              <c:strCache>
                <c:ptCount val="1"/>
                <c:pt idx="0">
                  <c:v>Rotorbar Health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'[1]UNIT 2 2023'!$G$12:$R$12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'[1]UNIT 2 2023'!$G$121:$R$121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518208"/>
        <c:axId val="970234048"/>
      </c:lineChart>
      <c:catAx>
        <c:axId val="82351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234048"/>
        <c:crosses val="autoZero"/>
        <c:auto val="1"/>
        <c:lblAlgn val="ctr"/>
        <c:lblOffset val="100"/>
        <c:noMultiLvlLbl val="0"/>
      </c:catAx>
      <c:valAx>
        <c:axId val="97023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333333"/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51820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5313894356955381"/>
          <c:y val="0.10016460381870683"/>
          <c:w val="0.54341945538057745"/>
          <c:h val="0.13086029028277765"/>
        </c:manualLayout>
      </c:layout>
      <c:overlay val="0"/>
      <c:txPr>
        <a:bodyPr/>
        <a:lstStyle/>
        <a:p>
          <a:pPr>
            <a:defRPr sz="26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2616200</xdr:colOff>
      <xdr:row>5</xdr:row>
      <xdr:rowOff>393700</xdr:rowOff>
    </xdr:from>
    <xdr:to>
      <xdr:col>30</xdr:col>
      <xdr:colOff>1720850</xdr:colOff>
      <xdr:row>22</xdr:row>
      <xdr:rowOff>2057400</xdr:rowOff>
    </xdr:to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2705100</xdr:colOff>
      <xdr:row>5</xdr:row>
      <xdr:rowOff>171450</xdr:rowOff>
    </xdr:from>
    <xdr:to>
      <xdr:col>43</xdr:col>
      <xdr:colOff>1720850</xdr:colOff>
      <xdr:row>22</xdr:row>
      <xdr:rowOff>1924050</xdr:rowOff>
    </xdr:to>
    <xdr:graphicFrame macro="">
      <xdr:nvGraphicFramePr>
        <xdr:cNvPr id="3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2876550</xdr:colOff>
      <xdr:row>5</xdr:row>
      <xdr:rowOff>0</xdr:rowOff>
    </xdr:from>
    <xdr:to>
      <xdr:col>56</xdr:col>
      <xdr:colOff>1847850</xdr:colOff>
      <xdr:row>22</xdr:row>
      <xdr:rowOff>1803400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2876550</xdr:colOff>
      <xdr:row>23</xdr:row>
      <xdr:rowOff>1231900</xdr:rowOff>
    </xdr:from>
    <xdr:to>
      <xdr:col>30</xdr:col>
      <xdr:colOff>1847850</xdr:colOff>
      <xdr:row>41</xdr:row>
      <xdr:rowOff>1231900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2876550</xdr:colOff>
      <xdr:row>23</xdr:row>
      <xdr:rowOff>1028700</xdr:rowOff>
    </xdr:from>
    <xdr:to>
      <xdr:col>43</xdr:col>
      <xdr:colOff>1917700</xdr:colOff>
      <xdr:row>41</xdr:row>
      <xdr:rowOff>1085850</xdr:rowOff>
    </xdr:to>
    <xdr:graphicFrame macro="">
      <xdr:nvGraphicFramePr>
        <xdr:cNvPr id="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44</xdr:col>
      <xdr:colOff>3009900</xdr:colOff>
      <xdr:row>23</xdr:row>
      <xdr:rowOff>876300</xdr:rowOff>
    </xdr:from>
    <xdr:to>
      <xdr:col>56</xdr:col>
      <xdr:colOff>2051050</xdr:colOff>
      <xdr:row>41</xdr:row>
      <xdr:rowOff>958850</xdr:rowOff>
    </xdr:to>
    <xdr:graphicFrame macro="">
      <xdr:nvGraphicFramePr>
        <xdr:cNvPr id="7" name="Chart 7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2876550</xdr:colOff>
      <xdr:row>43</xdr:row>
      <xdr:rowOff>260350</xdr:rowOff>
    </xdr:from>
    <xdr:to>
      <xdr:col>30</xdr:col>
      <xdr:colOff>1847850</xdr:colOff>
      <xdr:row>60</xdr:row>
      <xdr:rowOff>2006600</xdr:rowOff>
    </xdr:to>
    <xdr:graphicFrame macro="">
      <xdr:nvGraphicFramePr>
        <xdr:cNvPr id="8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31</xdr:col>
      <xdr:colOff>2876550</xdr:colOff>
      <xdr:row>43</xdr:row>
      <xdr:rowOff>114300</xdr:rowOff>
    </xdr:from>
    <xdr:to>
      <xdr:col>43</xdr:col>
      <xdr:colOff>1917700</xdr:colOff>
      <xdr:row>60</xdr:row>
      <xdr:rowOff>1803400</xdr:rowOff>
    </xdr:to>
    <xdr:graphicFrame macro="">
      <xdr:nvGraphicFramePr>
        <xdr:cNvPr id="9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44</xdr:col>
      <xdr:colOff>3009900</xdr:colOff>
      <xdr:row>42</xdr:row>
      <xdr:rowOff>1644650</xdr:rowOff>
    </xdr:from>
    <xdr:to>
      <xdr:col>56</xdr:col>
      <xdr:colOff>2051050</xdr:colOff>
      <xdr:row>60</xdr:row>
      <xdr:rowOff>1625600</xdr:rowOff>
    </xdr:to>
    <xdr:graphicFrame macro="">
      <xdr:nvGraphicFramePr>
        <xdr:cNvPr id="10" name="Chart 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3009900</xdr:colOff>
      <xdr:row>62</xdr:row>
      <xdr:rowOff>393700</xdr:rowOff>
    </xdr:from>
    <xdr:to>
      <xdr:col>30</xdr:col>
      <xdr:colOff>2051050</xdr:colOff>
      <xdr:row>79</xdr:row>
      <xdr:rowOff>2146300</xdr:rowOff>
    </xdr:to>
    <xdr:graphicFrame macro="">
      <xdr:nvGraphicFramePr>
        <xdr:cNvPr id="11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31</xdr:col>
      <xdr:colOff>3079750</xdr:colOff>
      <xdr:row>62</xdr:row>
      <xdr:rowOff>260350</xdr:rowOff>
    </xdr:from>
    <xdr:to>
      <xdr:col>43</xdr:col>
      <xdr:colOff>2139950</xdr:colOff>
      <xdr:row>79</xdr:row>
      <xdr:rowOff>2006600</xdr:rowOff>
    </xdr:to>
    <xdr:graphicFrame macro="">
      <xdr:nvGraphicFramePr>
        <xdr:cNvPr id="1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44</xdr:col>
      <xdr:colOff>3200400</xdr:colOff>
      <xdr:row>62</xdr:row>
      <xdr:rowOff>114300</xdr:rowOff>
    </xdr:from>
    <xdr:to>
      <xdr:col>56</xdr:col>
      <xdr:colOff>2311400</xdr:colOff>
      <xdr:row>79</xdr:row>
      <xdr:rowOff>1854200</xdr:rowOff>
    </xdr:to>
    <xdr:graphicFrame macro="">
      <xdr:nvGraphicFramePr>
        <xdr:cNvPr id="13" name="Chart 7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18</xdr:col>
      <xdr:colOff>3009900</xdr:colOff>
      <xdr:row>81</xdr:row>
      <xdr:rowOff>260350</xdr:rowOff>
    </xdr:from>
    <xdr:to>
      <xdr:col>30</xdr:col>
      <xdr:colOff>2051050</xdr:colOff>
      <xdr:row>98</xdr:row>
      <xdr:rowOff>2006600</xdr:rowOff>
    </xdr:to>
    <xdr:graphicFrame macro="">
      <xdr:nvGraphicFramePr>
        <xdr:cNvPr id="1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31</xdr:col>
      <xdr:colOff>3079750</xdr:colOff>
      <xdr:row>81</xdr:row>
      <xdr:rowOff>114300</xdr:rowOff>
    </xdr:from>
    <xdr:to>
      <xdr:col>43</xdr:col>
      <xdr:colOff>2139950</xdr:colOff>
      <xdr:row>98</xdr:row>
      <xdr:rowOff>1803400</xdr:rowOff>
    </xdr:to>
    <xdr:graphicFrame macro="">
      <xdr:nvGraphicFramePr>
        <xdr:cNvPr id="1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44</xdr:col>
      <xdr:colOff>3200400</xdr:colOff>
      <xdr:row>80</xdr:row>
      <xdr:rowOff>1644650</xdr:rowOff>
    </xdr:from>
    <xdr:to>
      <xdr:col>56</xdr:col>
      <xdr:colOff>2311400</xdr:colOff>
      <xdr:row>98</xdr:row>
      <xdr:rowOff>1625600</xdr:rowOff>
    </xdr:to>
    <xdr:graphicFrame macro="">
      <xdr:nvGraphicFramePr>
        <xdr:cNvPr id="16" name="Chart 8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18</xdr:col>
      <xdr:colOff>3155950</xdr:colOff>
      <xdr:row>99</xdr:row>
      <xdr:rowOff>1460500</xdr:rowOff>
    </xdr:from>
    <xdr:to>
      <xdr:col>30</xdr:col>
      <xdr:colOff>2139950</xdr:colOff>
      <xdr:row>117</xdr:row>
      <xdr:rowOff>1466850</xdr:rowOff>
    </xdr:to>
    <xdr:graphicFrame macro="">
      <xdr:nvGraphicFramePr>
        <xdr:cNvPr id="1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31</xdr:col>
      <xdr:colOff>3155950</xdr:colOff>
      <xdr:row>99</xdr:row>
      <xdr:rowOff>1314450</xdr:rowOff>
    </xdr:from>
    <xdr:to>
      <xdr:col>43</xdr:col>
      <xdr:colOff>2190750</xdr:colOff>
      <xdr:row>117</xdr:row>
      <xdr:rowOff>1282700</xdr:rowOff>
    </xdr:to>
    <xdr:graphicFrame macro="">
      <xdr:nvGraphicFramePr>
        <xdr:cNvPr id="18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44</xdr:col>
      <xdr:colOff>3289300</xdr:colOff>
      <xdr:row>99</xdr:row>
      <xdr:rowOff>1162050</xdr:rowOff>
    </xdr:from>
    <xdr:to>
      <xdr:col>56</xdr:col>
      <xdr:colOff>2317750</xdr:colOff>
      <xdr:row>117</xdr:row>
      <xdr:rowOff>1149350</xdr:rowOff>
    </xdr:to>
    <xdr:graphicFrame macro="">
      <xdr:nvGraphicFramePr>
        <xdr:cNvPr id="19" name="Chart 8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DM/MCSA/Report%20MCSA%20-%20Cop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T #3 2017"/>
      <sheetName val="UNIT #1 2017"/>
      <sheetName val="UNIT #3 2018"/>
      <sheetName val="UNIT #1 2018"/>
      <sheetName val="UNIT #3 2019"/>
      <sheetName val="UNIT #1 2019"/>
      <sheetName val="UNIT #3 2020"/>
      <sheetName val="UNIT #1 2020"/>
      <sheetName val="UNIT #3 2021"/>
      <sheetName val="UNIT #2 2021"/>
      <sheetName val="UNIT #1 2021"/>
      <sheetName val="UNIT #3 2022"/>
      <sheetName val="UNIT #2 2022"/>
      <sheetName val="UNIT #1 2022"/>
      <sheetName val="UNIT COMMON 2023"/>
      <sheetName val="UNIT 3 2023"/>
      <sheetName val="UNIT 2 2023"/>
      <sheetName val="UNIT 1 2023"/>
      <sheetName val="UNIT COMMON 2024"/>
      <sheetName val="UNIT 3 2024"/>
      <sheetName val="UNIT 2 2024"/>
      <sheetName val="UNIT 1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2">
          <cell r="G12" t="str">
            <v>JAN</v>
          </cell>
          <cell r="H12" t="str">
            <v>FEB</v>
          </cell>
          <cell r="I12" t="str">
            <v>MAR</v>
          </cell>
          <cell r="J12" t="str">
            <v>APR</v>
          </cell>
          <cell r="K12" t="str">
            <v>MAY</v>
          </cell>
          <cell r="L12" t="str">
            <v>JUN</v>
          </cell>
          <cell r="M12" t="str">
            <v>JUL</v>
          </cell>
          <cell r="N12" t="str">
            <v>AUG</v>
          </cell>
          <cell r="O12" t="str">
            <v>SEP</v>
          </cell>
          <cell r="P12" t="str">
            <v>OCT</v>
          </cell>
          <cell r="Q12" t="str">
            <v>NOV</v>
          </cell>
          <cell r="R12" t="str">
            <v>DEC</v>
          </cell>
        </row>
        <row r="17">
          <cell r="E17" t="str">
            <v>Dev Current</v>
          </cell>
          <cell r="G17">
            <v>0.9</v>
          </cell>
          <cell r="H17">
            <v>1.1000000000000001</v>
          </cell>
          <cell r="I17">
            <v>0.7</v>
          </cell>
          <cell r="J17">
            <v>1.1000000000000001</v>
          </cell>
          <cell r="K17">
            <v>1.1000000000000001</v>
          </cell>
          <cell r="L17">
            <v>1.1000000000000001</v>
          </cell>
          <cell r="M17">
            <v>1.4</v>
          </cell>
          <cell r="N17">
            <v>1.4</v>
          </cell>
          <cell r="O17">
            <v>1.3</v>
          </cell>
          <cell r="P17">
            <v>1.2</v>
          </cell>
          <cell r="Q17">
            <v>1.1000000000000001</v>
          </cell>
          <cell r="R17">
            <v>1.1000000000000001</v>
          </cell>
        </row>
        <row r="25">
          <cell r="E25" t="str">
            <v>Real Power</v>
          </cell>
          <cell r="G25">
            <v>24.94</v>
          </cell>
          <cell r="H25">
            <v>25.3</v>
          </cell>
          <cell r="I25">
            <v>24.5</v>
          </cell>
          <cell r="J25">
            <v>24.98</v>
          </cell>
          <cell r="K25">
            <v>24.45</v>
          </cell>
          <cell r="L25">
            <v>24.45</v>
          </cell>
          <cell r="M25">
            <v>24.89</v>
          </cell>
          <cell r="N25">
            <v>24.38</v>
          </cell>
          <cell r="O25">
            <v>24.21</v>
          </cell>
          <cell r="P25">
            <v>24.31</v>
          </cell>
          <cell r="Q25">
            <v>23.99</v>
          </cell>
          <cell r="R25">
            <v>24.57</v>
          </cell>
        </row>
        <row r="26">
          <cell r="E26" t="str">
            <v>Rotorbar Health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1</v>
          </cell>
          <cell r="O26">
            <v>1</v>
          </cell>
          <cell r="P26">
            <v>1</v>
          </cell>
          <cell r="Q26">
            <v>1</v>
          </cell>
          <cell r="R26">
            <v>1</v>
          </cell>
        </row>
        <row r="36">
          <cell r="E36" t="str">
            <v>Dev Current</v>
          </cell>
          <cell r="G36">
            <v>1.1000000000000001</v>
          </cell>
          <cell r="H36">
            <v>1.1000000000000001</v>
          </cell>
          <cell r="I36">
            <v>0.6</v>
          </cell>
          <cell r="J36">
            <v>1.2</v>
          </cell>
          <cell r="K36">
            <v>1.1000000000000001</v>
          </cell>
          <cell r="L36">
            <v>1.1000000000000001</v>
          </cell>
          <cell r="M36">
            <v>1</v>
          </cell>
          <cell r="N36">
            <v>1.2</v>
          </cell>
          <cell r="O36">
            <v>1.2</v>
          </cell>
          <cell r="P36">
            <v>1.2</v>
          </cell>
          <cell r="Q36">
            <v>1.5</v>
          </cell>
          <cell r="R36">
            <v>1.2</v>
          </cell>
        </row>
        <row r="44">
          <cell r="E44" t="str">
            <v>Real Power</v>
          </cell>
          <cell r="G44">
            <v>29.02</v>
          </cell>
          <cell r="H44">
            <v>29.02</v>
          </cell>
          <cell r="I44">
            <v>28.87</v>
          </cell>
          <cell r="J44">
            <v>29.12</v>
          </cell>
          <cell r="K44">
            <v>29.01</v>
          </cell>
          <cell r="L44">
            <v>29.01</v>
          </cell>
          <cell r="M44">
            <v>29.12</v>
          </cell>
          <cell r="N44">
            <v>29.03</v>
          </cell>
          <cell r="O44">
            <v>28.98</v>
          </cell>
          <cell r="P44">
            <v>28.93</v>
          </cell>
          <cell r="Q44">
            <v>28.84</v>
          </cell>
          <cell r="R44">
            <v>28.66</v>
          </cell>
        </row>
        <row r="45">
          <cell r="E45" t="str">
            <v>Rotorbar Health</v>
          </cell>
          <cell r="G45">
            <v>1</v>
          </cell>
          <cell r="H45">
            <v>1</v>
          </cell>
          <cell r="I45">
            <v>1</v>
          </cell>
          <cell r="J45">
            <v>1</v>
          </cell>
          <cell r="K45">
            <v>1</v>
          </cell>
          <cell r="L45">
            <v>1</v>
          </cell>
          <cell r="M45">
            <v>1</v>
          </cell>
          <cell r="N45">
            <v>1</v>
          </cell>
          <cell r="O45">
            <v>1</v>
          </cell>
          <cell r="P45">
            <v>1</v>
          </cell>
          <cell r="Q45">
            <v>1</v>
          </cell>
          <cell r="R45">
            <v>1</v>
          </cell>
        </row>
        <row r="55">
          <cell r="E55" t="str">
            <v>Dev Current</v>
          </cell>
          <cell r="G55">
            <v>0.6</v>
          </cell>
          <cell r="H55">
            <v>1.2</v>
          </cell>
          <cell r="I55">
            <v>0.7</v>
          </cell>
          <cell r="J55">
            <v>1.2</v>
          </cell>
          <cell r="K55">
            <v>1.2</v>
          </cell>
          <cell r="M55">
            <v>1.6</v>
          </cell>
          <cell r="N55">
            <v>1.5</v>
          </cell>
          <cell r="O55">
            <v>1.4</v>
          </cell>
          <cell r="P55">
            <v>1.4</v>
          </cell>
          <cell r="Q55">
            <v>1.2</v>
          </cell>
          <cell r="R55">
            <v>1.2</v>
          </cell>
        </row>
        <row r="63">
          <cell r="E63" t="str">
            <v>Real Power</v>
          </cell>
          <cell r="G63">
            <v>60.64</v>
          </cell>
          <cell r="H63">
            <v>60.86</v>
          </cell>
          <cell r="I63">
            <v>61.11</v>
          </cell>
          <cell r="J63">
            <v>60.39</v>
          </cell>
          <cell r="K63">
            <v>60.39</v>
          </cell>
          <cell r="M63">
            <v>59.41</v>
          </cell>
          <cell r="N63">
            <v>60.8</v>
          </cell>
          <cell r="O63">
            <v>60.65</v>
          </cell>
          <cell r="P63">
            <v>60.67</v>
          </cell>
          <cell r="Q63">
            <v>59.9</v>
          </cell>
          <cell r="R63">
            <v>59.79</v>
          </cell>
        </row>
        <row r="64">
          <cell r="E64" t="str">
            <v>Rotorbar Health</v>
          </cell>
          <cell r="G64">
            <v>1</v>
          </cell>
          <cell r="H64">
            <v>1</v>
          </cell>
          <cell r="I64">
            <v>1</v>
          </cell>
          <cell r="J64">
            <v>2</v>
          </cell>
          <cell r="K64">
            <v>2</v>
          </cell>
          <cell r="M64">
            <v>3</v>
          </cell>
          <cell r="N64">
            <v>1</v>
          </cell>
          <cell r="O64">
            <v>1</v>
          </cell>
          <cell r="P64">
            <v>2</v>
          </cell>
          <cell r="Q64">
            <v>2</v>
          </cell>
          <cell r="R64">
            <v>3</v>
          </cell>
        </row>
        <row r="74">
          <cell r="E74" t="str">
            <v>Dev Current</v>
          </cell>
          <cell r="L74">
            <v>1.6</v>
          </cell>
          <cell r="P74">
            <v>1.5</v>
          </cell>
        </row>
        <row r="82">
          <cell r="E82" t="str">
            <v>Real Power</v>
          </cell>
          <cell r="L82">
            <v>60.25</v>
          </cell>
          <cell r="P82">
            <v>61.2</v>
          </cell>
        </row>
        <row r="83">
          <cell r="E83" t="str">
            <v>Rotorbar Health</v>
          </cell>
          <cell r="L83">
            <v>1</v>
          </cell>
          <cell r="P83">
            <v>1</v>
          </cell>
        </row>
        <row r="93">
          <cell r="E93" t="str">
            <v>Dev Current</v>
          </cell>
          <cell r="G93">
            <v>1.9</v>
          </cell>
          <cell r="H93">
            <v>0.9</v>
          </cell>
          <cell r="I93">
            <v>0.2</v>
          </cell>
          <cell r="J93">
            <v>0.6</v>
          </cell>
          <cell r="K93">
            <v>0.4</v>
          </cell>
          <cell r="L93">
            <v>0.4</v>
          </cell>
          <cell r="M93">
            <v>0.4</v>
          </cell>
          <cell r="N93">
            <v>0.4</v>
          </cell>
          <cell r="O93">
            <v>0.5</v>
          </cell>
          <cell r="P93">
            <v>0.3</v>
          </cell>
          <cell r="Q93">
            <v>0.3</v>
          </cell>
          <cell r="R93">
            <v>0.4</v>
          </cell>
        </row>
        <row r="101">
          <cell r="E101" t="str">
            <v>Real Power</v>
          </cell>
          <cell r="G101">
            <v>75.67</v>
          </cell>
          <cell r="H101">
            <v>75.790000000000006</v>
          </cell>
          <cell r="I101">
            <v>69.17</v>
          </cell>
          <cell r="J101">
            <v>69.040000000000006</v>
          </cell>
          <cell r="K101">
            <v>71.47</v>
          </cell>
          <cell r="L101">
            <v>71.47</v>
          </cell>
          <cell r="M101">
            <v>71.8</v>
          </cell>
          <cell r="N101">
            <v>71.23</v>
          </cell>
          <cell r="O101">
            <v>71.13</v>
          </cell>
          <cell r="P101">
            <v>71.17</v>
          </cell>
          <cell r="Q101">
            <v>70.760000000000005</v>
          </cell>
          <cell r="R101">
            <v>71.069999999999993</v>
          </cell>
        </row>
        <row r="102">
          <cell r="E102" t="str">
            <v>Rotorbar Health</v>
          </cell>
          <cell r="G102">
            <v>1</v>
          </cell>
          <cell r="H102">
            <v>1</v>
          </cell>
          <cell r="I102">
            <v>1</v>
          </cell>
          <cell r="J102">
            <v>1</v>
          </cell>
          <cell r="K102">
            <v>1</v>
          </cell>
          <cell r="L102">
            <v>1</v>
          </cell>
          <cell r="M102">
            <v>2</v>
          </cell>
          <cell r="N102">
            <v>1</v>
          </cell>
          <cell r="O102">
            <v>1</v>
          </cell>
          <cell r="P102">
            <v>1</v>
          </cell>
          <cell r="Q102">
            <v>1</v>
          </cell>
          <cell r="R102">
            <v>2</v>
          </cell>
        </row>
        <row r="112">
          <cell r="E112" t="str">
            <v>Dev Current</v>
          </cell>
          <cell r="G112">
            <v>0.5</v>
          </cell>
          <cell r="H112">
            <v>0.5</v>
          </cell>
          <cell r="I112">
            <v>0.7</v>
          </cell>
          <cell r="J112">
            <v>0.1</v>
          </cell>
          <cell r="K112">
            <v>0.3</v>
          </cell>
          <cell r="L112">
            <v>0.3</v>
          </cell>
          <cell r="M112">
            <v>0.5</v>
          </cell>
          <cell r="N112">
            <v>0.4</v>
          </cell>
          <cell r="O112">
            <v>0.3</v>
          </cell>
          <cell r="P112">
            <v>0.2</v>
          </cell>
          <cell r="Q112">
            <v>0.4</v>
          </cell>
          <cell r="R112">
            <v>0.7</v>
          </cell>
        </row>
        <row r="120">
          <cell r="E120" t="str">
            <v>Real Power</v>
          </cell>
          <cell r="G120">
            <v>76.48</v>
          </cell>
          <cell r="H120">
            <v>76.48</v>
          </cell>
          <cell r="I120">
            <v>71.349999999999994</v>
          </cell>
          <cell r="J120">
            <v>71.25</v>
          </cell>
          <cell r="K120">
            <v>68.900000000000006</v>
          </cell>
          <cell r="L120">
            <v>68.900000000000006</v>
          </cell>
          <cell r="M120">
            <v>68.599999999999994</v>
          </cell>
          <cell r="N120">
            <v>68.28</v>
          </cell>
          <cell r="O120">
            <v>67.63</v>
          </cell>
          <cell r="P120">
            <v>68.599999999999994</v>
          </cell>
          <cell r="Q120">
            <v>68.75</v>
          </cell>
          <cell r="R120">
            <v>67.38</v>
          </cell>
        </row>
        <row r="121">
          <cell r="E121" t="str">
            <v>Rotorbar Health</v>
          </cell>
          <cell r="G121">
            <v>1</v>
          </cell>
          <cell r="H121">
            <v>1</v>
          </cell>
          <cell r="I121">
            <v>1</v>
          </cell>
          <cell r="J121">
            <v>1</v>
          </cell>
          <cell r="K121">
            <v>2</v>
          </cell>
          <cell r="L121">
            <v>2</v>
          </cell>
          <cell r="M121">
            <v>2</v>
          </cell>
          <cell r="N121">
            <v>1</v>
          </cell>
          <cell r="O121">
            <v>2</v>
          </cell>
          <cell r="P121">
            <v>1</v>
          </cell>
          <cell r="Q121">
            <v>1</v>
          </cell>
          <cell r="R121">
            <v>1</v>
          </cell>
        </row>
      </sheetData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118"/>
  <sheetViews>
    <sheetView tabSelected="1" workbookViewId="0">
      <selection activeCell="F6" sqref="F6"/>
    </sheetView>
  </sheetViews>
  <sheetFormatPr defaultRowHeight="14.5" x14ac:dyDescent="0.35"/>
  <cols>
    <col min="1" max="1" width="3.1796875" style="1" customWidth="1"/>
    <col min="2" max="2" width="5" style="2" customWidth="1"/>
    <col min="3" max="3" width="21.54296875" style="1" customWidth="1"/>
    <col min="4" max="4" width="44.453125" style="1" customWidth="1"/>
    <col min="5" max="5" width="18.54296875" style="1" bestFit="1" customWidth="1"/>
    <col min="6" max="6" width="18.26953125" style="1" customWidth="1"/>
    <col min="7" max="7" width="8.1796875" style="2" bestFit="1" customWidth="1"/>
    <col min="8" max="8" width="9.453125" style="2" customWidth="1"/>
    <col min="9" max="9" width="8.36328125" style="1" bestFit="1" customWidth="1"/>
    <col min="10" max="10" width="8.1796875" style="1" bestFit="1" customWidth="1"/>
    <col min="11" max="11" width="8.6328125" style="1" bestFit="1" customWidth="1"/>
    <col min="12" max="12" width="8.1796875" style="3" bestFit="1" customWidth="1"/>
    <col min="13" max="13" width="9.1796875" style="1" bestFit="1" customWidth="1"/>
    <col min="14" max="14" width="9.453125" style="1" bestFit="1" customWidth="1"/>
    <col min="15" max="15" width="9.36328125" style="1" bestFit="1" customWidth="1"/>
    <col min="16" max="16" width="9.1796875" style="4" bestFit="1" customWidth="1"/>
    <col min="17" max="17" width="9.453125" style="1" bestFit="1" customWidth="1"/>
    <col min="18" max="18" width="9.36328125" style="1" bestFit="1" customWidth="1"/>
    <col min="19" max="256" width="8.7265625" style="1"/>
    <col min="257" max="257" width="3.1796875" style="1" customWidth="1"/>
    <col min="258" max="258" width="5" style="1" customWidth="1"/>
    <col min="259" max="259" width="21.54296875" style="1" customWidth="1"/>
    <col min="260" max="260" width="44.453125" style="1" customWidth="1"/>
    <col min="261" max="261" width="18.54296875" style="1" bestFit="1" customWidth="1"/>
    <col min="262" max="262" width="18.26953125" style="1" customWidth="1"/>
    <col min="263" max="263" width="8.1796875" style="1" bestFit="1" customWidth="1"/>
    <col min="264" max="264" width="9.453125" style="1" customWidth="1"/>
    <col min="265" max="265" width="8.36328125" style="1" bestFit="1" customWidth="1"/>
    <col min="266" max="266" width="8.1796875" style="1" bestFit="1" customWidth="1"/>
    <col min="267" max="267" width="8.6328125" style="1" bestFit="1" customWidth="1"/>
    <col min="268" max="268" width="8.1796875" style="1" bestFit="1" customWidth="1"/>
    <col min="269" max="269" width="9.1796875" style="1" bestFit="1" customWidth="1"/>
    <col min="270" max="270" width="9.453125" style="1" bestFit="1" customWidth="1"/>
    <col min="271" max="271" width="9.36328125" style="1" bestFit="1" customWidth="1"/>
    <col min="272" max="272" width="9.1796875" style="1" bestFit="1" customWidth="1"/>
    <col min="273" max="273" width="9.453125" style="1" bestFit="1" customWidth="1"/>
    <col min="274" max="274" width="9.36328125" style="1" bestFit="1" customWidth="1"/>
    <col min="275" max="512" width="8.7265625" style="1"/>
    <col min="513" max="513" width="3.1796875" style="1" customWidth="1"/>
    <col min="514" max="514" width="5" style="1" customWidth="1"/>
    <col min="515" max="515" width="21.54296875" style="1" customWidth="1"/>
    <col min="516" max="516" width="44.453125" style="1" customWidth="1"/>
    <col min="517" max="517" width="18.54296875" style="1" bestFit="1" customWidth="1"/>
    <col min="518" max="518" width="18.26953125" style="1" customWidth="1"/>
    <col min="519" max="519" width="8.1796875" style="1" bestFit="1" customWidth="1"/>
    <col min="520" max="520" width="9.453125" style="1" customWidth="1"/>
    <col min="521" max="521" width="8.36328125" style="1" bestFit="1" customWidth="1"/>
    <col min="522" max="522" width="8.1796875" style="1" bestFit="1" customWidth="1"/>
    <col min="523" max="523" width="8.6328125" style="1" bestFit="1" customWidth="1"/>
    <col min="524" max="524" width="8.1796875" style="1" bestFit="1" customWidth="1"/>
    <col min="525" max="525" width="9.1796875" style="1" bestFit="1" customWidth="1"/>
    <col min="526" max="526" width="9.453125" style="1" bestFit="1" customWidth="1"/>
    <col min="527" max="527" width="9.36328125" style="1" bestFit="1" customWidth="1"/>
    <col min="528" max="528" width="9.1796875" style="1" bestFit="1" customWidth="1"/>
    <col min="529" max="529" width="9.453125" style="1" bestFit="1" customWidth="1"/>
    <col min="530" max="530" width="9.36328125" style="1" bestFit="1" customWidth="1"/>
    <col min="531" max="768" width="8.7265625" style="1"/>
    <col min="769" max="769" width="3.1796875" style="1" customWidth="1"/>
    <col min="770" max="770" width="5" style="1" customWidth="1"/>
    <col min="771" max="771" width="21.54296875" style="1" customWidth="1"/>
    <col min="772" max="772" width="44.453125" style="1" customWidth="1"/>
    <col min="773" max="773" width="18.54296875" style="1" bestFit="1" customWidth="1"/>
    <col min="774" max="774" width="18.26953125" style="1" customWidth="1"/>
    <col min="775" max="775" width="8.1796875" style="1" bestFit="1" customWidth="1"/>
    <col min="776" max="776" width="9.453125" style="1" customWidth="1"/>
    <col min="777" max="777" width="8.36328125" style="1" bestFit="1" customWidth="1"/>
    <col min="778" max="778" width="8.1796875" style="1" bestFit="1" customWidth="1"/>
    <col min="779" max="779" width="8.6328125" style="1" bestFit="1" customWidth="1"/>
    <col min="780" max="780" width="8.1796875" style="1" bestFit="1" customWidth="1"/>
    <col min="781" max="781" width="9.1796875" style="1" bestFit="1" customWidth="1"/>
    <col min="782" max="782" width="9.453125" style="1" bestFit="1" customWidth="1"/>
    <col min="783" max="783" width="9.36328125" style="1" bestFit="1" customWidth="1"/>
    <col min="784" max="784" width="9.1796875" style="1" bestFit="1" customWidth="1"/>
    <col min="785" max="785" width="9.453125" style="1" bestFit="1" customWidth="1"/>
    <col min="786" max="786" width="9.36328125" style="1" bestFit="1" customWidth="1"/>
    <col min="787" max="1024" width="8.7265625" style="1"/>
    <col min="1025" max="1025" width="3.1796875" style="1" customWidth="1"/>
    <col min="1026" max="1026" width="5" style="1" customWidth="1"/>
    <col min="1027" max="1027" width="21.54296875" style="1" customWidth="1"/>
    <col min="1028" max="1028" width="44.453125" style="1" customWidth="1"/>
    <col min="1029" max="1029" width="18.54296875" style="1" bestFit="1" customWidth="1"/>
    <col min="1030" max="1030" width="18.26953125" style="1" customWidth="1"/>
    <col min="1031" max="1031" width="8.1796875" style="1" bestFit="1" customWidth="1"/>
    <col min="1032" max="1032" width="9.453125" style="1" customWidth="1"/>
    <col min="1033" max="1033" width="8.36328125" style="1" bestFit="1" customWidth="1"/>
    <col min="1034" max="1034" width="8.1796875" style="1" bestFit="1" customWidth="1"/>
    <col min="1035" max="1035" width="8.6328125" style="1" bestFit="1" customWidth="1"/>
    <col min="1036" max="1036" width="8.1796875" style="1" bestFit="1" customWidth="1"/>
    <col min="1037" max="1037" width="9.1796875" style="1" bestFit="1" customWidth="1"/>
    <col min="1038" max="1038" width="9.453125" style="1" bestFit="1" customWidth="1"/>
    <col min="1039" max="1039" width="9.36328125" style="1" bestFit="1" customWidth="1"/>
    <col min="1040" max="1040" width="9.1796875" style="1" bestFit="1" customWidth="1"/>
    <col min="1041" max="1041" width="9.453125" style="1" bestFit="1" customWidth="1"/>
    <col min="1042" max="1042" width="9.36328125" style="1" bestFit="1" customWidth="1"/>
    <col min="1043" max="1280" width="8.7265625" style="1"/>
    <col min="1281" max="1281" width="3.1796875" style="1" customWidth="1"/>
    <col min="1282" max="1282" width="5" style="1" customWidth="1"/>
    <col min="1283" max="1283" width="21.54296875" style="1" customWidth="1"/>
    <col min="1284" max="1284" width="44.453125" style="1" customWidth="1"/>
    <col min="1285" max="1285" width="18.54296875" style="1" bestFit="1" customWidth="1"/>
    <col min="1286" max="1286" width="18.26953125" style="1" customWidth="1"/>
    <col min="1287" max="1287" width="8.1796875" style="1" bestFit="1" customWidth="1"/>
    <col min="1288" max="1288" width="9.453125" style="1" customWidth="1"/>
    <col min="1289" max="1289" width="8.36328125" style="1" bestFit="1" customWidth="1"/>
    <col min="1290" max="1290" width="8.1796875" style="1" bestFit="1" customWidth="1"/>
    <col min="1291" max="1291" width="8.6328125" style="1" bestFit="1" customWidth="1"/>
    <col min="1292" max="1292" width="8.1796875" style="1" bestFit="1" customWidth="1"/>
    <col min="1293" max="1293" width="9.1796875" style="1" bestFit="1" customWidth="1"/>
    <col min="1294" max="1294" width="9.453125" style="1" bestFit="1" customWidth="1"/>
    <col min="1295" max="1295" width="9.36328125" style="1" bestFit="1" customWidth="1"/>
    <col min="1296" max="1296" width="9.1796875" style="1" bestFit="1" customWidth="1"/>
    <col min="1297" max="1297" width="9.453125" style="1" bestFit="1" customWidth="1"/>
    <col min="1298" max="1298" width="9.36328125" style="1" bestFit="1" customWidth="1"/>
    <col min="1299" max="1536" width="8.7265625" style="1"/>
    <col min="1537" max="1537" width="3.1796875" style="1" customWidth="1"/>
    <col min="1538" max="1538" width="5" style="1" customWidth="1"/>
    <col min="1539" max="1539" width="21.54296875" style="1" customWidth="1"/>
    <col min="1540" max="1540" width="44.453125" style="1" customWidth="1"/>
    <col min="1541" max="1541" width="18.54296875" style="1" bestFit="1" customWidth="1"/>
    <col min="1542" max="1542" width="18.26953125" style="1" customWidth="1"/>
    <col min="1543" max="1543" width="8.1796875" style="1" bestFit="1" customWidth="1"/>
    <col min="1544" max="1544" width="9.453125" style="1" customWidth="1"/>
    <col min="1545" max="1545" width="8.36328125" style="1" bestFit="1" customWidth="1"/>
    <col min="1546" max="1546" width="8.1796875" style="1" bestFit="1" customWidth="1"/>
    <col min="1547" max="1547" width="8.6328125" style="1" bestFit="1" customWidth="1"/>
    <col min="1548" max="1548" width="8.1796875" style="1" bestFit="1" customWidth="1"/>
    <col min="1549" max="1549" width="9.1796875" style="1" bestFit="1" customWidth="1"/>
    <col min="1550" max="1550" width="9.453125" style="1" bestFit="1" customWidth="1"/>
    <col min="1551" max="1551" width="9.36328125" style="1" bestFit="1" customWidth="1"/>
    <col min="1552" max="1552" width="9.1796875" style="1" bestFit="1" customWidth="1"/>
    <col min="1553" max="1553" width="9.453125" style="1" bestFit="1" customWidth="1"/>
    <col min="1554" max="1554" width="9.36328125" style="1" bestFit="1" customWidth="1"/>
    <col min="1555" max="1792" width="8.7265625" style="1"/>
    <col min="1793" max="1793" width="3.1796875" style="1" customWidth="1"/>
    <col min="1794" max="1794" width="5" style="1" customWidth="1"/>
    <col min="1795" max="1795" width="21.54296875" style="1" customWidth="1"/>
    <col min="1796" max="1796" width="44.453125" style="1" customWidth="1"/>
    <col min="1797" max="1797" width="18.54296875" style="1" bestFit="1" customWidth="1"/>
    <col min="1798" max="1798" width="18.26953125" style="1" customWidth="1"/>
    <col min="1799" max="1799" width="8.1796875" style="1" bestFit="1" customWidth="1"/>
    <col min="1800" max="1800" width="9.453125" style="1" customWidth="1"/>
    <col min="1801" max="1801" width="8.36328125" style="1" bestFit="1" customWidth="1"/>
    <col min="1802" max="1802" width="8.1796875" style="1" bestFit="1" customWidth="1"/>
    <col min="1803" max="1803" width="8.6328125" style="1" bestFit="1" customWidth="1"/>
    <col min="1804" max="1804" width="8.1796875" style="1" bestFit="1" customWidth="1"/>
    <col min="1805" max="1805" width="9.1796875" style="1" bestFit="1" customWidth="1"/>
    <col min="1806" max="1806" width="9.453125" style="1" bestFit="1" customWidth="1"/>
    <col min="1807" max="1807" width="9.36328125" style="1" bestFit="1" customWidth="1"/>
    <col min="1808" max="1808" width="9.1796875" style="1" bestFit="1" customWidth="1"/>
    <col min="1809" max="1809" width="9.453125" style="1" bestFit="1" customWidth="1"/>
    <col min="1810" max="1810" width="9.36328125" style="1" bestFit="1" customWidth="1"/>
    <col min="1811" max="2048" width="8.7265625" style="1"/>
    <col min="2049" max="2049" width="3.1796875" style="1" customWidth="1"/>
    <col min="2050" max="2050" width="5" style="1" customWidth="1"/>
    <col min="2051" max="2051" width="21.54296875" style="1" customWidth="1"/>
    <col min="2052" max="2052" width="44.453125" style="1" customWidth="1"/>
    <col min="2053" max="2053" width="18.54296875" style="1" bestFit="1" customWidth="1"/>
    <col min="2054" max="2054" width="18.26953125" style="1" customWidth="1"/>
    <col min="2055" max="2055" width="8.1796875" style="1" bestFit="1" customWidth="1"/>
    <col min="2056" max="2056" width="9.453125" style="1" customWidth="1"/>
    <col min="2057" max="2057" width="8.36328125" style="1" bestFit="1" customWidth="1"/>
    <col min="2058" max="2058" width="8.1796875" style="1" bestFit="1" customWidth="1"/>
    <col min="2059" max="2059" width="8.6328125" style="1" bestFit="1" customWidth="1"/>
    <col min="2060" max="2060" width="8.1796875" style="1" bestFit="1" customWidth="1"/>
    <col min="2061" max="2061" width="9.1796875" style="1" bestFit="1" customWidth="1"/>
    <col min="2062" max="2062" width="9.453125" style="1" bestFit="1" customWidth="1"/>
    <col min="2063" max="2063" width="9.36328125" style="1" bestFit="1" customWidth="1"/>
    <col min="2064" max="2064" width="9.1796875" style="1" bestFit="1" customWidth="1"/>
    <col min="2065" max="2065" width="9.453125" style="1" bestFit="1" customWidth="1"/>
    <col min="2066" max="2066" width="9.36328125" style="1" bestFit="1" customWidth="1"/>
    <col min="2067" max="2304" width="8.7265625" style="1"/>
    <col min="2305" max="2305" width="3.1796875" style="1" customWidth="1"/>
    <col min="2306" max="2306" width="5" style="1" customWidth="1"/>
    <col min="2307" max="2307" width="21.54296875" style="1" customWidth="1"/>
    <col min="2308" max="2308" width="44.453125" style="1" customWidth="1"/>
    <col min="2309" max="2309" width="18.54296875" style="1" bestFit="1" customWidth="1"/>
    <col min="2310" max="2310" width="18.26953125" style="1" customWidth="1"/>
    <col min="2311" max="2311" width="8.1796875" style="1" bestFit="1" customWidth="1"/>
    <col min="2312" max="2312" width="9.453125" style="1" customWidth="1"/>
    <col min="2313" max="2313" width="8.36328125" style="1" bestFit="1" customWidth="1"/>
    <col min="2314" max="2314" width="8.1796875" style="1" bestFit="1" customWidth="1"/>
    <col min="2315" max="2315" width="8.6328125" style="1" bestFit="1" customWidth="1"/>
    <col min="2316" max="2316" width="8.1796875" style="1" bestFit="1" customWidth="1"/>
    <col min="2317" max="2317" width="9.1796875" style="1" bestFit="1" customWidth="1"/>
    <col min="2318" max="2318" width="9.453125" style="1" bestFit="1" customWidth="1"/>
    <col min="2319" max="2319" width="9.36328125" style="1" bestFit="1" customWidth="1"/>
    <col min="2320" max="2320" width="9.1796875" style="1" bestFit="1" customWidth="1"/>
    <col min="2321" max="2321" width="9.453125" style="1" bestFit="1" customWidth="1"/>
    <col min="2322" max="2322" width="9.36328125" style="1" bestFit="1" customWidth="1"/>
    <col min="2323" max="2560" width="8.7265625" style="1"/>
    <col min="2561" max="2561" width="3.1796875" style="1" customWidth="1"/>
    <col min="2562" max="2562" width="5" style="1" customWidth="1"/>
    <col min="2563" max="2563" width="21.54296875" style="1" customWidth="1"/>
    <col min="2564" max="2564" width="44.453125" style="1" customWidth="1"/>
    <col min="2565" max="2565" width="18.54296875" style="1" bestFit="1" customWidth="1"/>
    <col min="2566" max="2566" width="18.26953125" style="1" customWidth="1"/>
    <col min="2567" max="2567" width="8.1796875" style="1" bestFit="1" customWidth="1"/>
    <col min="2568" max="2568" width="9.453125" style="1" customWidth="1"/>
    <col min="2569" max="2569" width="8.36328125" style="1" bestFit="1" customWidth="1"/>
    <col min="2570" max="2570" width="8.1796875" style="1" bestFit="1" customWidth="1"/>
    <col min="2571" max="2571" width="8.6328125" style="1" bestFit="1" customWidth="1"/>
    <col min="2572" max="2572" width="8.1796875" style="1" bestFit="1" customWidth="1"/>
    <col min="2573" max="2573" width="9.1796875" style="1" bestFit="1" customWidth="1"/>
    <col min="2574" max="2574" width="9.453125" style="1" bestFit="1" customWidth="1"/>
    <col min="2575" max="2575" width="9.36328125" style="1" bestFit="1" customWidth="1"/>
    <col min="2576" max="2576" width="9.1796875" style="1" bestFit="1" customWidth="1"/>
    <col min="2577" max="2577" width="9.453125" style="1" bestFit="1" customWidth="1"/>
    <col min="2578" max="2578" width="9.36328125" style="1" bestFit="1" customWidth="1"/>
    <col min="2579" max="2816" width="8.7265625" style="1"/>
    <col min="2817" max="2817" width="3.1796875" style="1" customWidth="1"/>
    <col min="2818" max="2818" width="5" style="1" customWidth="1"/>
    <col min="2819" max="2819" width="21.54296875" style="1" customWidth="1"/>
    <col min="2820" max="2820" width="44.453125" style="1" customWidth="1"/>
    <col min="2821" max="2821" width="18.54296875" style="1" bestFit="1" customWidth="1"/>
    <col min="2822" max="2822" width="18.26953125" style="1" customWidth="1"/>
    <col min="2823" max="2823" width="8.1796875" style="1" bestFit="1" customWidth="1"/>
    <col min="2824" max="2824" width="9.453125" style="1" customWidth="1"/>
    <col min="2825" max="2825" width="8.36328125" style="1" bestFit="1" customWidth="1"/>
    <col min="2826" max="2826" width="8.1796875" style="1" bestFit="1" customWidth="1"/>
    <col min="2827" max="2827" width="8.6328125" style="1" bestFit="1" customWidth="1"/>
    <col min="2828" max="2828" width="8.1796875" style="1" bestFit="1" customWidth="1"/>
    <col min="2829" max="2829" width="9.1796875" style="1" bestFit="1" customWidth="1"/>
    <col min="2830" max="2830" width="9.453125" style="1" bestFit="1" customWidth="1"/>
    <col min="2831" max="2831" width="9.36328125" style="1" bestFit="1" customWidth="1"/>
    <col min="2832" max="2832" width="9.1796875" style="1" bestFit="1" customWidth="1"/>
    <col min="2833" max="2833" width="9.453125" style="1" bestFit="1" customWidth="1"/>
    <col min="2834" max="2834" width="9.36328125" style="1" bestFit="1" customWidth="1"/>
    <col min="2835" max="3072" width="8.7265625" style="1"/>
    <col min="3073" max="3073" width="3.1796875" style="1" customWidth="1"/>
    <col min="3074" max="3074" width="5" style="1" customWidth="1"/>
    <col min="3075" max="3075" width="21.54296875" style="1" customWidth="1"/>
    <col min="3076" max="3076" width="44.453125" style="1" customWidth="1"/>
    <col min="3077" max="3077" width="18.54296875" style="1" bestFit="1" customWidth="1"/>
    <col min="3078" max="3078" width="18.26953125" style="1" customWidth="1"/>
    <col min="3079" max="3079" width="8.1796875" style="1" bestFit="1" customWidth="1"/>
    <col min="3080" max="3080" width="9.453125" style="1" customWidth="1"/>
    <col min="3081" max="3081" width="8.36328125" style="1" bestFit="1" customWidth="1"/>
    <col min="3082" max="3082" width="8.1796875" style="1" bestFit="1" customWidth="1"/>
    <col min="3083" max="3083" width="8.6328125" style="1" bestFit="1" customWidth="1"/>
    <col min="3084" max="3084" width="8.1796875" style="1" bestFit="1" customWidth="1"/>
    <col min="3085" max="3085" width="9.1796875" style="1" bestFit="1" customWidth="1"/>
    <col min="3086" max="3086" width="9.453125" style="1" bestFit="1" customWidth="1"/>
    <col min="3087" max="3087" width="9.36328125" style="1" bestFit="1" customWidth="1"/>
    <col min="3088" max="3088" width="9.1796875" style="1" bestFit="1" customWidth="1"/>
    <col min="3089" max="3089" width="9.453125" style="1" bestFit="1" customWidth="1"/>
    <col min="3090" max="3090" width="9.36328125" style="1" bestFit="1" customWidth="1"/>
    <col min="3091" max="3328" width="8.7265625" style="1"/>
    <col min="3329" max="3329" width="3.1796875" style="1" customWidth="1"/>
    <col min="3330" max="3330" width="5" style="1" customWidth="1"/>
    <col min="3331" max="3331" width="21.54296875" style="1" customWidth="1"/>
    <col min="3332" max="3332" width="44.453125" style="1" customWidth="1"/>
    <col min="3333" max="3333" width="18.54296875" style="1" bestFit="1" customWidth="1"/>
    <col min="3334" max="3334" width="18.26953125" style="1" customWidth="1"/>
    <col min="3335" max="3335" width="8.1796875" style="1" bestFit="1" customWidth="1"/>
    <col min="3336" max="3336" width="9.453125" style="1" customWidth="1"/>
    <col min="3337" max="3337" width="8.36328125" style="1" bestFit="1" customWidth="1"/>
    <col min="3338" max="3338" width="8.1796875" style="1" bestFit="1" customWidth="1"/>
    <col min="3339" max="3339" width="8.6328125" style="1" bestFit="1" customWidth="1"/>
    <col min="3340" max="3340" width="8.1796875" style="1" bestFit="1" customWidth="1"/>
    <col min="3341" max="3341" width="9.1796875" style="1" bestFit="1" customWidth="1"/>
    <col min="3342" max="3342" width="9.453125" style="1" bestFit="1" customWidth="1"/>
    <col min="3343" max="3343" width="9.36328125" style="1" bestFit="1" customWidth="1"/>
    <col min="3344" max="3344" width="9.1796875" style="1" bestFit="1" customWidth="1"/>
    <col min="3345" max="3345" width="9.453125" style="1" bestFit="1" customWidth="1"/>
    <col min="3346" max="3346" width="9.36328125" style="1" bestFit="1" customWidth="1"/>
    <col min="3347" max="3584" width="8.7265625" style="1"/>
    <col min="3585" max="3585" width="3.1796875" style="1" customWidth="1"/>
    <col min="3586" max="3586" width="5" style="1" customWidth="1"/>
    <col min="3587" max="3587" width="21.54296875" style="1" customWidth="1"/>
    <col min="3588" max="3588" width="44.453125" style="1" customWidth="1"/>
    <col min="3589" max="3589" width="18.54296875" style="1" bestFit="1" customWidth="1"/>
    <col min="3590" max="3590" width="18.26953125" style="1" customWidth="1"/>
    <col min="3591" max="3591" width="8.1796875" style="1" bestFit="1" customWidth="1"/>
    <col min="3592" max="3592" width="9.453125" style="1" customWidth="1"/>
    <col min="3593" max="3593" width="8.36328125" style="1" bestFit="1" customWidth="1"/>
    <col min="3594" max="3594" width="8.1796875" style="1" bestFit="1" customWidth="1"/>
    <col min="3595" max="3595" width="8.6328125" style="1" bestFit="1" customWidth="1"/>
    <col min="3596" max="3596" width="8.1796875" style="1" bestFit="1" customWidth="1"/>
    <col min="3597" max="3597" width="9.1796875" style="1" bestFit="1" customWidth="1"/>
    <col min="3598" max="3598" width="9.453125" style="1" bestFit="1" customWidth="1"/>
    <col min="3599" max="3599" width="9.36328125" style="1" bestFit="1" customWidth="1"/>
    <col min="3600" max="3600" width="9.1796875" style="1" bestFit="1" customWidth="1"/>
    <col min="3601" max="3601" width="9.453125" style="1" bestFit="1" customWidth="1"/>
    <col min="3602" max="3602" width="9.36328125" style="1" bestFit="1" customWidth="1"/>
    <col min="3603" max="3840" width="8.7265625" style="1"/>
    <col min="3841" max="3841" width="3.1796875" style="1" customWidth="1"/>
    <col min="3842" max="3842" width="5" style="1" customWidth="1"/>
    <col min="3843" max="3843" width="21.54296875" style="1" customWidth="1"/>
    <col min="3844" max="3844" width="44.453125" style="1" customWidth="1"/>
    <col min="3845" max="3845" width="18.54296875" style="1" bestFit="1" customWidth="1"/>
    <col min="3846" max="3846" width="18.26953125" style="1" customWidth="1"/>
    <col min="3847" max="3847" width="8.1796875" style="1" bestFit="1" customWidth="1"/>
    <col min="3848" max="3848" width="9.453125" style="1" customWidth="1"/>
    <col min="3849" max="3849" width="8.36328125" style="1" bestFit="1" customWidth="1"/>
    <col min="3850" max="3850" width="8.1796875" style="1" bestFit="1" customWidth="1"/>
    <col min="3851" max="3851" width="8.6328125" style="1" bestFit="1" customWidth="1"/>
    <col min="3852" max="3852" width="8.1796875" style="1" bestFit="1" customWidth="1"/>
    <col min="3853" max="3853" width="9.1796875" style="1" bestFit="1" customWidth="1"/>
    <col min="3854" max="3854" width="9.453125" style="1" bestFit="1" customWidth="1"/>
    <col min="3855" max="3855" width="9.36328125" style="1" bestFit="1" customWidth="1"/>
    <col min="3856" max="3856" width="9.1796875" style="1" bestFit="1" customWidth="1"/>
    <col min="3857" max="3857" width="9.453125" style="1" bestFit="1" customWidth="1"/>
    <col min="3858" max="3858" width="9.36328125" style="1" bestFit="1" customWidth="1"/>
    <col min="3859" max="4096" width="8.7265625" style="1"/>
    <col min="4097" max="4097" width="3.1796875" style="1" customWidth="1"/>
    <col min="4098" max="4098" width="5" style="1" customWidth="1"/>
    <col min="4099" max="4099" width="21.54296875" style="1" customWidth="1"/>
    <col min="4100" max="4100" width="44.453125" style="1" customWidth="1"/>
    <col min="4101" max="4101" width="18.54296875" style="1" bestFit="1" customWidth="1"/>
    <col min="4102" max="4102" width="18.26953125" style="1" customWidth="1"/>
    <col min="4103" max="4103" width="8.1796875" style="1" bestFit="1" customWidth="1"/>
    <col min="4104" max="4104" width="9.453125" style="1" customWidth="1"/>
    <col min="4105" max="4105" width="8.36328125" style="1" bestFit="1" customWidth="1"/>
    <col min="4106" max="4106" width="8.1796875" style="1" bestFit="1" customWidth="1"/>
    <col min="4107" max="4107" width="8.6328125" style="1" bestFit="1" customWidth="1"/>
    <col min="4108" max="4108" width="8.1796875" style="1" bestFit="1" customWidth="1"/>
    <col min="4109" max="4109" width="9.1796875" style="1" bestFit="1" customWidth="1"/>
    <col min="4110" max="4110" width="9.453125" style="1" bestFit="1" customWidth="1"/>
    <col min="4111" max="4111" width="9.36328125" style="1" bestFit="1" customWidth="1"/>
    <col min="4112" max="4112" width="9.1796875" style="1" bestFit="1" customWidth="1"/>
    <col min="4113" max="4113" width="9.453125" style="1" bestFit="1" customWidth="1"/>
    <col min="4114" max="4114" width="9.36328125" style="1" bestFit="1" customWidth="1"/>
    <col min="4115" max="4352" width="8.7265625" style="1"/>
    <col min="4353" max="4353" width="3.1796875" style="1" customWidth="1"/>
    <col min="4354" max="4354" width="5" style="1" customWidth="1"/>
    <col min="4355" max="4355" width="21.54296875" style="1" customWidth="1"/>
    <col min="4356" max="4356" width="44.453125" style="1" customWidth="1"/>
    <col min="4357" max="4357" width="18.54296875" style="1" bestFit="1" customWidth="1"/>
    <col min="4358" max="4358" width="18.26953125" style="1" customWidth="1"/>
    <col min="4359" max="4359" width="8.1796875" style="1" bestFit="1" customWidth="1"/>
    <col min="4360" max="4360" width="9.453125" style="1" customWidth="1"/>
    <col min="4361" max="4361" width="8.36328125" style="1" bestFit="1" customWidth="1"/>
    <col min="4362" max="4362" width="8.1796875" style="1" bestFit="1" customWidth="1"/>
    <col min="4363" max="4363" width="8.6328125" style="1" bestFit="1" customWidth="1"/>
    <col min="4364" max="4364" width="8.1796875" style="1" bestFit="1" customWidth="1"/>
    <col min="4365" max="4365" width="9.1796875" style="1" bestFit="1" customWidth="1"/>
    <col min="4366" max="4366" width="9.453125" style="1" bestFit="1" customWidth="1"/>
    <col min="4367" max="4367" width="9.36328125" style="1" bestFit="1" customWidth="1"/>
    <col min="4368" max="4368" width="9.1796875" style="1" bestFit="1" customWidth="1"/>
    <col min="4369" max="4369" width="9.453125" style="1" bestFit="1" customWidth="1"/>
    <col min="4370" max="4370" width="9.36328125" style="1" bestFit="1" customWidth="1"/>
    <col min="4371" max="4608" width="8.7265625" style="1"/>
    <col min="4609" max="4609" width="3.1796875" style="1" customWidth="1"/>
    <col min="4610" max="4610" width="5" style="1" customWidth="1"/>
    <col min="4611" max="4611" width="21.54296875" style="1" customWidth="1"/>
    <col min="4612" max="4612" width="44.453125" style="1" customWidth="1"/>
    <col min="4613" max="4613" width="18.54296875" style="1" bestFit="1" customWidth="1"/>
    <col min="4614" max="4614" width="18.26953125" style="1" customWidth="1"/>
    <col min="4615" max="4615" width="8.1796875" style="1" bestFit="1" customWidth="1"/>
    <col min="4616" max="4616" width="9.453125" style="1" customWidth="1"/>
    <col min="4617" max="4617" width="8.36328125" style="1" bestFit="1" customWidth="1"/>
    <col min="4618" max="4618" width="8.1796875" style="1" bestFit="1" customWidth="1"/>
    <col min="4619" max="4619" width="8.6328125" style="1" bestFit="1" customWidth="1"/>
    <col min="4620" max="4620" width="8.1796875" style="1" bestFit="1" customWidth="1"/>
    <col min="4621" max="4621" width="9.1796875" style="1" bestFit="1" customWidth="1"/>
    <col min="4622" max="4622" width="9.453125" style="1" bestFit="1" customWidth="1"/>
    <col min="4623" max="4623" width="9.36328125" style="1" bestFit="1" customWidth="1"/>
    <col min="4624" max="4624" width="9.1796875" style="1" bestFit="1" customWidth="1"/>
    <col min="4625" max="4625" width="9.453125" style="1" bestFit="1" customWidth="1"/>
    <col min="4626" max="4626" width="9.36328125" style="1" bestFit="1" customWidth="1"/>
    <col min="4627" max="4864" width="8.7265625" style="1"/>
    <col min="4865" max="4865" width="3.1796875" style="1" customWidth="1"/>
    <col min="4866" max="4866" width="5" style="1" customWidth="1"/>
    <col min="4867" max="4867" width="21.54296875" style="1" customWidth="1"/>
    <col min="4868" max="4868" width="44.453125" style="1" customWidth="1"/>
    <col min="4869" max="4869" width="18.54296875" style="1" bestFit="1" customWidth="1"/>
    <col min="4870" max="4870" width="18.26953125" style="1" customWidth="1"/>
    <col min="4871" max="4871" width="8.1796875" style="1" bestFit="1" customWidth="1"/>
    <col min="4872" max="4872" width="9.453125" style="1" customWidth="1"/>
    <col min="4873" max="4873" width="8.36328125" style="1" bestFit="1" customWidth="1"/>
    <col min="4874" max="4874" width="8.1796875" style="1" bestFit="1" customWidth="1"/>
    <col min="4875" max="4875" width="8.6328125" style="1" bestFit="1" customWidth="1"/>
    <col min="4876" max="4876" width="8.1796875" style="1" bestFit="1" customWidth="1"/>
    <col min="4877" max="4877" width="9.1796875" style="1" bestFit="1" customWidth="1"/>
    <col min="4878" max="4878" width="9.453125" style="1" bestFit="1" customWidth="1"/>
    <col min="4879" max="4879" width="9.36328125" style="1" bestFit="1" customWidth="1"/>
    <col min="4880" max="4880" width="9.1796875" style="1" bestFit="1" customWidth="1"/>
    <col min="4881" max="4881" width="9.453125" style="1" bestFit="1" customWidth="1"/>
    <col min="4882" max="4882" width="9.36328125" style="1" bestFit="1" customWidth="1"/>
    <col min="4883" max="5120" width="8.7265625" style="1"/>
    <col min="5121" max="5121" width="3.1796875" style="1" customWidth="1"/>
    <col min="5122" max="5122" width="5" style="1" customWidth="1"/>
    <col min="5123" max="5123" width="21.54296875" style="1" customWidth="1"/>
    <col min="5124" max="5124" width="44.453125" style="1" customWidth="1"/>
    <col min="5125" max="5125" width="18.54296875" style="1" bestFit="1" customWidth="1"/>
    <col min="5126" max="5126" width="18.26953125" style="1" customWidth="1"/>
    <col min="5127" max="5127" width="8.1796875" style="1" bestFit="1" customWidth="1"/>
    <col min="5128" max="5128" width="9.453125" style="1" customWidth="1"/>
    <col min="5129" max="5129" width="8.36328125" style="1" bestFit="1" customWidth="1"/>
    <col min="5130" max="5130" width="8.1796875" style="1" bestFit="1" customWidth="1"/>
    <col min="5131" max="5131" width="8.6328125" style="1" bestFit="1" customWidth="1"/>
    <col min="5132" max="5132" width="8.1796875" style="1" bestFit="1" customWidth="1"/>
    <col min="5133" max="5133" width="9.1796875" style="1" bestFit="1" customWidth="1"/>
    <col min="5134" max="5134" width="9.453125" style="1" bestFit="1" customWidth="1"/>
    <col min="5135" max="5135" width="9.36328125" style="1" bestFit="1" customWidth="1"/>
    <col min="5136" max="5136" width="9.1796875" style="1" bestFit="1" customWidth="1"/>
    <col min="5137" max="5137" width="9.453125" style="1" bestFit="1" customWidth="1"/>
    <col min="5138" max="5138" width="9.36328125" style="1" bestFit="1" customWidth="1"/>
    <col min="5139" max="5376" width="8.7265625" style="1"/>
    <col min="5377" max="5377" width="3.1796875" style="1" customWidth="1"/>
    <col min="5378" max="5378" width="5" style="1" customWidth="1"/>
    <col min="5379" max="5379" width="21.54296875" style="1" customWidth="1"/>
    <col min="5380" max="5380" width="44.453125" style="1" customWidth="1"/>
    <col min="5381" max="5381" width="18.54296875" style="1" bestFit="1" customWidth="1"/>
    <col min="5382" max="5382" width="18.26953125" style="1" customWidth="1"/>
    <col min="5383" max="5383" width="8.1796875" style="1" bestFit="1" customWidth="1"/>
    <col min="5384" max="5384" width="9.453125" style="1" customWidth="1"/>
    <col min="5385" max="5385" width="8.36328125" style="1" bestFit="1" customWidth="1"/>
    <col min="5386" max="5386" width="8.1796875" style="1" bestFit="1" customWidth="1"/>
    <col min="5387" max="5387" width="8.6328125" style="1" bestFit="1" customWidth="1"/>
    <col min="5388" max="5388" width="8.1796875" style="1" bestFit="1" customWidth="1"/>
    <col min="5389" max="5389" width="9.1796875" style="1" bestFit="1" customWidth="1"/>
    <col min="5390" max="5390" width="9.453125" style="1" bestFit="1" customWidth="1"/>
    <col min="5391" max="5391" width="9.36328125" style="1" bestFit="1" customWidth="1"/>
    <col min="5392" max="5392" width="9.1796875" style="1" bestFit="1" customWidth="1"/>
    <col min="5393" max="5393" width="9.453125" style="1" bestFit="1" customWidth="1"/>
    <col min="5394" max="5394" width="9.36328125" style="1" bestFit="1" customWidth="1"/>
    <col min="5395" max="5632" width="8.7265625" style="1"/>
    <col min="5633" max="5633" width="3.1796875" style="1" customWidth="1"/>
    <col min="5634" max="5634" width="5" style="1" customWidth="1"/>
    <col min="5635" max="5635" width="21.54296875" style="1" customWidth="1"/>
    <col min="5636" max="5636" width="44.453125" style="1" customWidth="1"/>
    <col min="5637" max="5637" width="18.54296875" style="1" bestFit="1" customWidth="1"/>
    <col min="5638" max="5638" width="18.26953125" style="1" customWidth="1"/>
    <col min="5639" max="5639" width="8.1796875" style="1" bestFit="1" customWidth="1"/>
    <col min="5640" max="5640" width="9.453125" style="1" customWidth="1"/>
    <col min="5641" max="5641" width="8.36328125" style="1" bestFit="1" customWidth="1"/>
    <col min="5642" max="5642" width="8.1796875" style="1" bestFit="1" customWidth="1"/>
    <col min="5643" max="5643" width="8.6328125" style="1" bestFit="1" customWidth="1"/>
    <col min="5644" max="5644" width="8.1796875" style="1" bestFit="1" customWidth="1"/>
    <col min="5645" max="5645" width="9.1796875" style="1" bestFit="1" customWidth="1"/>
    <col min="5646" max="5646" width="9.453125" style="1" bestFit="1" customWidth="1"/>
    <col min="5647" max="5647" width="9.36328125" style="1" bestFit="1" customWidth="1"/>
    <col min="5648" max="5648" width="9.1796875" style="1" bestFit="1" customWidth="1"/>
    <col min="5649" max="5649" width="9.453125" style="1" bestFit="1" customWidth="1"/>
    <col min="5650" max="5650" width="9.36328125" style="1" bestFit="1" customWidth="1"/>
    <col min="5651" max="5888" width="8.7265625" style="1"/>
    <col min="5889" max="5889" width="3.1796875" style="1" customWidth="1"/>
    <col min="5890" max="5890" width="5" style="1" customWidth="1"/>
    <col min="5891" max="5891" width="21.54296875" style="1" customWidth="1"/>
    <col min="5892" max="5892" width="44.453125" style="1" customWidth="1"/>
    <col min="5893" max="5893" width="18.54296875" style="1" bestFit="1" customWidth="1"/>
    <col min="5894" max="5894" width="18.26953125" style="1" customWidth="1"/>
    <col min="5895" max="5895" width="8.1796875" style="1" bestFit="1" customWidth="1"/>
    <col min="5896" max="5896" width="9.453125" style="1" customWidth="1"/>
    <col min="5897" max="5897" width="8.36328125" style="1" bestFit="1" customWidth="1"/>
    <col min="5898" max="5898" width="8.1796875" style="1" bestFit="1" customWidth="1"/>
    <col min="5899" max="5899" width="8.6328125" style="1" bestFit="1" customWidth="1"/>
    <col min="5900" max="5900" width="8.1796875" style="1" bestFit="1" customWidth="1"/>
    <col min="5901" max="5901" width="9.1796875" style="1" bestFit="1" customWidth="1"/>
    <col min="5902" max="5902" width="9.453125" style="1" bestFit="1" customWidth="1"/>
    <col min="5903" max="5903" width="9.36328125" style="1" bestFit="1" customWidth="1"/>
    <col min="5904" max="5904" width="9.1796875" style="1" bestFit="1" customWidth="1"/>
    <col min="5905" max="5905" width="9.453125" style="1" bestFit="1" customWidth="1"/>
    <col min="5906" max="5906" width="9.36328125" style="1" bestFit="1" customWidth="1"/>
    <col min="5907" max="6144" width="8.7265625" style="1"/>
    <col min="6145" max="6145" width="3.1796875" style="1" customWidth="1"/>
    <col min="6146" max="6146" width="5" style="1" customWidth="1"/>
    <col min="6147" max="6147" width="21.54296875" style="1" customWidth="1"/>
    <col min="6148" max="6148" width="44.453125" style="1" customWidth="1"/>
    <col min="6149" max="6149" width="18.54296875" style="1" bestFit="1" customWidth="1"/>
    <col min="6150" max="6150" width="18.26953125" style="1" customWidth="1"/>
    <col min="6151" max="6151" width="8.1796875" style="1" bestFit="1" customWidth="1"/>
    <col min="6152" max="6152" width="9.453125" style="1" customWidth="1"/>
    <col min="6153" max="6153" width="8.36328125" style="1" bestFit="1" customWidth="1"/>
    <col min="6154" max="6154" width="8.1796875" style="1" bestFit="1" customWidth="1"/>
    <col min="6155" max="6155" width="8.6328125" style="1" bestFit="1" customWidth="1"/>
    <col min="6156" max="6156" width="8.1796875" style="1" bestFit="1" customWidth="1"/>
    <col min="6157" max="6157" width="9.1796875" style="1" bestFit="1" customWidth="1"/>
    <col min="6158" max="6158" width="9.453125" style="1" bestFit="1" customWidth="1"/>
    <col min="6159" max="6159" width="9.36328125" style="1" bestFit="1" customWidth="1"/>
    <col min="6160" max="6160" width="9.1796875" style="1" bestFit="1" customWidth="1"/>
    <col min="6161" max="6161" width="9.453125" style="1" bestFit="1" customWidth="1"/>
    <col min="6162" max="6162" width="9.36328125" style="1" bestFit="1" customWidth="1"/>
    <col min="6163" max="6400" width="8.7265625" style="1"/>
    <col min="6401" max="6401" width="3.1796875" style="1" customWidth="1"/>
    <col min="6402" max="6402" width="5" style="1" customWidth="1"/>
    <col min="6403" max="6403" width="21.54296875" style="1" customWidth="1"/>
    <col min="6404" max="6404" width="44.453125" style="1" customWidth="1"/>
    <col min="6405" max="6405" width="18.54296875" style="1" bestFit="1" customWidth="1"/>
    <col min="6406" max="6406" width="18.26953125" style="1" customWidth="1"/>
    <col min="6407" max="6407" width="8.1796875" style="1" bestFit="1" customWidth="1"/>
    <col min="6408" max="6408" width="9.453125" style="1" customWidth="1"/>
    <col min="6409" max="6409" width="8.36328125" style="1" bestFit="1" customWidth="1"/>
    <col min="6410" max="6410" width="8.1796875" style="1" bestFit="1" customWidth="1"/>
    <col min="6411" max="6411" width="8.6328125" style="1" bestFit="1" customWidth="1"/>
    <col min="6412" max="6412" width="8.1796875" style="1" bestFit="1" customWidth="1"/>
    <col min="6413" max="6413" width="9.1796875" style="1" bestFit="1" customWidth="1"/>
    <col min="6414" max="6414" width="9.453125" style="1" bestFit="1" customWidth="1"/>
    <col min="6415" max="6415" width="9.36328125" style="1" bestFit="1" customWidth="1"/>
    <col min="6416" max="6416" width="9.1796875" style="1" bestFit="1" customWidth="1"/>
    <col min="6417" max="6417" width="9.453125" style="1" bestFit="1" customWidth="1"/>
    <col min="6418" max="6418" width="9.36328125" style="1" bestFit="1" customWidth="1"/>
    <col min="6419" max="6656" width="8.7265625" style="1"/>
    <col min="6657" max="6657" width="3.1796875" style="1" customWidth="1"/>
    <col min="6658" max="6658" width="5" style="1" customWidth="1"/>
    <col min="6659" max="6659" width="21.54296875" style="1" customWidth="1"/>
    <col min="6660" max="6660" width="44.453125" style="1" customWidth="1"/>
    <col min="6661" max="6661" width="18.54296875" style="1" bestFit="1" customWidth="1"/>
    <col min="6662" max="6662" width="18.26953125" style="1" customWidth="1"/>
    <col min="6663" max="6663" width="8.1796875" style="1" bestFit="1" customWidth="1"/>
    <col min="6664" max="6664" width="9.453125" style="1" customWidth="1"/>
    <col min="6665" max="6665" width="8.36328125" style="1" bestFit="1" customWidth="1"/>
    <col min="6666" max="6666" width="8.1796875" style="1" bestFit="1" customWidth="1"/>
    <col min="6667" max="6667" width="8.6328125" style="1" bestFit="1" customWidth="1"/>
    <col min="6668" max="6668" width="8.1796875" style="1" bestFit="1" customWidth="1"/>
    <col min="6669" max="6669" width="9.1796875" style="1" bestFit="1" customWidth="1"/>
    <col min="6670" max="6670" width="9.453125" style="1" bestFit="1" customWidth="1"/>
    <col min="6671" max="6671" width="9.36328125" style="1" bestFit="1" customWidth="1"/>
    <col min="6672" max="6672" width="9.1796875" style="1" bestFit="1" customWidth="1"/>
    <col min="6673" max="6673" width="9.453125" style="1" bestFit="1" customWidth="1"/>
    <col min="6674" max="6674" width="9.36328125" style="1" bestFit="1" customWidth="1"/>
    <col min="6675" max="6912" width="8.7265625" style="1"/>
    <col min="6913" max="6913" width="3.1796875" style="1" customWidth="1"/>
    <col min="6914" max="6914" width="5" style="1" customWidth="1"/>
    <col min="6915" max="6915" width="21.54296875" style="1" customWidth="1"/>
    <col min="6916" max="6916" width="44.453125" style="1" customWidth="1"/>
    <col min="6917" max="6917" width="18.54296875" style="1" bestFit="1" customWidth="1"/>
    <col min="6918" max="6918" width="18.26953125" style="1" customWidth="1"/>
    <col min="6919" max="6919" width="8.1796875" style="1" bestFit="1" customWidth="1"/>
    <col min="6920" max="6920" width="9.453125" style="1" customWidth="1"/>
    <col min="6921" max="6921" width="8.36328125" style="1" bestFit="1" customWidth="1"/>
    <col min="6922" max="6922" width="8.1796875" style="1" bestFit="1" customWidth="1"/>
    <col min="6923" max="6923" width="8.6328125" style="1" bestFit="1" customWidth="1"/>
    <col min="6924" max="6924" width="8.1796875" style="1" bestFit="1" customWidth="1"/>
    <col min="6925" max="6925" width="9.1796875" style="1" bestFit="1" customWidth="1"/>
    <col min="6926" max="6926" width="9.453125" style="1" bestFit="1" customWidth="1"/>
    <col min="6927" max="6927" width="9.36328125" style="1" bestFit="1" customWidth="1"/>
    <col min="6928" max="6928" width="9.1796875" style="1" bestFit="1" customWidth="1"/>
    <col min="6929" max="6929" width="9.453125" style="1" bestFit="1" customWidth="1"/>
    <col min="6930" max="6930" width="9.36328125" style="1" bestFit="1" customWidth="1"/>
    <col min="6931" max="7168" width="8.7265625" style="1"/>
    <col min="7169" max="7169" width="3.1796875" style="1" customWidth="1"/>
    <col min="7170" max="7170" width="5" style="1" customWidth="1"/>
    <col min="7171" max="7171" width="21.54296875" style="1" customWidth="1"/>
    <col min="7172" max="7172" width="44.453125" style="1" customWidth="1"/>
    <col min="7173" max="7173" width="18.54296875" style="1" bestFit="1" customWidth="1"/>
    <col min="7174" max="7174" width="18.26953125" style="1" customWidth="1"/>
    <col min="7175" max="7175" width="8.1796875" style="1" bestFit="1" customWidth="1"/>
    <col min="7176" max="7176" width="9.453125" style="1" customWidth="1"/>
    <col min="7177" max="7177" width="8.36328125" style="1" bestFit="1" customWidth="1"/>
    <col min="7178" max="7178" width="8.1796875" style="1" bestFit="1" customWidth="1"/>
    <col min="7179" max="7179" width="8.6328125" style="1" bestFit="1" customWidth="1"/>
    <col min="7180" max="7180" width="8.1796875" style="1" bestFit="1" customWidth="1"/>
    <col min="7181" max="7181" width="9.1796875" style="1" bestFit="1" customWidth="1"/>
    <col min="7182" max="7182" width="9.453125" style="1" bestFit="1" customWidth="1"/>
    <col min="7183" max="7183" width="9.36328125" style="1" bestFit="1" customWidth="1"/>
    <col min="7184" max="7184" width="9.1796875" style="1" bestFit="1" customWidth="1"/>
    <col min="7185" max="7185" width="9.453125" style="1" bestFit="1" customWidth="1"/>
    <col min="7186" max="7186" width="9.36328125" style="1" bestFit="1" customWidth="1"/>
    <col min="7187" max="7424" width="8.7265625" style="1"/>
    <col min="7425" max="7425" width="3.1796875" style="1" customWidth="1"/>
    <col min="7426" max="7426" width="5" style="1" customWidth="1"/>
    <col min="7427" max="7427" width="21.54296875" style="1" customWidth="1"/>
    <col min="7428" max="7428" width="44.453125" style="1" customWidth="1"/>
    <col min="7429" max="7429" width="18.54296875" style="1" bestFit="1" customWidth="1"/>
    <col min="7430" max="7430" width="18.26953125" style="1" customWidth="1"/>
    <col min="7431" max="7431" width="8.1796875" style="1" bestFit="1" customWidth="1"/>
    <col min="7432" max="7432" width="9.453125" style="1" customWidth="1"/>
    <col min="7433" max="7433" width="8.36328125" style="1" bestFit="1" customWidth="1"/>
    <col min="7434" max="7434" width="8.1796875" style="1" bestFit="1" customWidth="1"/>
    <col min="7435" max="7435" width="8.6328125" style="1" bestFit="1" customWidth="1"/>
    <col min="7436" max="7436" width="8.1796875" style="1" bestFit="1" customWidth="1"/>
    <col min="7437" max="7437" width="9.1796875" style="1" bestFit="1" customWidth="1"/>
    <col min="7438" max="7438" width="9.453125" style="1" bestFit="1" customWidth="1"/>
    <col min="7439" max="7439" width="9.36328125" style="1" bestFit="1" customWidth="1"/>
    <col min="7440" max="7440" width="9.1796875" style="1" bestFit="1" customWidth="1"/>
    <col min="7441" max="7441" width="9.453125" style="1" bestFit="1" customWidth="1"/>
    <col min="7442" max="7442" width="9.36328125" style="1" bestFit="1" customWidth="1"/>
    <col min="7443" max="7680" width="8.7265625" style="1"/>
    <col min="7681" max="7681" width="3.1796875" style="1" customWidth="1"/>
    <col min="7682" max="7682" width="5" style="1" customWidth="1"/>
    <col min="7683" max="7683" width="21.54296875" style="1" customWidth="1"/>
    <col min="7684" max="7684" width="44.453125" style="1" customWidth="1"/>
    <col min="7685" max="7685" width="18.54296875" style="1" bestFit="1" customWidth="1"/>
    <col min="7686" max="7686" width="18.26953125" style="1" customWidth="1"/>
    <col min="7687" max="7687" width="8.1796875" style="1" bestFit="1" customWidth="1"/>
    <col min="7688" max="7688" width="9.453125" style="1" customWidth="1"/>
    <col min="7689" max="7689" width="8.36328125" style="1" bestFit="1" customWidth="1"/>
    <col min="7690" max="7690" width="8.1796875" style="1" bestFit="1" customWidth="1"/>
    <col min="7691" max="7691" width="8.6328125" style="1" bestFit="1" customWidth="1"/>
    <col min="7692" max="7692" width="8.1796875" style="1" bestFit="1" customWidth="1"/>
    <col min="7693" max="7693" width="9.1796875" style="1" bestFit="1" customWidth="1"/>
    <col min="7694" max="7694" width="9.453125" style="1" bestFit="1" customWidth="1"/>
    <col min="7695" max="7695" width="9.36328125" style="1" bestFit="1" customWidth="1"/>
    <col min="7696" max="7696" width="9.1796875" style="1" bestFit="1" customWidth="1"/>
    <col min="7697" max="7697" width="9.453125" style="1" bestFit="1" customWidth="1"/>
    <col min="7698" max="7698" width="9.36328125" style="1" bestFit="1" customWidth="1"/>
    <col min="7699" max="7936" width="8.7265625" style="1"/>
    <col min="7937" max="7937" width="3.1796875" style="1" customWidth="1"/>
    <col min="7938" max="7938" width="5" style="1" customWidth="1"/>
    <col min="7939" max="7939" width="21.54296875" style="1" customWidth="1"/>
    <col min="7940" max="7940" width="44.453125" style="1" customWidth="1"/>
    <col min="7941" max="7941" width="18.54296875" style="1" bestFit="1" customWidth="1"/>
    <col min="7942" max="7942" width="18.26953125" style="1" customWidth="1"/>
    <col min="7943" max="7943" width="8.1796875" style="1" bestFit="1" customWidth="1"/>
    <col min="7944" max="7944" width="9.453125" style="1" customWidth="1"/>
    <col min="7945" max="7945" width="8.36328125" style="1" bestFit="1" customWidth="1"/>
    <col min="7946" max="7946" width="8.1796875" style="1" bestFit="1" customWidth="1"/>
    <col min="7947" max="7947" width="8.6328125" style="1" bestFit="1" customWidth="1"/>
    <col min="7948" max="7948" width="8.1796875" style="1" bestFit="1" customWidth="1"/>
    <col min="7949" max="7949" width="9.1796875" style="1" bestFit="1" customWidth="1"/>
    <col min="7950" max="7950" width="9.453125" style="1" bestFit="1" customWidth="1"/>
    <col min="7951" max="7951" width="9.36328125" style="1" bestFit="1" customWidth="1"/>
    <col min="7952" max="7952" width="9.1796875" style="1" bestFit="1" customWidth="1"/>
    <col min="7953" max="7953" width="9.453125" style="1" bestFit="1" customWidth="1"/>
    <col min="7954" max="7954" width="9.36328125" style="1" bestFit="1" customWidth="1"/>
    <col min="7955" max="8192" width="8.7265625" style="1"/>
    <col min="8193" max="8193" width="3.1796875" style="1" customWidth="1"/>
    <col min="8194" max="8194" width="5" style="1" customWidth="1"/>
    <col min="8195" max="8195" width="21.54296875" style="1" customWidth="1"/>
    <col min="8196" max="8196" width="44.453125" style="1" customWidth="1"/>
    <col min="8197" max="8197" width="18.54296875" style="1" bestFit="1" customWidth="1"/>
    <col min="8198" max="8198" width="18.26953125" style="1" customWidth="1"/>
    <col min="8199" max="8199" width="8.1796875" style="1" bestFit="1" customWidth="1"/>
    <col min="8200" max="8200" width="9.453125" style="1" customWidth="1"/>
    <col min="8201" max="8201" width="8.36328125" style="1" bestFit="1" customWidth="1"/>
    <col min="8202" max="8202" width="8.1796875" style="1" bestFit="1" customWidth="1"/>
    <col min="8203" max="8203" width="8.6328125" style="1" bestFit="1" customWidth="1"/>
    <col min="8204" max="8204" width="8.1796875" style="1" bestFit="1" customWidth="1"/>
    <col min="8205" max="8205" width="9.1796875" style="1" bestFit="1" customWidth="1"/>
    <col min="8206" max="8206" width="9.453125" style="1" bestFit="1" customWidth="1"/>
    <col min="8207" max="8207" width="9.36328125" style="1" bestFit="1" customWidth="1"/>
    <col min="8208" max="8208" width="9.1796875" style="1" bestFit="1" customWidth="1"/>
    <col min="8209" max="8209" width="9.453125" style="1" bestFit="1" customWidth="1"/>
    <col min="8210" max="8210" width="9.36328125" style="1" bestFit="1" customWidth="1"/>
    <col min="8211" max="8448" width="8.7265625" style="1"/>
    <col min="8449" max="8449" width="3.1796875" style="1" customWidth="1"/>
    <col min="8450" max="8450" width="5" style="1" customWidth="1"/>
    <col min="8451" max="8451" width="21.54296875" style="1" customWidth="1"/>
    <col min="8452" max="8452" width="44.453125" style="1" customWidth="1"/>
    <col min="8453" max="8453" width="18.54296875" style="1" bestFit="1" customWidth="1"/>
    <col min="8454" max="8454" width="18.26953125" style="1" customWidth="1"/>
    <col min="8455" max="8455" width="8.1796875" style="1" bestFit="1" customWidth="1"/>
    <col min="8456" max="8456" width="9.453125" style="1" customWidth="1"/>
    <col min="8457" max="8457" width="8.36328125" style="1" bestFit="1" customWidth="1"/>
    <col min="8458" max="8458" width="8.1796875" style="1" bestFit="1" customWidth="1"/>
    <col min="8459" max="8459" width="8.6328125" style="1" bestFit="1" customWidth="1"/>
    <col min="8460" max="8460" width="8.1796875" style="1" bestFit="1" customWidth="1"/>
    <col min="8461" max="8461" width="9.1796875" style="1" bestFit="1" customWidth="1"/>
    <col min="8462" max="8462" width="9.453125" style="1" bestFit="1" customWidth="1"/>
    <col min="8463" max="8463" width="9.36328125" style="1" bestFit="1" customWidth="1"/>
    <col min="8464" max="8464" width="9.1796875" style="1" bestFit="1" customWidth="1"/>
    <col min="8465" max="8465" width="9.453125" style="1" bestFit="1" customWidth="1"/>
    <col min="8466" max="8466" width="9.36328125" style="1" bestFit="1" customWidth="1"/>
    <col min="8467" max="8704" width="8.7265625" style="1"/>
    <col min="8705" max="8705" width="3.1796875" style="1" customWidth="1"/>
    <col min="8706" max="8706" width="5" style="1" customWidth="1"/>
    <col min="8707" max="8707" width="21.54296875" style="1" customWidth="1"/>
    <col min="8708" max="8708" width="44.453125" style="1" customWidth="1"/>
    <col min="8709" max="8709" width="18.54296875" style="1" bestFit="1" customWidth="1"/>
    <col min="8710" max="8710" width="18.26953125" style="1" customWidth="1"/>
    <col min="8711" max="8711" width="8.1796875" style="1" bestFit="1" customWidth="1"/>
    <col min="8712" max="8712" width="9.453125" style="1" customWidth="1"/>
    <col min="8713" max="8713" width="8.36328125" style="1" bestFit="1" customWidth="1"/>
    <col min="8714" max="8714" width="8.1796875" style="1" bestFit="1" customWidth="1"/>
    <col min="8715" max="8715" width="8.6328125" style="1" bestFit="1" customWidth="1"/>
    <col min="8716" max="8716" width="8.1796875" style="1" bestFit="1" customWidth="1"/>
    <col min="8717" max="8717" width="9.1796875" style="1" bestFit="1" customWidth="1"/>
    <col min="8718" max="8718" width="9.453125" style="1" bestFit="1" customWidth="1"/>
    <col min="8719" max="8719" width="9.36328125" style="1" bestFit="1" customWidth="1"/>
    <col min="8720" max="8720" width="9.1796875" style="1" bestFit="1" customWidth="1"/>
    <col min="8721" max="8721" width="9.453125" style="1" bestFit="1" customWidth="1"/>
    <col min="8722" max="8722" width="9.36328125" style="1" bestFit="1" customWidth="1"/>
    <col min="8723" max="8960" width="8.7265625" style="1"/>
    <col min="8961" max="8961" width="3.1796875" style="1" customWidth="1"/>
    <col min="8962" max="8962" width="5" style="1" customWidth="1"/>
    <col min="8963" max="8963" width="21.54296875" style="1" customWidth="1"/>
    <col min="8964" max="8964" width="44.453125" style="1" customWidth="1"/>
    <col min="8965" max="8965" width="18.54296875" style="1" bestFit="1" customWidth="1"/>
    <col min="8966" max="8966" width="18.26953125" style="1" customWidth="1"/>
    <col min="8967" max="8967" width="8.1796875" style="1" bestFit="1" customWidth="1"/>
    <col min="8968" max="8968" width="9.453125" style="1" customWidth="1"/>
    <col min="8969" max="8969" width="8.36328125" style="1" bestFit="1" customWidth="1"/>
    <col min="8970" max="8970" width="8.1796875" style="1" bestFit="1" customWidth="1"/>
    <col min="8971" max="8971" width="8.6328125" style="1" bestFit="1" customWidth="1"/>
    <col min="8972" max="8972" width="8.1796875" style="1" bestFit="1" customWidth="1"/>
    <col min="8973" max="8973" width="9.1796875" style="1" bestFit="1" customWidth="1"/>
    <col min="8974" max="8974" width="9.453125" style="1" bestFit="1" customWidth="1"/>
    <col min="8975" max="8975" width="9.36328125" style="1" bestFit="1" customWidth="1"/>
    <col min="8976" max="8976" width="9.1796875" style="1" bestFit="1" customWidth="1"/>
    <col min="8977" max="8977" width="9.453125" style="1" bestFit="1" customWidth="1"/>
    <col min="8978" max="8978" width="9.36328125" style="1" bestFit="1" customWidth="1"/>
    <col min="8979" max="9216" width="8.7265625" style="1"/>
    <col min="9217" max="9217" width="3.1796875" style="1" customWidth="1"/>
    <col min="9218" max="9218" width="5" style="1" customWidth="1"/>
    <col min="9219" max="9219" width="21.54296875" style="1" customWidth="1"/>
    <col min="9220" max="9220" width="44.453125" style="1" customWidth="1"/>
    <col min="9221" max="9221" width="18.54296875" style="1" bestFit="1" customWidth="1"/>
    <col min="9222" max="9222" width="18.26953125" style="1" customWidth="1"/>
    <col min="9223" max="9223" width="8.1796875" style="1" bestFit="1" customWidth="1"/>
    <col min="9224" max="9224" width="9.453125" style="1" customWidth="1"/>
    <col min="9225" max="9225" width="8.36328125" style="1" bestFit="1" customWidth="1"/>
    <col min="9226" max="9226" width="8.1796875" style="1" bestFit="1" customWidth="1"/>
    <col min="9227" max="9227" width="8.6328125" style="1" bestFit="1" customWidth="1"/>
    <col min="9228" max="9228" width="8.1796875" style="1" bestFit="1" customWidth="1"/>
    <col min="9229" max="9229" width="9.1796875" style="1" bestFit="1" customWidth="1"/>
    <col min="9230" max="9230" width="9.453125" style="1" bestFit="1" customWidth="1"/>
    <col min="9231" max="9231" width="9.36328125" style="1" bestFit="1" customWidth="1"/>
    <col min="9232" max="9232" width="9.1796875" style="1" bestFit="1" customWidth="1"/>
    <col min="9233" max="9233" width="9.453125" style="1" bestFit="1" customWidth="1"/>
    <col min="9234" max="9234" width="9.36328125" style="1" bestFit="1" customWidth="1"/>
    <col min="9235" max="9472" width="8.7265625" style="1"/>
    <col min="9473" max="9473" width="3.1796875" style="1" customWidth="1"/>
    <col min="9474" max="9474" width="5" style="1" customWidth="1"/>
    <col min="9475" max="9475" width="21.54296875" style="1" customWidth="1"/>
    <col min="9476" max="9476" width="44.453125" style="1" customWidth="1"/>
    <col min="9477" max="9477" width="18.54296875" style="1" bestFit="1" customWidth="1"/>
    <col min="9478" max="9478" width="18.26953125" style="1" customWidth="1"/>
    <col min="9479" max="9479" width="8.1796875" style="1" bestFit="1" customWidth="1"/>
    <col min="9480" max="9480" width="9.453125" style="1" customWidth="1"/>
    <col min="9481" max="9481" width="8.36328125" style="1" bestFit="1" customWidth="1"/>
    <col min="9482" max="9482" width="8.1796875" style="1" bestFit="1" customWidth="1"/>
    <col min="9483" max="9483" width="8.6328125" style="1" bestFit="1" customWidth="1"/>
    <col min="9484" max="9484" width="8.1796875" style="1" bestFit="1" customWidth="1"/>
    <col min="9485" max="9485" width="9.1796875" style="1" bestFit="1" customWidth="1"/>
    <col min="9486" max="9486" width="9.453125" style="1" bestFit="1" customWidth="1"/>
    <col min="9487" max="9487" width="9.36328125" style="1" bestFit="1" customWidth="1"/>
    <col min="9488" max="9488" width="9.1796875" style="1" bestFit="1" customWidth="1"/>
    <col min="9489" max="9489" width="9.453125" style="1" bestFit="1" customWidth="1"/>
    <col min="9490" max="9490" width="9.36328125" style="1" bestFit="1" customWidth="1"/>
    <col min="9491" max="9728" width="8.7265625" style="1"/>
    <col min="9729" max="9729" width="3.1796875" style="1" customWidth="1"/>
    <col min="9730" max="9730" width="5" style="1" customWidth="1"/>
    <col min="9731" max="9731" width="21.54296875" style="1" customWidth="1"/>
    <col min="9732" max="9732" width="44.453125" style="1" customWidth="1"/>
    <col min="9733" max="9733" width="18.54296875" style="1" bestFit="1" customWidth="1"/>
    <col min="9734" max="9734" width="18.26953125" style="1" customWidth="1"/>
    <col min="9735" max="9735" width="8.1796875" style="1" bestFit="1" customWidth="1"/>
    <col min="9736" max="9736" width="9.453125" style="1" customWidth="1"/>
    <col min="9737" max="9737" width="8.36328125" style="1" bestFit="1" customWidth="1"/>
    <col min="9738" max="9738" width="8.1796875" style="1" bestFit="1" customWidth="1"/>
    <col min="9739" max="9739" width="8.6328125" style="1" bestFit="1" customWidth="1"/>
    <col min="9740" max="9740" width="8.1796875" style="1" bestFit="1" customWidth="1"/>
    <col min="9741" max="9741" width="9.1796875" style="1" bestFit="1" customWidth="1"/>
    <col min="9742" max="9742" width="9.453125" style="1" bestFit="1" customWidth="1"/>
    <col min="9743" max="9743" width="9.36328125" style="1" bestFit="1" customWidth="1"/>
    <col min="9744" max="9744" width="9.1796875" style="1" bestFit="1" customWidth="1"/>
    <col min="9745" max="9745" width="9.453125" style="1" bestFit="1" customWidth="1"/>
    <col min="9746" max="9746" width="9.36328125" style="1" bestFit="1" customWidth="1"/>
    <col min="9747" max="9984" width="8.7265625" style="1"/>
    <col min="9985" max="9985" width="3.1796875" style="1" customWidth="1"/>
    <col min="9986" max="9986" width="5" style="1" customWidth="1"/>
    <col min="9987" max="9987" width="21.54296875" style="1" customWidth="1"/>
    <col min="9988" max="9988" width="44.453125" style="1" customWidth="1"/>
    <col min="9989" max="9989" width="18.54296875" style="1" bestFit="1" customWidth="1"/>
    <col min="9990" max="9990" width="18.26953125" style="1" customWidth="1"/>
    <col min="9991" max="9991" width="8.1796875" style="1" bestFit="1" customWidth="1"/>
    <col min="9992" max="9992" width="9.453125" style="1" customWidth="1"/>
    <col min="9993" max="9993" width="8.36328125" style="1" bestFit="1" customWidth="1"/>
    <col min="9994" max="9994" width="8.1796875" style="1" bestFit="1" customWidth="1"/>
    <col min="9995" max="9995" width="8.6328125" style="1" bestFit="1" customWidth="1"/>
    <col min="9996" max="9996" width="8.1796875" style="1" bestFit="1" customWidth="1"/>
    <col min="9997" max="9997" width="9.1796875" style="1" bestFit="1" customWidth="1"/>
    <col min="9998" max="9998" width="9.453125" style="1" bestFit="1" customWidth="1"/>
    <col min="9999" max="9999" width="9.36328125" style="1" bestFit="1" customWidth="1"/>
    <col min="10000" max="10000" width="9.1796875" style="1" bestFit="1" customWidth="1"/>
    <col min="10001" max="10001" width="9.453125" style="1" bestFit="1" customWidth="1"/>
    <col min="10002" max="10002" width="9.36328125" style="1" bestFit="1" customWidth="1"/>
    <col min="10003" max="10240" width="8.7265625" style="1"/>
    <col min="10241" max="10241" width="3.1796875" style="1" customWidth="1"/>
    <col min="10242" max="10242" width="5" style="1" customWidth="1"/>
    <col min="10243" max="10243" width="21.54296875" style="1" customWidth="1"/>
    <col min="10244" max="10244" width="44.453125" style="1" customWidth="1"/>
    <col min="10245" max="10245" width="18.54296875" style="1" bestFit="1" customWidth="1"/>
    <col min="10246" max="10246" width="18.26953125" style="1" customWidth="1"/>
    <col min="10247" max="10247" width="8.1796875" style="1" bestFit="1" customWidth="1"/>
    <col min="10248" max="10248" width="9.453125" style="1" customWidth="1"/>
    <col min="10249" max="10249" width="8.36328125" style="1" bestFit="1" customWidth="1"/>
    <col min="10250" max="10250" width="8.1796875" style="1" bestFit="1" customWidth="1"/>
    <col min="10251" max="10251" width="8.6328125" style="1" bestFit="1" customWidth="1"/>
    <col min="10252" max="10252" width="8.1796875" style="1" bestFit="1" customWidth="1"/>
    <col min="10253" max="10253" width="9.1796875" style="1" bestFit="1" customWidth="1"/>
    <col min="10254" max="10254" width="9.453125" style="1" bestFit="1" customWidth="1"/>
    <col min="10255" max="10255" width="9.36328125" style="1" bestFit="1" customWidth="1"/>
    <col min="10256" max="10256" width="9.1796875" style="1" bestFit="1" customWidth="1"/>
    <col min="10257" max="10257" width="9.453125" style="1" bestFit="1" customWidth="1"/>
    <col min="10258" max="10258" width="9.36328125" style="1" bestFit="1" customWidth="1"/>
    <col min="10259" max="10496" width="8.7265625" style="1"/>
    <col min="10497" max="10497" width="3.1796875" style="1" customWidth="1"/>
    <col min="10498" max="10498" width="5" style="1" customWidth="1"/>
    <col min="10499" max="10499" width="21.54296875" style="1" customWidth="1"/>
    <col min="10500" max="10500" width="44.453125" style="1" customWidth="1"/>
    <col min="10501" max="10501" width="18.54296875" style="1" bestFit="1" customWidth="1"/>
    <col min="10502" max="10502" width="18.26953125" style="1" customWidth="1"/>
    <col min="10503" max="10503" width="8.1796875" style="1" bestFit="1" customWidth="1"/>
    <col min="10504" max="10504" width="9.453125" style="1" customWidth="1"/>
    <col min="10505" max="10505" width="8.36328125" style="1" bestFit="1" customWidth="1"/>
    <col min="10506" max="10506" width="8.1796875" style="1" bestFit="1" customWidth="1"/>
    <col min="10507" max="10507" width="8.6328125" style="1" bestFit="1" customWidth="1"/>
    <col min="10508" max="10508" width="8.1796875" style="1" bestFit="1" customWidth="1"/>
    <col min="10509" max="10509" width="9.1796875" style="1" bestFit="1" customWidth="1"/>
    <col min="10510" max="10510" width="9.453125" style="1" bestFit="1" customWidth="1"/>
    <col min="10511" max="10511" width="9.36328125" style="1" bestFit="1" customWidth="1"/>
    <col min="10512" max="10512" width="9.1796875" style="1" bestFit="1" customWidth="1"/>
    <col min="10513" max="10513" width="9.453125" style="1" bestFit="1" customWidth="1"/>
    <col min="10514" max="10514" width="9.36328125" style="1" bestFit="1" customWidth="1"/>
    <col min="10515" max="10752" width="8.7265625" style="1"/>
    <col min="10753" max="10753" width="3.1796875" style="1" customWidth="1"/>
    <col min="10754" max="10754" width="5" style="1" customWidth="1"/>
    <col min="10755" max="10755" width="21.54296875" style="1" customWidth="1"/>
    <col min="10756" max="10756" width="44.453125" style="1" customWidth="1"/>
    <col min="10757" max="10757" width="18.54296875" style="1" bestFit="1" customWidth="1"/>
    <col min="10758" max="10758" width="18.26953125" style="1" customWidth="1"/>
    <col min="10759" max="10759" width="8.1796875" style="1" bestFit="1" customWidth="1"/>
    <col min="10760" max="10760" width="9.453125" style="1" customWidth="1"/>
    <col min="10761" max="10761" width="8.36328125" style="1" bestFit="1" customWidth="1"/>
    <col min="10762" max="10762" width="8.1796875" style="1" bestFit="1" customWidth="1"/>
    <col min="10763" max="10763" width="8.6328125" style="1" bestFit="1" customWidth="1"/>
    <col min="10764" max="10764" width="8.1796875" style="1" bestFit="1" customWidth="1"/>
    <col min="10765" max="10765" width="9.1796875" style="1" bestFit="1" customWidth="1"/>
    <col min="10766" max="10766" width="9.453125" style="1" bestFit="1" customWidth="1"/>
    <col min="10767" max="10767" width="9.36328125" style="1" bestFit="1" customWidth="1"/>
    <col min="10768" max="10768" width="9.1796875" style="1" bestFit="1" customWidth="1"/>
    <col min="10769" max="10769" width="9.453125" style="1" bestFit="1" customWidth="1"/>
    <col min="10770" max="10770" width="9.36328125" style="1" bestFit="1" customWidth="1"/>
    <col min="10771" max="11008" width="8.7265625" style="1"/>
    <col min="11009" max="11009" width="3.1796875" style="1" customWidth="1"/>
    <col min="11010" max="11010" width="5" style="1" customWidth="1"/>
    <col min="11011" max="11011" width="21.54296875" style="1" customWidth="1"/>
    <col min="11012" max="11012" width="44.453125" style="1" customWidth="1"/>
    <col min="11013" max="11013" width="18.54296875" style="1" bestFit="1" customWidth="1"/>
    <col min="11014" max="11014" width="18.26953125" style="1" customWidth="1"/>
    <col min="11015" max="11015" width="8.1796875" style="1" bestFit="1" customWidth="1"/>
    <col min="11016" max="11016" width="9.453125" style="1" customWidth="1"/>
    <col min="11017" max="11017" width="8.36328125" style="1" bestFit="1" customWidth="1"/>
    <col min="11018" max="11018" width="8.1796875" style="1" bestFit="1" customWidth="1"/>
    <col min="11019" max="11019" width="8.6328125" style="1" bestFit="1" customWidth="1"/>
    <col min="11020" max="11020" width="8.1796875" style="1" bestFit="1" customWidth="1"/>
    <col min="11021" max="11021" width="9.1796875" style="1" bestFit="1" customWidth="1"/>
    <col min="11022" max="11022" width="9.453125" style="1" bestFit="1" customWidth="1"/>
    <col min="11023" max="11023" width="9.36328125" style="1" bestFit="1" customWidth="1"/>
    <col min="11024" max="11024" width="9.1796875" style="1" bestFit="1" customWidth="1"/>
    <col min="11025" max="11025" width="9.453125" style="1" bestFit="1" customWidth="1"/>
    <col min="11026" max="11026" width="9.36328125" style="1" bestFit="1" customWidth="1"/>
    <col min="11027" max="11264" width="8.7265625" style="1"/>
    <col min="11265" max="11265" width="3.1796875" style="1" customWidth="1"/>
    <col min="11266" max="11266" width="5" style="1" customWidth="1"/>
    <col min="11267" max="11267" width="21.54296875" style="1" customWidth="1"/>
    <col min="11268" max="11268" width="44.453125" style="1" customWidth="1"/>
    <col min="11269" max="11269" width="18.54296875" style="1" bestFit="1" customWidth="1"/>
    <col min="11270" max="11270" width="18.26953125" style="1" customWidth="1"/>
    <col min="11271" max="11271" width="8.1796875" style="1" bestFit="1" customWidth="1"/>
    <col min="11272" max="11272" width="9.453125" style="1" customWidth="1"/>
    <col min="11273" max="11273" width="8.36328125" style="1" bestFit="1" customWidth="1"/>
    <col min="11274" max="11274" width="8.1796875" style="1" bestFit="1" customWidth="1"/>
    <col min="11275" max="11275" width="8.6328125" style="1" bestFit="1" customWidth="1"/>
    <col min="11276" max="11276" width="8.1796875" style="1" bestFit="1" customWidth="1"/>
    <col min="11277" max="11277" width="9.1796875" style="1" bestFit="1" customWidth="1"/>
    <col min="11278" max="11278" width="9.453125" style="1" bestFit="1" customWidth="1"/>
    <col min="11279" max="11279" width="9.36328125" style="1" bestFit="1" customWidth="1"/>
    <col min="11280" max="11280" width="9.1796875" style="1" bestFit="1" customWidth="1"/>
    <col min="11281" max="11281" width="9.453125" style="1" bestFit="1" customWidth="1"/>
    <col min="11282" max="11282" width="9.36328125" style="1" bestFit="1" customWidth="1"/>
    <col min="11283" max="11520" width="8.7265625" style="1"/>
    <col min="11521" max="11521" width="3.1796875" style="1" customWidth="1"/>
    <col min="11522" max="11522" width="5" style="1" customWidth="1"/>
    <col min="11523" max="11523" width="21.54296875" style="1" customWidth="1"/>
    <col min="11524" max="11524" width="44.453125" style="1" customWidth="1"/>
    <col min="11525" max="11525" width="18.54296875" style="1" bestFit="1" customWidth="1"/>
    <col min="11526" max="11526" width="18.26953125" style="1" customWidth="1"/>
    <col min="11527" max="11527" width="8.1796875" style="1" bestFit="1" customWidth="1"/>
    <col min="11528" max="11528" width="9.453125" style="1" customWidth="1"/>
    <col min="11529" max="11529" width="8.36328125" style="1" bestFit="1" customWidth="1"/>
    <col min="11530" max="11530" width="8.1796875" style="1" bestFit="1" customWidth="1"/>
    <col min="11531" max="11531" width="8.6328125" style="1" bestFit="1" customWidth="1"/>
    <col min="11532" max="11532" width="8.1796875" style="1" bestFit="1" customWidth="1"/>
    <col min="11533" max="11533" width="9.1796875" style="1" bestFit="1" customWidth="1"/>
    <col min="11534" max="11534" width="9.453125" style="1" bestFit="1" customWidth="1"/>
    <col min="11535" max="11535" width="9.36328125" style="1" bestFit="1" customWidth="1"/>
    <col min="11536" max="11536" width="9.1796875" style="1" bestFit="1" customWidth="1"/>
    <col min="11537" max="11537" width="9.453125" style="1" bestFit="1" customWidth="1"/>
    <col min="11538" max="11538" width="9.36328125" style="1" bestFit="1" customWidth="1"/>
    <col min="11539" max="11776" width="8.7265625" style="1"/>
    <col min="11777" max="11777" width="3.1796875" style="1" customWidth="1"/>
    <col min="11778" max="11778" width="5" style="1" customWidth="1"/>
    <col min="11779" max="11779" width="21.54296875" style="1" customWidth="1"/>
    <col min="11780" max="11780" width="44.453125" style="1" customWidth="1"/>
    <col min="11781" max="11781" width="18.54296875" style="1" bestFit="1" customWidth="1"/>
    <col min="11782" max="11782" width="18.26953125" style="1" customWidth="1"/>
    <col min="11783" max="11783" width="8.1796875" style="1" bestFit="1" customWidth="1"/>
    <col min="11784" max="11784" width="9.453125" style="1" customWidth="1"/>
    <col min="11785" max="11785" width="8.36328125" style="1" bestFit="1" customWidth="1"/>
    <col min="11786" max="11786" width="8.1796875" style="1" bestFit="1" customWidth="1"/>
    <col min="11787" max="11787" width="8.6328125" style="1" bestFit="1" customWidth="1"/>
    <col min="11788" max="11788" width="8.1796875" style="1" bestFit="1" customWidth="1"/>
    <col min="11789" max="11789" width="9.1796875" style="1" bestFit="1" customWidth="1"/>
    <col min="11790" max="11790" width="9.453125" style="1" bestFit="1" customWidth="1"/>
    <col min="11791" max="11791" width="9.36328125" style="1" bestFit="1" customWidth="1"/>
    <col min="11792" max="11792" width="9.1796875" style="1" bestFit="1" customWidth="1"/>
    <col min="11793" max="11793" width="9.453125" style="1" bestFit="1" customWidth="1"/>
    <col min="11794" max="11794" width="9.36328125" style="1" bestFit="1" customWidth="1"/>
    <col min="11795" max="12032" width="8.7265625" style="1"/>
    <col min="12033" max="12033" width="3.1796875" style="1" customWidth="1"/>
    <col min="12034" max="12034" width="5" style="1" customWidth="1"/>
    <col min="12035" max="12035" width="21.54296875" style="1" customWidth="1"/>
    <col min="12036" max="12036" width="44.453125" style="1" customWidth="1"/>
    <col min="12037" max="12037" width="18.54296875" style="1" bestFit="1" customWidth="1"/>
    <col min="12038" max="12038" width="18.26953125" style="1" customWidth="1"/>
    <col min="12039" max="12039" width="8.1796875" style="1" bestFit="1" customWidth="1"/>
    <col min="12040" max="12040" width="9.453125" style="1" customWidth="1"/>
    <col min="12041" max="12041" width="8.36328125" style="1" bestFit="1" customWidth="1"/>
    <col min="12042" max="12042" width="8.1796875" style="1" bestFit="1" customWidth="1"/>
    <col min="12043" max="12043" width="8.6328125" style="1" bestFit="1" customWidth="1"/>
    <col min="12044" max="12044" width="8.1796875" style="1" bestFit="1" customWidth="1"/>
    <col min="12045" max="12045" width="9.1796875" style="1" bestFit="1" customWidth="1"/>
    <col min="12046" max="12046" width="9.453125" style="1" bestFit="1" customWidth="1"/>
    <col min="12047" max="12047" width="9.36328125" style="1" bestFit="1" customWidth="1"/>
    <col min="12048" max="12048" width="9.1796875" style="1" bestFit="1" customWidth="1"/>
    <col min="12049" max="12049" width="9.453125" style="1" bestFit="1" customWidth="1"/>
    <col min="12050" max="12050" width="9.36328125" style="1" bestFit="1" customWidth="1"/>
    <col min="12051" max="12288" width="8.7265625" style="1"/>
    <col min="12289" max="12289" width="3.1796875" style="1" customWidth="1"/>
    <col min="12290" max="12290" width="5" style="1" customWidth="1"/>
    <col min="12291" max="12291" width="21.54296875" style="1" customWidth="1"/>
    <col min="12292" max="12292" width="44.453125" style="1" customWidth="1"/>
    <col min="12293" max="12293" width="18.54296875" style="1" bestFit="1" customWidth="1"/>
    <col min="12294" max="12294" width="18.26953125" style="1" customWidth="1"/>
    <col min="12295" max="12295" width="8.1796875" style="1" bestFit="1" customWidth="1"/>
    <col min="12296" max="12296" width="9.453125" style="1" customWidth="1"/>
    <col min="12297" max="12297" width="8.36328125" style="1" bestFit="1" customWidth="1"/>
    <col min="12298" max="12298" width="8.1796875" style="1" bestFit="1" customWidth="1"/>
    <col min="12299" max="12299" width="8.6328125" style="1" bestFit="1" customWidth="1"/>
    <col min="12300" max="12300" width="8.1796875" style="1" bestFit="1" customWidth="1"/>
    <col min="12301" max="12301" width="9.1796875" style="1" bestFit="1" customWidth="1"/>
    <col min="12302" max="12302" width="9.453125" style="1" bestFit="1" customWidth="1"/>
    <col min="12303" max="12303" width="9.36328125" style="1" bestFit="1" customWidth="1"/>
    <col min="12304" max="12304" width="9.1796875" style="1" bestFit="1" customWidth="1"/>
    <col min="12305" max="12305" width="9.453125" style="1" bestFit="1" customWidth="1"/>
    <col min="12306" max="12306" width="9.36328125" style="1" bestFit="1" customWidth="1"/>
    <col min="12307" max="12544" width="8.7265625" style="1"/>
    <col min="12545" max="12545" width="3.1796875" style="1" customWidth="1"/>
    <col min="12546" max="12546" width="5" style="1" customWidth="1"/>
    <col min="12547" max="12547" width="21.54296875" style="1" customWidth="1"/>
    <col min="12548" max="12548" width="44.453125" style="1" customWidth="1"/>
    <col min="12549" max="12549" width="18.54296875" style="1" bestFit="1" customWidth="1"/>
    <col min="12550" max="12550" width="18.26953125" style="1" customWidth="1"/>
    <col min="12551" max="12551" width="8.1796875" style="1" bestFit="1" customWidth="1"/>
    <col min="12552" max="12552" width="9.453125" style="1" customWidth="1"/>
    <col min="12553" max="12553" width="8.36328125" style="1" bestFit="1" customWidth="1"/>
    <col min="12554" max="12554" width="8.1796875" style="1" bestFit="1" customWidth="1"/>
    <col min="12555" max="12555" width="8.6328125" style="1" bestFit="1" customWidth="1"/>
    <col min="12556" max="12556" width="8.1796875" style="1" bestFit="1" customWidth="1"/>
    <col min="12557" max="12557" width="9.1796875" style="1" bestFit="1" customWidth="1"/>
    <col min="12558" max="12558" width="9.453125" style="1" bestFit="1" customWidth="1"/>
    <col min="12559" max="12559" width="9.36328125" style="1" bestFit="1" customWidth="1"/>
    <col min="12560" max="12560" width="9.1796875" style="1" bestFit="1" customWidth="1"/>
    <col min="12561" max="12561" width="9.453125" style="1" bestFit="1" customWidth="1"/>
    <col min="12562" max="12562" width="9.36328125" style="1" bestFit="1" customWidth="1"/>
    <col min="12563" max="12800" width="8.7265625" style="1"/>
    <col min="12801" max="12801" width="3.1796875" style="1" customWidth="1"/>
    <col min="12802" max="12802" width="5" style="1" customWidth="1"/>
    <col min="12803" max="12803" width="21.54296875" style="1" customWidth="1"/>
    <col min="12804" max="12804" width="44.453125" style="1" customWidth="1"/>
    <col min="12805" max="12805" width="18.54296875" style="1" bestFit="1" customWidth="1"/>
    <col min="12806" max="12806" width="18.26953125" style="1" customWidth="1"/>
    <col min="12807" max="12807" width="8.1796875" style="1" bestFit="1" customWidth="1"/>
    <col min="12808" max="12808" width="9.453125" style="1" customWidth="1"/>
    <col min="12809" max="12809" width="8.36328125" style="1" bestFit="1" customWidth="1"/>
    <col min="12810" max="12810" width="8.1796875" style="1" bestFit="1" customWidth="1"/>
    <col min="12811" max="12811" width="8.6328125" style="1" bestFit="1" customWidth="1"/>
    <col min="12812" max="12812" width="8.1796875" style="1" bestFit="1" customWidth="1"/>
    <col min="12813" max="12813" width="9.1796875" style="1" bestFit="1" customWidth="1"/>
    <col min="12814" max="12814" width="9.453125" style="1" bestFit="1" customWidth="1"/>
    <col min="12815" max="12815" width="9.36328125" style="1" bestFit="1" customWidth="1"/>
    <col min="12816" max="12816" width="9.1796875" style="1" bestFit="1" customWidth="1"/>
    <col min="12817" max="12817" width="9.453125" style="1" bestFit="1" customWidth="1"/>
    <col min="12818" max="12818" width="9.36328125" style="1" bestFit="1" customWidth="1"/>
    <col min="12819" max="13056" width="8.7265625" style="1"/>
    <col min="13057" max="13057" width="3.1796875" style="1" customWidth="1"/>
    <col min="13058" max="13058" width="5" style="1" customWidth="1"/>
    <col min="13059" max="13059" width="21.54296875" style="1" customWidth="1"/>
    <col min="13060" max="13060" width="44.453125" style="1" customWidth="1"/>
    <col min="13061" max="13061" width="18.54296875" style="1" bestFit="1" customWidth="1"/>
    <col min="13062" max="13062" width="18.26953125" style="1" customWidth="1"/>
    <col min="13063" max="13063" width="8.1796875" style="1" bestFit="1" customWidth="1"/>
    <col min="13064" max="13064" width="9.453125" style="1" customWidth="1"/>
    <col min="13065" max="13065" width="8.36328125" style="1" bestFit="1" customWidth="1"/>
    <col min="13066" max="13066" width="8.1796875" style="1" bestFit="1" customWidth="1"/>
    <col min="13067" max="13067" width="8.6328125" style="1" bestFit="1" customWidth="1"/>
    <col min="13068" max="13068" width="8.1796875" style="1" bestFit="1" customWidth="1"/>
    <col min="13069" max="13069" width="9.1796875" style="1" bestFit="1" customWidth="1"/>
    <col min="13070" max="13070" width="9.453125" style="1" bestFit="1" customWidth="1"/>
    <col min="13071" max="13071" width="9.36328125" style="1" bestFit="1" customWidth="1"/>
    <col min="13072" max="13072" width="9.1796875" style="1" bestFit="1" customWidth="1"/>
    <col min="13073" max="13073" width="9.453125" style="1" bestFit="1" customWidth="1"/>
    <col min="13074" max="13074" width="9.36328125" style="1" bestFit="1" customWidth="1"/>
    <col min="13075" max="13312" width="8.7265625" style="1"/>
    <col min="13313" max="13313" width="3.1796875" style="1" customWidth="1"/>
    <col min="13314" max="13314" width="5" style="1" customWidth="1"/>
    <col min="13315" max="13315" width="21.54296875" style="1" customWidth="1"/>
    <col min="13316" max="13316" width="44.453125" style="1" customWidth="1"/>
    <col min="13317" max="13317" width="18.54296875" style="1" bestFit="1" customWidth="1"/>
    <col min="13318" max="13318" width="18.26953125" style="1" customWidth="1"/>
    <col min="13319" max="13319" width="8.1796875" style="1" bestFit="1" customWidth="1"/>
    <col min="13320" max="13320" width="9.453125" style="1" customWidth="1"/>
    <col min="13321" max="13321" width="8.36328125" style="1" bestFit="1" customWidth="1"/>
    <col min="13322" max="13322" width="8.1796875" style="1" bestFit="1" customWidth="1"/>
    <col min="13323" max="13323" width="8.6328125" style="1" bestFit="1" customWidth="1"/>
    <col min="13324" max="13324" width="8.1796875" style="1" bestFit="1" customWidth="1"/>
    <col min="13325" max="13325" width="9.1796875" style="1" bestFit="1" customWidth="1"/>
    <col min="13326" max="13326" width="9.453125" style="1" bestFit="1" customWidth="1"/>
    <col min="13327" max="13327" width="9.36328125" style="1" bestFit="1" customWidth="1"/>
    <col min="13328" max="13328" width="9.1796875" style="1" bestFit="1" customWidth="1"/>
    <col min="13329" max="13329" width="9.453125" style="1" bestFit="1" customWidth="1"/>
    <col min="13330" max="13330" width="9.36328125" style="1" bestFit="1" customWidth="1"/>
    <col min="13331" max="13568" width="8.7265625" style="1"/>
    <col min="13569" max="13569" width="3.1796875" style="1" customWidth="1"/>
    <col min="13570" max="13570" width="5" style="1" customWidth="1"/>
    <col min="13571" max="13571" width="21.54296875" style="1" customWidth="1"/>
    <col min="13572" max="13572" width="44.453125" style="1" customWidth="1"/>
    <col min="13573" max="13573" width="18.54296875" style="1" bestFit="1" customWidth="1"/>
    <col min="13574" max="13574" width="18.26953125" style="1" customWidth="1"/>
    <col min="13575" max="13575" width="8.1796875" style="1" bestFit="1" customWidth="1"/>
    <col min="13576" max="13576" width="9.453125" style="1" customWidth="1"/>
    <col min="13577" max="13577" width="8.36328125" style="1" bestFit="1" customWidth="1"/>
    <col min="13578" max="13578" width="8.1796875" style="1" bestFit="1" customWidth="1"/>
    <col min="13579" max="13579" width="8.6328125" style="1" bestFit="1" customWidth="1"/>
    <col min="13580" max="13580" width="8.1796875" style="1" bestFit="1" customWidth="1"/>
    <col min="13581" max="13581" width="9.1796875" style="1" bestFit="1" customWidth="1"/>
    <col min="13582" max="13582" width="9.453125" style="1" bestFit="1" customWidth="1"/>
    <col min="13583" max="13583" width="9.36328125" style="1" bestFit="1" customWidth="1"/>
    <col min="13584" max="13584" width="9.1796875" style="1" bestFit="1" customWidth="1"/>
    <col min="13585" max="13585" width="9.453125" style="1" bestFit="1" customWidth="1"/>
    <col min="13586" max="13586" width="9.36328125" style="1" bestFit="1" customWidth="1"/>
    <col min="13587" max="13824" width="8.7265625" style="1"/>
    <col min="13825" max="13825" width="3.1796875" style="1" customWidth="1"/>
    <col min="13826" max="13826" width="5" style="1" customWidth="1"/>
    <col min="13827" max="13827" width="21.54296875" style="1" customWidth="1"/>
    <col min="13828" max="13828" width="44.453125" style="1" customWidth="1"/>
    <col min="13829" max="13829" width="18.54296875" style="1" bestFit="1" customWidth="1"/>
    <col min="13830" max="13830" width="18.26953125" style="1" customWidth="1"/>
    <col min="13831" max="13831" width="8.1796875" style="1" bestFit="1" customWidth="1"/>
    <col min="13832" max="13832" width="9.453125" style="1" customWidth="1"/>
    <col min="13833" max="13833" width="8.36328125" style="1" bestFit="1" customWidth="1"/>
    <col min="13834" max="13834" width="8.1796875" style="1" bestFit="1" customWidth="1"/>
    <col min="13835" max="13835" width="8.6328125" style="1" bestFit="1" customWidth="1"/>
    <col min="13836" max="13836" width="8.1796875" style="1" bestFit="1" customWidth="1"/>
    <col min="13837" max="13837" width="9.1796875" style="1" bestFit="1" customWidth="1"/>
    <col min="13838" max="13838" width="9.453125" style="1" bestFit="1" customWidth="1"/>
    <col min="13839" max="13839" width="9.36328125" style="1" bestFit="1" customWidth="1"/>
    <col min="13840" max="13840" width="9.1796875" style="1" bestFit="1" customWidth="1"/>
    <col min="13841" max="13841" width="9.453125" style="1" bestFit="1" customWidth="1"/>
    <col min="13842" max="13842" width="9.36328125" style="1" bestFit="1" customWidth="1"/>
    <col min="13843" max="14080" width="8.7265625" style="1"/>
    <col min="14081" max="14081" width="3.1796875" style="1" customWidth="1"/>
    <col min="14082" max="14082" width="5" style="1" customWidth="1"/>
    <col min="14083" max="14083" width="21.54296875" style="1" customWidth="1"/>
    <col min="14084" max="14084" width="44.453125" style="1" customWidth="1"/>
    <col min="14085" max="14085" width="18.54296875" style="1" bestFit="1" customWidth="1"/>
    <col min="14086" max="14086" width="18.26953125" style="1" customWidth="1"/>
    <col min="14087" max="14087" width="8.1796875" style="1" bestFit="1" customWidth="1"/>
    <col min="14088" max="14088" width="9.453125" style="1" customWidth="1"/>
    <col min="14089" max="14089" width="8.36328125" style="1" bestFit="1" customWidth="1"/>
    <col min="14090" max="14090" width="8.1796875" style="1" bestFit="1" customWidth="1"/>
    <col min="14091" max="14091" width="8.6328125" style="1" bestFit="1" customWidth="1"/>
    <col min="14092" max="14092" width="8.1796875" style="1" bestFit="1" customWidth="1"/>
    <col min="14093" max="14093" width="9.1796875" style="1" bestFit="1" customWidth="1"/>
    <col min="14094" max="14094" width="9.453125" style="1" bestFit="1" customWidth="1"/>
    <col min="14095" max="14095" width="9.36328125" style="1" bestFit="1" customWidth="1"/>
    <col min="14096" max="14096" width="9.1796875" style="1" bestFit="1" customWidth="1"/>
    <col min="14097" max="14097" width="9.453125" style="1" bestFit="1" customWidth="1"/>
    <col min="14098" max="14098" width="9.36328125" style="1" bestFit="1" customWidth="1"/>
    <col min="14099" max="14336" width="8.7265625" style="1"/>
    <col min="14337" max="14337" width="3.1796875" style="1" customWidth="1"/>
    <col min="14338" max="14338" width="5" style="1" customWidth="1"/>
    <col min="14339" max="14339" width="21.54296875" style="1" customWidth="1"/>
    <col min="14340" max="14340" width="44.453125" style="1" customWidth="1"/>
    <col min="14341" max="14341" width="18.54296875" style="1" bestFit="1" customWidth="1"/>
    <col min="14342" max="14342" width="18.26953125" style="1" customWidth="1"/>
    <col min="14343" max="14343" width="8.1796875" style="1" bestFit="1" customWidth="1"/>
    <col min="14344" max="14344" width="9.453125" style="1" customWidth="1"/>
    <col min="14345" max="14345" width="8.36328125" style="1" bestFit="1" customWidth="1"/>
    <col min="14346" max="14346" width="8.1796875" style="1" bestFit="1" customWidth="1"/>
    <col min="14347" max="14347" width="8.6328125" style="1" bestFit="1" customWidth="1"/>
    <col min="14348" max="14348" width="8.1796875" style="1" bestFit="1" customWidth="1"/>
    <col min="14349" max="14349" width="9.1796875" style="1" bestFit="1" customWidth="1"/>
    <col min="14350" max="14350" width="9.453125" style="1" bestFit="1" customWidth="1"/>
    <col min="14351" max="14351" width="9.36328125" style="1" bestFit="1" customWidth="1"/>
    <col min="14352" max="14352" width="9.1796875" style="1" bestFit="1" customWidth="1"/>
    <col min="14353" max="14353" width="9.453125" style="1" bestFit="1" customWidth="1"/>
    <col min="14354" max="14354" width="9.36328125" style="1" bestFit="1" customWidth="1"/>
    <col min="14355" max="14592" width="8.7265625" style="1"/>
    <col min="14593" max="14593" width="3.1796875" style="1" customWidth="1"/>
    <col min="14594" max="14594" width="5" style="1" customWidth="1"/>
    <col min="14595" max="14595" width="21.54296875" style="1" customWidth="1"/>
    <col min="14596" max="14596" width="44.453125" style="1" customWidth="1"/>
    <col min="14597" max="14597" width="18.54296875" style="1" bestFit="1" customWidth="1"/>
    <col min="14598" max="14598" width="18.26953125" style="1" customWidth="1"/>
    <col min="14599" max="14599" width="8.1796875" style="1" bestFit="1" customWidth="1"/>
    <col min="14600" max="14600" width="9.453125" style="1" customWidth="1"/>
    <col min="14601" max="14601" width="8.36328125" style="1" bestFit="1" customWidth="1"/>
    <col min="14602" max="14602" width="8.1796875" style="1" bestFit="1" customWidth="1"/>
    <col min="14603" max="14603" width="8.6328125" style="1" bestFit="1" customWidth="1"/>
    <col min="14604" max="14604" width="8.1796875" style="1" bestFit="1" customWidth="1"/>
    <col min="14605" max="14605" width="9.1796875" style="1" bestFit="1" customWidth="1"/>
    <col min="14606" max="14606" width="9.453125" style="1" bestFit="1" customWidth="1"/>
    <col min="14607" max="14607" width="9.36328125" style="1" bestFit="1" customWidth="1"/>
    <col min="14608" max="14608" width="9.1796875" style="1" bestFit="1" customWidth="1"/>
    <col min="14609" max="14609" width="9.453125" style="1" bestFit="1" customWidth="1"/>
    <col min="14610" max="14610" width="9.36328125" style="1" bestFit="1" customWidth="1"/>
    <col min="14611" max="14848" width="8.7265625" style="1"/>
    <col min="14849" max="14849" width="3.1796875" style="1" customWidth="1"/>
    <col min="14850" max="14850" width="5" style="1" customWidth="1"/>
    <col min="14851" max="14851" width="21.54296875" style="1" customWidth="1"/>
    <col min="14852" max="14852" width="44.453125" style="1" customWidth="1"/>
    <col min="14853" max="14853" width="18.54296875" style="1" bestFit="1" customWidth="1"/>
    <col min="14854" max="14854" width="18.26953125" style="1" customWidth="1"/>
    <col min="14855" max="14855" width="8.1796875" style="1" bestFit="1" customWidth="1"/>
    <col min="14856" max="14856" width="9.453125" style="1" customWidth="1"/>
    <col min="14857" max="14857" width="8.36328125" style="1" bestFit="1" customWidth="1"/>
    <col min="14858" max="14858" width="8.1796875" style="1" bestFit="1" customWidth="1"/>
    <col min="14859" max="14859" width="8.6328125" style="1" bestFit="1" customWidth="1"/>
    <col min="14860" max="14860" width="8.1796875" style="1" bestFit="1" customWidth="1"/>
    <col min="14861" max="14861" width="9.1796875" style="1" bestFit="1" customWidth="1"/>
    <col min="14862" max="14862" width="9.453125" style="1" bestFit="1" customWidth="1"/>
    <col min="14863" max="14863" width="9.36328125" style="1" bestFit="1" customWidth="1"/>
    <col min="14864" max="14864" width="9.1796875" style="1" bestFit="1" customWidth="1"/>
    <col min="14865" max="14865" width="9.453125" style="1" bestFit="1" customWidth="1"/>
    <col min="14866" max="14866" width="9.36328125" style="1" bestFit="1" customWidth="1"/>
    <col min="14867" max="15104" width="8.7265625" style="1"/>
    <col min="15105" max="15105" width="3.1796875" style="1" customWidth="1"/>
    <col min="15106" max="15106" width="5" style="1" customWidth="1"/>
    <col min="15107" max="15107" width="21.54296875" style="1" customWidth="1"/>
    <col min="15108" max="15108" width="44.453125" style="1" customWidth="1"/>
    <col min="15109" max="15109" width="18.54296875" style="1" bestFit="1" customWidth="1"/>
    <col min="15110" max="15110" width="18.26953125" style="1" customWidth="1"/>
    <col min="15111" max="15111" width="8.1796875" style="1" bestFit="1" customWidth="1"/>
    <col min="15112" max="15112" width="9.453125" style="1" customWidth="1"/>
    <col min="15113" max="15113" width="8.36328125" style="1" bestFit="1" customWidth="1"/>
    <col min="15114" max="15114" width="8.1796875" style="1" bestFit="1" customWidth="1"/>
    <col min="15115" max="15115" width="8.6328125" style="1" bestFit="1" customWidth="1"/>
    <col min="15116" max="15116" width="8.1796875" style="1" bestFit="1" customWidth="1"/>
    <col min="15117" max="15117" width="9.1796875" style="1" bestFit="1" customWidth="1"/>
    <col min="15118" max="15118" width="9.453125" style="1" bestFit="1" customWidth="1"/>
    <col min="15119" max="15119" width="9.36328125" style="1" bestFit="1" customWidth="1"/>
    <col min="15120" max="15120" width="9.1796875" style="1" bestFit="1" customWidth="1"/>
    <col min="15121" max="15121" width="9.453125" style="1" bestFit="1" customWidth="1"/>
    <col min="15122" max="15122" width="9.36328125" style="1" bestFit="1" customWidth="1"/>
    <col min="15123" max="15360" width="8.7265625" style="1"/>
    <col min="15361" max="15361" width="3.1796875" style="1" customWidth="1"/>
    <col min="15362" max="15362" width="5" style="1" customWidth="1"/>
    <col min="15363" max="15363" width="21.54296875" style="1" customWidth="1"/>
    <col min="15364" max="15364" width="44.453125" style="1" customWidth="1"/>
    <col min="15365" max="15365" width="18.54296875" style="1" bestFit="1" customWidth="1"/>
    <col min="15366" max="15366" width="18.26953125" style="1" customWidth="1"/>
    <col min="15367" max="15367" width="8.1796875" style="1" bestFit="1" customWidth="1"/>
    <col min="15368" max="15368" width="9.453125" style="1" customWidth="1"/>
    <col min="15369" max="15369" width="8.36328125" style="1" bestFit="1" customWidth="1"/>
    <col min="15370" max="15370" width="8.1796875" style="1" bestFit="1" customWidth="1"/>
    <col min="15371" max="15371" width="8.6328125" style="1" bestFit="1" customWidth="1"/>
    <col min="15372" max="15372" width="8.1796875" style="1" bestFit="1" customWidth="1"/>
    <col min="15373" max="15373" width="9.1796875" style="1" bestFit="1" customWidth="1"/>
    <col min="15374" max="15374" width="9.453125" style="1" bestFit="1" customWidth="1"/>
    <col min="15375" max="15375" width="9.36328125" style="1" bestFit="1" customWidth="1"/>
    <col min="15376" max="15376" width="9.1796875" style="1" bestFit="1" customWidth="1"/>
    <col min="15377" max="15377" width="9.453125" style="1" bestFit="1" customWidth="1"/>
    <col min="15378" max="15378" width="9.36328125" style="1" bestFit="1" customWidth="1"/>
    <col min="15379" max="15616" width="8.7265625" style="1"/>
    <col min="15617" max="15617" width="3.1796875" style="1" customWidth="1"/>
    <col min="15618" max="15618" width="5" style="1" customWidth="1"/>
    <col min="15619" max="15619" width="21.54296875" style="1" customWidth="1"/>
    <col min="15620" max="15620" width="44.453125" style="1" customWidth="1"/>
    <col min="15621" max="15621" width="18.54296875" style="1" bestFit="1" customWidth="1"/>
    <col min="15622" max="15622" width="18.26953125" style="1" customWidth="1"/>
    <col min="15623" max="15623" width="8.1796875" style="1" bestFit="1" customWidth="1"/>
    <col min="15624" max="15624" width="9.453125" style="1" customWidth="1"/>
    <col min="15625" max="15625" width="8.36328125" style="1" bestFit="1" customWidth="1"/>
    <col min="15626" max="15626" width="8.1796875" style="1" bestFit="1" customWidth="1"/>
    <col min="15627" max="15627" width="8.6328125" style="1" bestFit="1" customWidth="1"/>
    <col min="15628" max="15628" width="8.1796875" style="1" bestFit="1" customWidth="1"/>
    <col min="15629" max="15629" width="9.1796875" style="1" bestFit="1" customWidth="1"/>
    <col min="15630" max="15630" width="9.453125" style="1" bestFit="1" customWidth="1"/>
    <col min="15631" max="15631" width="9.36328125" style="1" bestFit="1" customWidth="1"/>
    <col min="15632" max="15632" width="9.1796875" style="1" bestFit="1" customWidth="1"/>
    <col min="15633" max="15633" width="9.453125" style="1" bestFit="1" customWidth="1"/>
    <col min="15634" max="15634" width="9.36328125" style="1" bestFit="1" customWidth="1"/>
    <col min="15635" max="15872" width="8.7265625" style="1"/>
    <col min="15873" max="15873" width="3.1796875" style="1" customWidth="1"/>
    <col min="15874" max="15874" width="5" style="1" customWidth="1"/>
    <col min="15875" max="15875" width="21.54296875" style="1" customWidth="1"/>
    <col min="15876" max="15876" width="44.453125" style="1" customWidth="1"/>
    <col min="15877" max="15877" width="18.54296875" style="1" bestFit="1" customWidth="1"/>
    <col min="15878" max="15878" width="18.26953125" style="1" customWidth="1"/>
    <col min="15879" max="15879" width="8.1796875" style="1" bestFit="1" customWidth="1"/>
    <col min="15880" max="15880" width="9.453125" style="1" customWidth="1"/>
    <col min="15881" max="15881" width="8.36328125" style="1" bestFit="1" customWidth="1"/>
    <col min="15882" max="15882" width="8.1796875" style="1" bestFit="1" customWidth="1"/>
    <col min="15883" max="15883" width="8.6328125" style="1" bestFit="1" customWidth="1"/>
    <col min="15884" max="15884" width="8.1796875" style="1" bestFit="1" customWidth="1"/>
    <col min="15885" max="15885" width="9.1796875" style="1" bestFit="1" customWidth="1"/>
    <col min="15886" max="15886" width="9.453125" style="1" bestFit="1" customWidth="1"/>
    <col min="15887" max="15887" width="9.36328125" style="1" bestFit="1" customWidth="1"/>
    <col min="15888" max="15888" width="9.1796875" style="1" bestFit="1" customWidth="1"/>
    <col min="15889" max="15889" width="9.453125" style="1" bestFit="1" customWidth="1"/>
    <col min="15890" max="15890" width="9.36328125" style="1" bestFit="1" customWidth="1"/>
    <col min="15891" max="16128" width="8.7265625" style="1"/>
    <col min="16129" max="16129" width="3.1796875" style="1" customWidth="1"/>
    <col min="16130" max="16130" width="5" style="1" customWidth="1"/>
    <col min="16131" max="16131" width="21.54296875" style="1" customWidth="1"/>
    <col min="16132" max="16132" width="44.453125" style="1" customWidth="1"/>
    <col min="16133" max="16133" width="18.54296875" style="1" bestFit="1" customWidth="1"/>
    <col min="16134" max="16134" width="18.26953125" style="1" customWidth="1"/>
    <col min="16135" max="16135" width="8.1796875" style="1" bestFit="1" customWidth="1"/>
    <col min="16136" max="16136" width="9.453125" style="1" customWidth="1"/>
    <col min="16137" max="16137" width="8.36328125" style="1" bestFit="1" customWidth="1"/>
    <col min="16138" max="16138" width="8.1796875" style="1" bestFit="1" customWidth="1"/>
    <col min="16139" max="16139" width="8.6328125" style="1" bestFit="1" customWidth="1"/>
    <col min="16140" max="16140" width="8.1796875" style="1" bestFit="1" customWidth="1"/>
    <col min="16141" max="16141" width="9.1796875" style="1" bestFit="1" customWidth="1"/>
    <col min="16142" max="16142" width="9.453125" style="1" bestFit="1" customWidth="1"/>
    <col min="16143" max="16143" width="9.36328125" style="1" bestFit="1" customWidth="1"/>
    <col min="16144" max="16144" width="9.1796875" style="1" bestFit="1" customWidth="1"/>
    <col min="16145" max="16145" width="9.453125" style="1" bestFit="1" customWidth="1"/>
    <col min="16146" max="16146" width="9.36328125" style="1" bestFit="1" customWidth="1"/>
    <col min="16147" max="16384" width="8.7265625" style="1"/>
  </cols>
  <sheetData>
    <row r="1" spans="1:57" ht="15" thickBot="1" x14ac:dyDescent="0.4"/>
    <row r="2" spans="1:57" customFormat="1" ht="15" customHeight="1" thickBot="1" x14ac:dyDescent="0.4">
      <c r="A2" s="1"/>
      <c r="B2" s="83" t="s">
        <v>41</v>
      </c>
      <c r="C2" s="86" t="s">
        <v>42</v>
      </c>
      <c r="D2" s="86" t="s">
        <v>43</v>
      </c>
      <c r="E2" s="86" t="s">
        <v>44</v>
      </c>
      <c r="F2" s="86" t="s">
        <v>45</v>
      </c>
      <c r="G2" s="87" t="s">
        <v>46</v>
      </c>
      <c r="H2" s="88"/>
      <c r="I2" s="88"/>
      <c r="J2" s="88"/>
      <c r="K2" s="88"/>
      <c r="L2" s="88"/>
      <c r="M2" s="88"/>
      <c r="N2" s="88"/>
      <c r="O2" s="88"/>
      <c r="P2" s="88"/>
      <c r="Q2" s="88"/>
      <c r="R2" s="89"/>
      <c r="S2" s="73" t="s">
        <v>47</v>
      </c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3" t="s">
        <v>48</v>
      </c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9"/>
      <c r="AS2" s="73" t="s">
        <v>49</v>
      </c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9"/>
    </row>
    <row r="3" spans="1:57" customFormat="1" ht="15" customHeight="1" x14ac:dyDescent="0.35">
      <c r="A3" s="1"/>
      <c r="B3" s="84"/>
      <c r="C3" s="84"/>
      <c r="D3" s="84"/>
      <c r="E3" s="84"/>
      <c r="F3" s="84"/>
      <c r="G3" s="90"/>
      <c r="H3" s="91"/>
      <c r="I3" s="91"/>
      <c r="J3" s="91"/>
      <c r="K3" s="91"/>
      <c r="L3" s="91"/>
      <c r="M3" s="91"/>
      <c r="N3" s="91"/>
      <c r="O3" s="91"/>
      <c r="P3" s="91"/>
      <c r="Q3" s="91"/>
      <c r="R3" s="92"/>
      <c r="S3" s="75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5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1"/>
      <c r="AS3" s="75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customFormat="1" ht="15" customHeight="1" thickBot="1" x14ac:dyDescent="0.4">
      <c r="A4" s="1"/>
      <c r="B4" s="85"/>
      <c r="C4" s="85"/>
      <c r="D4" s="85"/>
      <c r="E4" s="85"/>
      <c r="F4" s="85"/>
      <c r="G4" s="93"/>
      <c r="H4" s="94"/>
      <c r="I4" s="94"/>
      <c r="J4" s="94"/>
      <c r="K4" s="94"/>
      <c r="L4" s="94"/>
      <c r="M4" s="94"/>
      <c r="N4" s="94"/>
      <c r="O4" s="94"/>
      <c r="P4" s="94"/>
      <c r="Q4" s="94"/>
      <c r="R4" s="95"/>
      <c r="S4" s="77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7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82"/>
      <c r="AS4" s="77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2"/>
    </row>
    <row r="5" spans="1:57" customFormat="1" ht="18" customHeight="1" x14ac:dyDescent="0.35">
      <c r="A5" s="1"/>
      <c r="B5" s="63">
        <v>1</v>
      </c>
      <c r="C5" s="63" t="s">
        <v>50</v>
      </c>
      <c r="D5" s="66" t="s">
        <v>51</v>
      </c>
      <c r="E5" s="14" t="s">
        <v>0</v>
      </c>
      <c r="F5" s="15"/>
      <c r="G5" s="16" t="s">
        <v>33</v>
      </c>
      <c r="H5" s="16" t="s">
        <v>25</v>
      </c>
      <c r="I5" s="16" t="s">
        <v>28</v>
      </c>
      <c r="J5" s="16" t="s">
        <v>2</v>
      </c>
      <c r="K5" s="16" t="s">
        <v>29</v>
      </c>
      <c r="L5" s="16" t="s">
        <v>27</v>
      </c>
      <c r="M5" s="16" t="s">
        <v>26</v>
      </c>
      <c r="N5" s="16" t="s">
        <v>23</v>
      </c>
      <c r="O5" s="17" t="s">
        <v>32</v>
      </c>
      <c r="P5" s="18" t="s">
        <v>31</v>
      </c>
      <c r="Q5" s="16" t="s">
        <v>30</v>
      </c>
      <c r="R5" s="19" t="s">
        <v>24</v>
      </c>
      <c r="S5" s="6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6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7"/>
      <c r="AS5" s="6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7"/>
    </row>
    <row r="6" spans="1:57" customFormat="1" ht="16" customHeight="1" x14ac:dyDescent="0.35">
      <c r="A6" s="1"/>
      <c r="B6" s="64"/>
      <c r="C6" s="64"/>
      <c r="D6" s="67"/>
      <c r="E6" s="20" t="s">
        <v>1</v>
      </c>
      <c r="F6" s="21" t="s">
        <v>52</v>
      </c>
      <c r="G6" s="22">
        <v>61.7</v>
      </c>
      <c r="H6" s="23">
        <v>62.6</v>
      </c>
      <c r="I6" s="22">
        <v>60.6</v>
      </c>
      <c r="J6" s="22">
        <v>61.8</v>
      </c>
      <c r="K6" s="22">
        <v>60.5</v>
      </c>
      <c r="L6" s="22">
        <v>60.5</v>
      </c>
      <c r="M6" s="22">
        <v>61.6</v>
      </c>
      <c r="N6" s="22">
        <v>60.3</v>
      </c>
      <c r="O6" s="22">
        <v>59.9</v>
      </c>
      <c r="P6" s="22">
        <v>60.1</v>
      </c>
      <c r="Q6" s="22">
        <v>59.3</v>
      </c>
      <c r="R6" s="24">
        <v>60.8</v>
      </c>
      <c r="S6" s="9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9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10"/>
      <c r="AS6" s="9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10"/>
    </row>
    <row r="7" spans="1:57" customFormat="1" ht="16" customHeight="1" x14ac:dyDescent="0.35">
      <c r="A7" s="1"/>
      <c r="B7" s="64"/>
      <c r="C7" s="64"/>
      <c r="D7" s="67"/>
      <c r="E7" s="25" t="s">
        <v>3</v>
      </c>
      <c r="F7" s="26" t="s">
        <v>4</v>
      </c>
      <c r="G7" s="23">
        <v>48.2</v>
      </c>
      <c r="H7" s="23">
        <v>48.4</v>
      </c>
      <c r="I7" s="27">
        <v>47.5</v>
      </c>
      <c r="J7" s="28">
        <v>48.2</v>
      </c>
      <c r="K7" s="28">
        <v>47.4</v>
      </c>
      <c r="L7" s="28">
        <v>47.4</v>
      </c>
      <c r="M7" s="28">
        <v>47.9</v>
      </c>
      <c r="N7" s="29">
        <v>47.2</v>
      </c>
      <c r="O7" s="22">
        <v>47</v>
      </c>
      <c r="P7" s="29">
        <v>47.1</v>
      </c>
      <c r="Q7" s="28">
        <v>46.7</v>
      </c>
      <c r="R7" s="23">
        <v>47.4</v>
      </c>
      <c r="S7" s="9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9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10"/>
      <c r="AS7" s="9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10"/>
    </row>
    <row r="8" spans="1:57" customFormat="1" ht="16" customHeight="1" x14ac:dyDescent="0.35">
      <c r="A8" s="1"/>
      <c r="B8" s="64"/>
      <c r="C8" s="64"/>
      <c r="D8" s="67"/>
      <c r="E8" s="25" t="s">
        <v>5</v>
      </c>
      <c r="F8" s="26" t="s">
        <v>4</v>
      </c>
      <c r="G8" s="23">
        <v>47.4</v>
      </c>
      <c r="H8" s="30">
        <v>49.3</v>
      </c>
      <c r="I8" s="27">
        <v>48</v>
      </c>
      <c r="J8" s="28">
        <v>48.8</v>
      </c>
      <c r="K8" s="28">
        <v>48.1</v>
      </c>
      <c r="L8" s="28">
        <v>48.1</v>
      </c>
      <c r="M8" s="28">
        <v>48.9</v>
      </c>
      <c r="N8" s="29">
        <v>48.2</v>
      </c>
      <c r="O8" s="22">
        <v>47.9</v>
      </c>
      <c r="P8" s="29">
        <v>48</v>
      </c>
      <c r="Q8" s="28">
        <v>47.5</v>
      </c>
      <c r="R8" s="23">
        <v>48.3</v>
      </c>
      <c r="S8" s="9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9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10"/>
      <c r="AS8" s="9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10"/>
    </row>
    <row r="9" spans="1:57" customFormat="1" ht="16" customHeight="1" x14ac:dyDescent="0.35">
      <c r="A9" s="1"/>
      <c r="B9" s="64"/>
      <c r="C9" s="64"/>
      <c r="D9" s="67"/>
      <c r="E9" s="25" t="s">
        <v>6</v>
      </c>
      <c r="F9" s="26" t="s">
        <v>4</v>
      </c>
      <c r="G9" s="23">
        <v>47.9</v>
      </c>
      <c r="H9" s="30">
        <v>48.6</v>
      </c>
      <c r="I9" s="27">
        <v>47.5</v>
      </c>
      <c r="J9" s="28">
        <v>47.8</v>
      </c>
      <c r="K9" s="28">
        <v>47.2</v>
      </c>
      <c r="L9" s="28">
        <v>47.2</v>
      </c>
      <c r="M9" s="28">
        <v>47.9</v>
      </c>
      <c r="N9" s="29">
        <v>47.2</v>
      </c>
      <c r="O9" s="22">
        <v>47</v>
      </c>
      <c r="P9" s="29">
        <v>47.2</v>
      </c>
      <c r="Q9" s="28">
        <v>46.8</v>
      </c>
      <c r="R9" s="23">
        <v>47.6</v>
      </c>
      <c r="S9" s="9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9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10"/>
      <c r="AS9" s="9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10"/>
    </row>
    <row r="10" spans="1:57" customFormat="1" ht="16" customHeight="1" x14ac:dyDescent="0.35">
      <c r="A10" s="1"/>
      <c r="B10" s="64"/>
      <c r="C10" s="64"/>
      <c r="D10" s="67"/>
      <c r="E10" s="25" t="s">
        <v>7</v>
      </c>
      <c r="F10" s="21" t="s">
        <v>8</v>
      </c>
      <c r="G10" s="31">
        <v>0.9</v>
      </c>
      <c r="H10" s="31">
        <v>1.1000000000000001</v>
      </c>
      <c r="I10" s="31">
        <v>0.7</v>
      </c>
      <c r="J10" s="31">
        <v>1.1000000000000001</v>
      </c>
      <c r="K10" s="31">
        <v>1.1000000000000001</v>
      </c>
      <c r="L10" s="31">
        <v>1.1000000000000001</v>
      </c>
      <c r="M10" s="31">
        <v>1.4</v>
      </c>
      <c r="N10" s="31">
        <v>1.4</v>
      </c>
      <c r="O10" s="31">
        <v>1.3</v>
      </c>
      <c r="P10" s="31">
        <v>1.2</v>
      </c>
      <c r="Q10" s="31">
        <v>1.1000000000000001</v>
      </c>
      <c r="R10" s="32">
        <v>1.1000000000000001</v>
      </c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9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10"/>
      <c r="AS10" s="9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10"/>
    </row>
    <row r="11" spans="1:57" customFormat="1" ht="16" customHeight="1" x14ac:dyDescent="0.35">
      <c r="A11" s="1"/>
      <c r="B11" s="64"/>
      <c r="C11" s="64"/>
      <c r="D11" s="67"/>
      <c r="E11" s="25" t="s">
        <v>9</v>
      </c>
      <c r="F11" s="33" t="s">
        <v>10</v>
      </c>
      <c r="G11" s="28">
        <v>386.6</v>
      </c>
      <c r="H11" s="27">
        <v>387</v>
      </c>
      <c r="I11" s="27">
        <v>386.1</v>
      </c>
      <c r="J11" s="29">
        <v>382.7</v>
      </c>
      <c r="K11" s="28">
        <v>384.5</v>
      </c>
      <c r="L11" s="28">
        <v>384.5</v>
      </c>
      <c r="M11" s="28">
        <v>385</v>
      </c>
      <c r="N11" s="29">
        <v>384.5</v>
      </c>
      <c r="O11" s="28">
        <v>384.4</v>
      </c>
      <c r="P11" s="29">
        <v>385.7</v>
      </c>
      <c r="Q11" s="29">
        <v>384.4</v>
      </c>
      <c r="R11" s="23">
        <v>381.5</v>
      </c>
      <c r="S11" s="9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9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10"/>
      <c r="AS11" s="9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10"/>
    </row>
    <row r="12" spans="1:57" customFormat="1" ht="16" customHeight="1" x14ac:dyDescent="0.35">
      <c r="A12" s="1"/>
      <c r="B12" s="64"/>
      <c r="C12" s="64"/>
      <c r="D12" s="67"/>
      <c r="E12" s="25" t="s">
        <v>11</v>
      </c>
      <c r="F12" s="33" t="s">
        <v>10</v>
      </c>
      <c r="G12" s="28">
        <v>386.7</v>
      </c>
      <c r="H12" s="27">
        <v>387.3</v>
      </c>
      <c r="I12" s="27">
        <v>386.3</v>
      </c>
      <c r="J12" s="28">
        <v>382.7</v>
      </c>
      <c r="K12" s="28">
        <v>384.6</v>
      </c>
      <c r="L12" s="28">
        <v>384.6</v>
      </c>
      <c r="M12" s="28">
        <v>385.5</v>
      </c>
      <c r="N12" s="29">
        <v>384.9</v>
      </c>
      <c r="O12" s="28">
        <v>384.7</v>
      </c>
      <c r="P12" s="29">
        <v>386</v>
      </c>
      <c r="Q12" s="29">
        <v>384.9</v>
      </c>
      <c r="R12" s="23">
        <v>382.1</v>
      </c>
      <c r="S12" s="9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9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10"/>
      <c r="AS12" s="9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10"/>
    </row>
    <row r="13" spans="1:57" customFormat="1" ht="16" customHeight="1" x14ac:dyDescent="0.35">
      <c r="A13" s="1"/>
      <c r="B13" s="64"/>
      <c r="C13" s="64"/>
      <c r="D13" s="67"/>
      <c r="E13" s="25" t="s">
        <v>12</v>
      </c>
      <c r="F13" s="33" t="s">
        <v>10</v>
      </c>
      <c r="G13" s="28">
        <v>386.1</v>
      </c>
      <c r="H13" s="34">
        <v>386.7</v>
      </c>
      <c r="I13" s="27">
        <v>385.7</v>
      </c>
      <c r="J13" s="28">
        <v>381.9</v>
      </c>
      <c r="K13" s="28">
        <v>383.9</v>
      </c>
      <c r="L13" s="28">
        <v>383.9</v>
      </c>
      <c r="M13" s="28">
        <v>384.6</v>
      </c>
      <c r="N13" s="29">
        <v>383.9</v>
      </c>
      <c r="O13" s="28">
        <v>383.9</v>
      </c>
      <c r="P13" s="29">
        <v>385.3</v>
      </c>
      <c r="Q13" s="29">
        <v>384.1</v>
      </c>
      <c r="R13" s="23">
        <v>381.2</v>
      </c>
      <c r="S13" s="9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9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10"/>
      <c r="AS13" s="9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10"/>
    </row>
    <row r="14" spans="1:57" customFormat="1" ht="16" customHeight="1" x14ac:dyDescent="0.35">
      <c r="A14" s="1"/>
      <c r="B14" s="64"/>
      <c r="C14" s="64"/>
      <c r="D14" s="67"/>
      <c r="E14" s="25" t="s">
        <v>13</v>
      </c>
      <c r="F14" s="21" t="s">
        <v>14</v>
      </c>
      <c r="G14" s="31">
        <v>0.1</v>
      </c>
      <c r="H14" s="35">
        <v>0.1</v>
      </c>
      <c r="I14" s="35">
        <v>0.1</v>
      </c>
      <c r="J14" s="31">
        <v>0.1</v>
      </c>
      <c r="K14" s="31">
        <v>0.1</v>
      </c>
      <c r="L14" s="31">
        <v>0.1</v>
      </c>
      <c r="M14" s="31">
        <v>0.1</v>
      </c>
      <c r="N14" s="36">
        <v>0.1</v>
      </c>
      <c r="O14" s="31">
        <v>0.1</v>
      </c>
      <c r="P14" s="36">
        <v>0.1</v>
      </c>
      <c r="Q14" s="36">
        <v>0.1</v>
      </c>
      <c r="R14" s="32">
        <v>0.1</v>
      </c>
      <c r="S14" s="9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9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10"/>
      <c r="AS14" s="9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10"/>
    </row>
    <row r="15" spans="1:57" customFormat="1" ht="16" customHeight="1" x14ac:dyDescent="0.35">
      <c r="A15" s="1"/>
      <c r="B15" s="64"/>
      <c r="C15" s="64"/>
      <c r="D15" s="67"/>
      <c r="E15" s="37" t="s">
        <v>34</v>
      </c>
      <c r="F15" s="21" t="s">
        <v>35</v>
      </c>
      <c r="G15" s="31">
        <v>0.77900000000000003</v>
      </c>
      <c r="H15" s="35">
        <v>0.77400000000000002</v>
      </c>
      <c r="I15" s="35">
        <v>0.76900000000000002</v>
      </c>
      <c r="J15" s="31">
        <v>0.78200000000000003</v>
      </c>
      <c r="K15" s="31">
        <v>0.77200000000000002</v>
      </c>
      <c r="L15" s="31">
        <v>0.77200000000000002</v>
      </c>
      <c r="M15" s="31">
        <v>0.77400000000000002</v>
      </c>
      <c r="N15" s="36">
        <v>0.77</v>
      </c>
      <c r="O15" s="31">
        <v>0.76900000000000002</v>
      </c>
      <c r="P15" s="36">
        <v>0.76700000000000002</v>
      </c>
      <c r="Q15" s="36">
        <v>0.76700000000000002</v>
      </c>
      <c r="R15" s="32">
        <v>0.77800000000000002</v>
      </c>
      <c r="S15" s="9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9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10"/>
      <c r="AS15" s="9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10"/>
    </row>
    <row r="16" spans="1:57" customFormat="1" ht="16" customHeight="1" x14ac:dyDescent="0.35">
      <c r="A16" s="1"/>
      <c r="B16" s="64"/>
      <c r="C16" s="64"/>
      <c r="D16" s="67"/>
      <c r="E16" s="37" t="s">
        <v>36</v>
      </c>
      <c r="F16" s="21" t="s">
        <v>16</v>
      </c>
      <c r="G16" s="31">
        <v>0.46400000000000002</v>
      </c>
      <c r="H16" s="35">
        <v>0.59499999999999997</v>
      </c>
      <c r="I16" s="35">
        <v>0.501</v>
      </c>
      <c r="J16" s="31">
        <v>0.47899999999999998</v>
      </c>
      <c r="K16" s="31">
        <v>0.432</v>
      </c>
      <c r="L16" s="31">
        <v>0.432</v>
      </c>
      <c r="M16" s="31">
        <v>0.39900000000000002</v>
      </c>
      <c r="N16" s="36">
        <v>0.42499999999999999</v>
      </c>
      <c r="O16" s="31">
        <v>0.45100000000000001</v>
      </c>
      <c r="P16" s="36">
        <v>0.499</v>
      </c>
      <c r="Q16" s="36">
        <v>0.48299999999999998</v>
      </c>
      <c r="R16" s="32">
        <v>0.66900000000000004</v>
      </c>
      <c r="S16" s="9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9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10"/>
      <c r="AS16" s="9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10"/>
    </row>
    <row r="17" spans="1:57" customFormat="1" ht="16" customHeight="1" x14ac:dyDescent="0.35">
      <c r="A17" s="1"/>
      <c r="B17" s="64"/>
      <c r="C17" s="64"/>
      <c r="D17" s="67"/>
      <c r="E17" s="37" t="s">
        <v>37</v>
      </c>
      <c r="F17" s="21" t="s">
        <v>38</v>
      </c>
      <c r="G17" s="31">
        <v>0.67900000000000005</v>
      </c>
      <c r="H17" s="35">
        <v>1.234</v>
      </c>
      <c r="I17" s="35">
        <v>0.71799999999999997</v>
      </c>
      <c r="J17" s="31">
        <v>0.84899999999999998</v>
      </c>
      <c r="K17" s="31">
        <v>0.66</v>
      </c>
      <c r="L17" s="31">
        <v>0.66</v>
      </c>
      <c r="M17" s="31">
        <v>0.80400000000000005</v>
      </c>
      <c r="N17" s="36">
        <v>0.85</v>
      </c>
      <c r="O17" s="31">
        <v>1.212</v>
      </c>
      <c r="P17" s="36">
        <v>0.88700000000000001</v>
      </c>
      <c r="Q17" s="36">
        <v>0.84099999999999997</v>
      </c>
      <c r="R17" s="32">
        <v>0.86099999999999999</v>
      </c>
      <c r="S17" s="9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9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10"/>
      <c r="AS17" s="9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10"/>
    </row>
    <row r="18" spans="1:57" customFormat="1" ht="16" customHeight="1" x14ac:dyDescent="0.35">
      <c r="A18" s="1"/>
      <c r="B18" s="64"/>
      <c r="C18" s="64"/>
      <c r="D18" s="67"/>
      <c r="E18" s="37" t="s">
        <v>39</v>
      </c>
      <c r="F18" s="21"/>
      <c r="G18" s="38">
        <v>24.94</v>
      </c>
      <c r="H18" s="38">
        <v>25.3</v>
      </c>
      <c r="I18" s="38">
        <v>24.5</v>
      </c>
      <c r="J18" s="38">
        <v>24.98</v>
      </c>
      <c r="K18" s="38">
        <v>24.45</v>
      </c>
      <c r="L18" s="38">
        <v>24.45</v>
      </c>
      <c r="M18" s="38">
        <v>24.89</v>
      </c>
      <c r="N18" s="38">
        <v>24.38</v>
      </c>
      <c r="O18" s="38">
        <v>24.21</v>
      </c>
      <c r="P18" s="38">
        <v>24.31</v>
      </c>
      <c r="Q18" s="38">
        <v>23.99</v>
      </c>
      <c r="R18" s="32">
        <v>24.57</v>
      </c>
      <c r="S18" s="9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9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10"/>
      <c r="AS18" s="9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10"/>
    </row>
    <row r="19" spans="1:57" customFormat="1" ht="16" customHeight="1" x14ac:dyDescent="0.35">
      <c r="A19" s="1"/>
      <c r="B19" s="64"/>
      <c r="C19" s="64"/>
      <c r="D19" s="67"/>
      <c r="E19" s="37" t="s">
        <v>15</v>
      </c>
      <c r="F19" s="33" t="s">
        <v>16</v>
      </c>
      <c r="G19" s="39">
        <v>1</v>
      </c>
      <c r="H19" s="40">
        <v>1</v>
      </c>
      <c r="I19" s="40">
        <v>1</v>
      </c>
      <c r="J19" s="40">
        <v>1</v>
      </c>
      <c r="K19" s="40">
        <v>1</v>
      </c>
      <c r="L19" s="40">
        <v>1</v>
      </c>
      <c r="M19" s="39">
        <v>1</v>
      </c>
      <c r="N19" s="39">
        <v>1</v>
      </c>
      <c r="O19" s="39">
        <v>1</v>
      </c>
      <c r="P19" s="41">
        <v>1</v>
      </c>
      <c r="Q19" s="41">
        <v>1</v>
      </c>
      <c r="R19" s="42">
        <v>1</v>
      </c>
      <c r="S19" s="9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9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10"/>
      <c r="AS19" s="9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10"/>
    </row>
    <row r="20" spans="1:57" customFormat="1" ht="16" customHeight="1" x14ac:dyDescent="0.35">
      <c r="A20" s="1"/>
      <c r="B20" s="64"/>
      <c r="C20" s="64"/>
      <c r="D20" s="67"/>
      <c r="E20" s="25" t="s">
        <v>17</v>
      </c>
      <c r="F20" s="33" t="s">
        <v>18</v>
      </c>
      <c r="G20" s="43">
        <v>-63.923000000000002</v>
      </c>
      <c r="H20" s="27">
        <v>-63.283000000000001</v>
      </c>
      <c r="I20" s="44">
        <v>-64.477999999999994</v>
      </c>
      <c r="J20" s="44">
        <v>-64.721000000000004</v>
      </c>
      <c r="K20" s="28">
        <v>-64.965999999999994</v>
      </c>
      <c r="L20" s="28">
        <v>-64.965999999999994</v>
      </c>
      <c r="M20" s="28">
        <v>-62.515999999999998</v>
      </c>
      <c r="N20" s="28">
        <v>-63.348999999999997</v>
      </c>
      <c r="O20" s="28">
        <v>-61.609000000000002</v>
      </c>
      <c r="P20" s="28">
        <v>-60.917000000000002</v>
      </c>
      <c r="Q20" s="28">
        <v>-62.994</v>
      </c>
      <c r="R20" s="23">
        <v>-61.59</v>
      </c>
      <c r="S20" s="9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9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10"/>
      <c r="AS20" s="9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10"/>
    </row>
    <row r="21" spans="1:57" customFormat="1" ht="15.75" customHeight="1" x14ac:dyDescent="0.35">
      <c r="A21" s="1"/>
      <c r="B21" s="64"/>
      <c r="C21" s="64"/>
      <c r="D21" s="67"/>
      <c r="E21" s="25" t="s">
        <v>19</v>
      </c>
      <c r="F21" s="33" t="s">
        <v>18</v>
      </c>
      <c r="G21" s="28">
        <v>-65.165000000000006</v>
      </c>
      <c r="H21" s="45">
        <v>-64.784999999999997</v>
      </c>
      <c r="I21" s="28">
        <v>-65.296999999999997</v>
      </c>
      <c r="J21" s="28">
        <v>-64.623999999999995</v>
      </c>
      <c r="K21" s="28">
        <v>-61.878</v>
      </c>
      <c r="L21" s="28">
        <v>-61.878</v>
      </c>
      <c r="M21" s="28">
        <v>-63.625</v>
      </c>
      <c r="N21" s="28">
        <v>-63.119</v>
      </c>
      <c r="O21" s="28">
        <v>-63.552</v>
      </c>
      <c r="P21" s="28">
        <v>-63.868000000000002</v>
      </c>
      <c r="Q21" s="28">
        <v>-66.421000000000006</v>
      </c>
      <c r="R21" s="23">
        <v>-63.774000000000001</v>
      </c>
      <c r="S21" s="9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9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10"/>
      <c r="AS21" s="9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10"/>
    </row>
    <row r="22" spans="1:57" customFormat="1" ht="16" customHeight="1" x14ac:dyDescent="0.35">
      <c r="A22" s="1"/>
      <c r="B22" s="64"/>
      <c r="C22" s="64"/>
      <c r="D22" s="67"/>
      <c r="E22" s="25" t="s">
        <v>20</v>
      </c>
      <c r="F22" s="46" t="s">
        <v>21</v>
      </c>
      <c r="G22" s="38" t="s">
        <v>40</v>
      </c>
      <c r="H22" s="38" t="s">
        <v>40</v>
      </c>
      <c r="I22" s="29" t="s">
        <v>40</v>
      </c>
      <c r="J22" s="29" t="s">
        <v>40</v>
      </c>
      <c r="K22" s="29" t="s">
        <v>40</v>
      </c>
      <c r="L22" s="29" t="s">
        <v>40</v>
      </c>
      <c r="M22" s="29" t="s">
        <v>40</v>
      </c>
      <c r="N22" s="29" t="s">
        <v>40</v>
      </c>
      <c r="O22" s="29" t="s">
        <v>40</v>
      </c>
      <c r="P22" s="29" t="s">
        <v>40</v>
      </c>
      <c r="Q22" s="29" t="s">
        <v>40</v>
      </c>
      <c r="R22" s="23" t="s">
        <v>40</v>
      </c>
      <c r="S22" s="9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9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10"/>
      <c r="AS22" s="9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10"/>
    </row>
    <row r="23" spans="1:57" customFormat="1" ht="38" thickBot="1" x14ac:dyDescent="0.4">
      <c r="A23" s="1"/>
      <c r="B23" s="70"/>
      <c r="C23" s="65"/>
      <c r="D23" s="68"/>
      <c r="E23" s="20" t="s">
        <v>22</v>
      </c>
      <c r="F23" s="47" t="s">
        <v>53</v>
      </c>
      <c r="G23" s="48" t="e">
        <f>#N/A</f>
        <v>#N/A</v>
      </c>
      <c r="H23" s="48" t="e">
        <f>#N/A</f>
        <v>#N/A</v>
      </c>
      <c r="I23" s="48" t="e">
        <f>#N/A</f>
        <v>#N/A</v>
      </c>
      <c r="J23" s="48" t="e">
        <f>#N/A</f>
        <v>#N/A</v>
      </c>
      <c r="K23" s="48" t="e">
        <f>#N/A</f>
        <v>#N/A</v>
      </c>
      <c r="L23" s="48" t="str">
        <f>IF(L19=3,"alarm",IF(L19=4,"alarm",IF(L19=5,"alarm",IF(L19=2,"normal",IF(L19=1,"normal",IF(L19&gt;=6,"high",IF(ISBLANK(L19),"standby")))))))</f>
        <v>normal</v>
      </c>
      <c r="M23" s="48" t="e">
        <f>#N/A</f>
        <v>#N/A</v>
      </c>
      <c r="N23" s="48" t="e">
        <f>#N/A</f>
        <v>#N/A</v>
      </c>
      <c r="O23" s="48" t="e">
        <f>#N/A</f>
        <v>#N/A</v>
      </c>
      <c r="P23" s="48" t="e">
        <f>#N/A</f>
        <v>#N/A</v>
      </c>
      <c r="Q23" s="48" t="e">
        <f>#N/A</f>
        <v>#N/A</v>
      </c>
      <c r="R23" s="49" t="e">
        <f>#N/A</f>
        <v>#N/A</v>
      </c>
      <c r="S23" s="12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2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3"/>
      <c r="AS23" s="12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3"/>
    </row>
    <row r="24" spans="1:57" customFormat="1" ht="18" customHeight="1" x14ac:dyDescent="0.35">
      <c r="A24" s="1"/>
      <c r="B24" s="69">
        <v>2</v>
      </c>
      <c r="C24" s="63" t="s">
        <v>54</v>
      </c>
      <c r="D24" s="66" t="s">
        <v>55</v>
      </c>
      <c r="E24" s="14"/>
      <c r="F24" s="50"/>
      <c r="G24" s="51">
        <v>45661</v>
      </c>
      <c r="H24" s="51">
        <v>45693</v>
      </c>
      <c r="I24" s="51">
        <v>45722</v>
      </c>
      <c r="J24" s="51">
        <v>45754</v>
      </c>
      <c r="K24" s="51">
        <v>45785</v>
      </c>
      <c r="L24" s="51">
        <v>45817</v>
      </c>
      <c r="M24" s="51">
        <v>45848</v>
      </c>
      <c r="N24" s="51">
        <v>45880</v>
      </c>
      <c r="O24" s="51">
        <v>45912</v>
      </c>
      <c r="P24" s="51">
        <v>45943</v>
      </c>
      <c r="Q24" s="51">
        <v>45975</v>
      </c>
      <c r="R24" s="51">
        <v>46006</v>
      </c>
      <c r="S24" s="9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6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7"/>
      <c r="AS24" s="6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7"/>
    </row>
    <row r="25" spans="1:57" customFormat="1" ht="16" customHeight="1" x14ac:dyDescent="0.35">
      <c r="A25" s="1"/>
      <c r="B25" s="64"/>
      <c r="C25" s="64"/>
      <c r="D25" s="67"/>
      <c r="E25" s="20" t="s">
        <v>1</v>
      </c>
      <c r="F25" s="21" t="s">
        <v>52</v>
      </c>
      <c r="G25" s="28">
        <v>71.8</v>
      </c>
      <c r="H25" s="28">
        <v>71.8</v>
      </c>
      <c r="I25" s="28">
        <v>71.400000000000006</v>
      </c>
      <c r="J25" s="28">
        <v>72</v>
      </c>
      <c r="K25" s="28">
        <v>71.7</v>
      </c>
      <c r="L25" s="28">
        <v>71.7</v>
      </c>
      <c r="M25" s="28">
        <v>72</v>
      </c>
      <c r="N25" s="28">
        <v>71.8</v>
      </c>
      <c r="O25" s="22">
        <v>71.7</v>
      </c>
      <c r="P25" s="22">
        <v>71.5</v>
      </c>
      <c r="Q25" s="22">
        <v>71.3</v>
      </c>
      <c r="R25" s="22">
        <v>70.900000000000006</v>
      </c>
      <c r="S25" s="9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9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10"/>
      <c r="AS25" s="9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10"/>
    </row>
    <row r="26" spans="1:57" customFormat="1" ht="16" customHeight="1" x14ac:dyDescent="0.35">
      <c r="A26" s="1"/>
      <c r="B26" s="64"/>
      <c r="C26" s="64"/>
      <c r="D26" s="67"/>
      <c r="E26" s="25" t="s">
        <v>3</v>
      </c>
      <c r="F26" s="26" t="s">
        <v>4</v>
      </c>
      <c r="G26" s="30">
        <v>54</v>
      </c>
      <c r="H26" s="30">
        <v>54</v>
      </c>
      <c r="I26" s="27">
        <v>53.9</v>
      </c>
      <c r="J26" s="28">
        <v>54.6</v>
      </c>
      <c r="K26" s="28">
        <v>54.2</v>
      </c>
      <c r="L26" s="28">
        <v>54.2</v>
      </c>
      <c r="M26" s="28">
        <v>54.2</v>
      </c>
      <c r="N26" s="29">
        <v>54.2</v>
      </c>
      <c r="O26" s="22">
        <v>54.1</v>
      </c>
      <c r="P26" s="29">
        <v>54</v>
      </c>
      <c r="Q26" s="28">
        <v>53.7</v>
      </c>
      <c r="R26" s="23">
        <v>53.6</v>
      </c>
      <c r="S26" s="9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9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10"/>
      <c r="AS26" s="9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10"/>
    </row>
    <row r="27" spans="1:57" customFormat="1" ht="16" customHeight="1" x14ac:dyDescent="0.35">
      <c r="A27" s="1"/>
      <c r="B27" s="64"/>
      <c r="C27" s="64"/>
      <c r="D27" s="67"/>
      <c r="E27" s="25" t="s">
        <v>5</v>
      </c>
      <c r="F27" s="26" t="s">
        <v>4</v>
      </c>
      <c r="G27" s="30">
        <v>54.9</v>
      </c>
      <c r="H27" s="30">
        <v>54.9</v>
      </c>
      <c r="I27" s="27">
        <v>54.4</v>
      </c>
      <c r="J27" s="28">
        <v>55.1</v>
      </c>
      <c r="K27" s="28">
        <v>54.9</v>
      </c>
      <c r="L27" s="28">
        <v>54.9</v>
      </c>
      <c r="M27" s="28">
        <v>55</v>
      </c>
      <c r="N27" s="29">
        <v>55</v>
      </c>
      <c r="O27" s="22">
        <v>54.9</v>
      </c>
      <c r="P27" s="29">
        <v>54.8</v>
      </c>
      <c r="Q27" s="28">
        <v>54.9</v>
      </c>
      <c r="R27" s="23">
        <v>54.6</v>
      </c>
      <c r="S27" s="9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9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10"/>
      <c r="AS27" s="9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10"/>
    </row>
    <row r="28" spans="1:57" customFormat="1" ht="16" customHeight="1" x14ac:dyDescent="0.35">
      <c r="A28" s="1"/>
      <c r="B28" s="64"/>
      <c r="C28" s="64"/>
      <c r="D28" s="67"/>
      <c r="E28" s="25" t="s">
        <v>6</v>
      </c>
      <c r="F28" s="26" t="s">
        <v>4</v>
      </c>
      <c r="G28" s="30">
        <v>54</v>
      </c>
      <c r="H28" s="30">
        <v>54</v>
      </c>
      <c r="I28" s="27">
        <v>53.9</v>
      </c>
      <c r="J28" s="28">
        <v>53.9</v>
      </c>
      <c r="K28" s="28">
        <v>53.8</v>
      </c>
      <c r="L28" s="28">
        <v>53.8</v>
      </c>
      <c r="M28" s="28">
        <v>54.2</v>
      </c>
      <c r="N28" s="29">
        <v>53.9</v>
      </c>
      <c r="O28" s="22">
        <v>53.8</v>
      </c>
      <c r="P28" s="29">
        <v>53.7</v>
      </c>
      <c r="Q28" s="28">
        <v>53.6</v>
      </c>
      <c r="R28" s="23">
        <v>53.6</v>
      </c>
      <c r="S28" s="9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9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10"/>
      <c r="AS28" s="9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10"/>
    </row>
    <row r="29" spans="1:57" customFormat="1" ht="16" customHeight="1" x14ac:dyDescent="0.35">
      <c r="A29" s="1"/>
      <c r="B29" s="64"/>
      <c r="C29" s="64"/>
      <c r="D29" s="67"/>
      <c r="E29" s="25" t="s">
        <v>7</v>
      </c>
      <c r="F29" s="21" t="s">
        <v>8</v>
      </c>
      <c r="G29" s="35">
        <v>1.1000000000000001</v>
      </c>
      <c r="H29" s="35">
        <v>1.1000000000000001</v>
      </c>
      <c r="I29" s="35">
        <v>0.6</v>
      </c>
      <c r="J29" s="31">
        <v>1.2</v>
      </c>
      <c r="K29" s="31">
        <v>1.1000000000000001</v>
      </c>
      <c r="L29" s="31">
        <v>1.1000000000000001</v>
      </c>
      <c r="M29" s="31">
        <v>1</v>
      </c>
      <c r="N29" s="36">
        <v>1.2</v>
      </c>
      <c r="O29" s="31">
        <v>1.2</v>
      </c>
      <c r="P29" s="36">
        <v>1.2</v>
      </c>
      <c r="Q29" s="36">
        <v>1.5</v>
      </c>
      <c r="R29" s="32">
        <v>1.2</v>
      </c>
      <c r="S29" s="9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9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10"/>
      <c r="AS29" s="9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10"/>
    </row>
    <row r="30" spans="1:57" customFormat="1" ht="16" customHeight="1" x14ac:dyDescent="0.35">
      <c r="A30" s="1"/>
      <c r="B30" s="64"/>
      <c r="C30" s="64"/>
      <c r="D30" s="67"/>
      <c r="E30" s="25" t="s">
        <v>9</v>
      </c>
      <c r="F30" s="33" t="s">
        <v>10</v>
      </c>
      <c r="G30" s="27">
        <v>386.6</v>
      </c>
      <c r="H30" s="27">
        <v>386.6</v>
      </c>
      <c r="I30" s="27">
        <v>386.1</v>
      </c>
      <c r="J30" s="29">
        <v>382.2</v>
      </c>
      <c r="K30" s="28">
        <v>384.1</v>
      </c>
      <c r="L30" s="28">
        <v>384.1</v>
      </c>
      <c r="M30" s="28">
        <v>384.7</v>
      </c>
      <c r="N30" s="29">
        <v>384.3</v>
      </c>
      <c r="O30" s="28">
        <v>384.4</v>
      </c>
      <c r="P30" s="29">
        <v>385.7</v>
      </c>
      <c r="Q30" s="29">
        <v>384.1</v>
      </c>
      <c r="R30" s="23">
        <v>381.4</v>
      </c>
      <c r="S30" s="9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9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10"/>
      <c r="AS30" s="9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10"/>
    </row>
    <row r="31" spans="1:57" customFormat="1" ht="16" customHeight="1" x14ac:dyDescent="0.35">
      <c r="A31" s="1"/>
      <c r="B31" s="64"/>
      <c r="C31" s="64"/>
      <c r="D31" s="67"/>
      <c r="E31" s="25" t="s">
        <v>11</v>
      </c>
      <c r="F31" s="33" t="s">
        <v>10</v>
      </c>
      <c r="G31" s="27">
        <v>387</v>
      </c>
      <c r="H31" s="27">
        <v>387</v>
      </c>
      <c r="I31" s="27">
        <v>386.3</v>
      </c>
      <c r="J31" s="28">
        <v>382.1</v>
      </c>
      <c r="K31" s="28">
        <v>384.3</v>
      </c>
      <c r="L31" s="28">
        <v>384.3</v>
      </c>
      <c r="M31" s="28">
        <v>385.2</v>
      </c>
      <c r="N31" s="29">
        <v>384.6</v>
      </c>
      <c r="O31" s="28">
        <v>384.7</v>
      </c>
      <c r="P31" s="29">
        <v>385.9</v>
      </c>
      <c r="Q31" s="29">
        <v>384.5</v>
      </c>
      <c r="R31" s="23">
        <v>381.9</v>
      </c>
      <c r="S31" s="9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9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10"/>
      <c r="AS31" s="9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10"/>
    </row>
    <row r="32" spans="1:57" customFormat="1" ht="16" customHeight="1" x14ac:dyDescent="0.35">
      <c r="A32" s="1"/>
      <c r="B32" s="64"/>
      <c r="C32" s="64"/>
      <c r="D32" s="67"/>
      <c r="E32" s="25" t="s">
        <v>12</v>
      </c>
      <c r="F32" s="33" t="s">
        <v>10</v>
      </c>
      <c r="G32" s="27">
        <v>386.2</v>
      </c>
      <c r="H32" s="27">
        <v>386.2</v>
      </c>
      <c r="I32" s="27">
        <v>385.8</v>
      </c>
      <c r="J32" s="28">
        <v>381.2</v>
      </c>
      <c r="K32" s="28">
        <v>383.4</v>
      </c>
      <c r="L32" s="28">
        <v>383.4</v>
      </c>
      <c r="M32" s="28">
        <v>384.4</v>
      </c>
      <c r="N32" s="29">
        <v>383.7</v>
      </c>
      <c r="O32" s="28">
        <v>383.8</v>
      </c>
      <c r="P32" s="29">
        <v>385</v>
      </c>
      <c r="Q32" s="29">
        <v>383.6</v>
      </c>
      <c r="R32" s="23">
        <v>380.9</v>
      </c>
      <c r="S32" s="9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9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10"/>
      <c r="AS32" s="9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10"/>
    </row>
    <row r="33" spans="1:57" customFormat="1" ht="16" customHeight="1" x14ac:dyDescent="0.35">
      <c r="A33" s="1"/>
      <c r="B33" s="64"/>
      <c r="C33" s="64"/>
      <c r="D33" s="67"/>
      <c r="E33" s="25" t="s">
        <v>13</v>
      </c>
      <c r="F33" s="21" t="s">
        <v>14</v>
      </c>
      <c r="G33" s="35">
        <v>0.1</v>
      </c>
      <c r="H33" s="35">
        <v>0.1</v>
      </c>
      <c r="I33" s="35">
        <v>0.1</v>
      </c>
      <c r="J33" s="31">
        <v>0.2</v>
      </c>
      <c r="K33" s="31">
        <v>0.1</v>
      </c>
      <c r="L33" s="31">
        <v>0.1</v>
      </c>
      <c r="M33" s="31">
        <v>0.1</v>
      </c>
      <c r="N33" s="36">
        <v>0.1</v>
      </c>
      <c r="O33" s="31">
        <v>0.1</v>
      </c>
      <c r="P33" s="36">
        <v>0.1</v>
      </c>
      <c r="Q33" s="36">
        <v>0.1</v>
      </c>
      <c r="R33" s="32">
        <v>0.1</v>
      </c>
      <c r="S33" s="9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9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10"/>
      <c r="AS33" s="9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10"/>
    </row>
    <row r="34" spans="1:57" customFormat="1" ht="16" customHeight="1" x14ac:dyDescent="0.35">
      <c r="A34" s="1"/>
      <c r="B34" s="64"/>
      <c r="C34" s="64"/>
      <c r="D34" s="67"/>
      <c r="E34" s="37" t="s">
        <v>34</v>
      </c>
      <c r="F34" s="21" t="s">
        <v>35</v>
      </c>
      <c r="G34" s="35">
        <v>0.79800000000000004</v>
      </c>
      <c r="H34" s="35">
        <v>0.79800000000000004</v>
      </c>
      <c r="I34" s="35">
        <v>0.79900000000000004</v>
      </c>
      <c r="J34" s="31">
        <v>0.80700000000000005</v>
      </c>
      <c r="K34" s="31">
        <v>0.80300000000000005</v>
      </c>
      <c r="L34" s="31">
        <v>0.80300000000000005</v>
      </c>
      <c r="M34" s="31">
        <v>0.80200000000000005</v>
      </c>
      <c r="N34" s="36">
        <v>0.80300000000000005</v>
      </c>
      <c r="O34" s="31">
        <v>0.80200000000000005</v>
      </c>
      <c r="P34" s="36">
        <v>0.8</v>
      </c>
      <c r="Q34" s="36">
        <v>0.80200000000000005</v>
      </c>
      <c r="R34" s="32">
        <v>0.80500000000000005</v>
      </c>
      <c r="S34" s="9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9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10"/>
      <c r="AS34" s="9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10"/>
    </row>
    <row r="35" spans="1:57" customFormat="1" ht="16" customHeight="1" x14ac:dyDescent="0.35">
      <c r="A35" s="1"/>
      <c r="B35" s="64"/>
      <c r="C35" s="64"/>
      <c r="D35" s="67"/>
      <c r="E35" s="37" t="s">
        <v>36</v>
      </c>
      <c r="F35" s="21" t="s">
        <v>16</v>
      </c>
      <c r="G35" s="35">
        <v>0.56699999999999995</v>
      </c>
      <c r="H35" s="35">
        <v>0.56699999999999995</v>
      </c>
      <c r="I35" s="35">
        <v>0.52700000000000002</v>
      </c>
      <c r="J35" s="31">
        <v>0.55500000000000005</v>
      </c>
      <c r="K35" s="31">
        <v>0.41</v>
      </c>
      <c r="L35" s="31">
        <v>0.41</v>
      </c>
      <c r="M35" s="31">
        <v>0.40899999999999997</v>
      </c>
      <c r="N35" s="36">
        <v>0.45800000000000002</v>
      </c>
      <c r="O35" s="31">
        <v>0.46899999999999997</v>
      </c>
      <c r="P35" s="36">
        <v>0.53100000000000003</v>
      </c>
      <c r="Q35" s="36">
        <v>0.49</v>
      </c>
      <c r="R35" s="32">
        <v>0.68</v>
      </c>
      <c r="S35" s="9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9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10"/>
      <c r="AS35" s="9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10"/>
    </row>
    <row r="36" spans="1:57" customFormat="1" ht="16" customHeight="1" x14ac:dyDescent="0.35">
      <c r="A36" s="1"/>
      <c r="B36" s="64"/>
      <c r="C36" s="64"/>
      <c r="D36" s="67"/>
      <c r="E36" s="37" t="s">
        <v>37</v>
      </c>
      <c r="F36" s="21" t="s">
        <v>38</v>
      </c>
      <c r="G36" s="35">
        <v>1.2809999999999999</v>
      </c>
      <c r="H36" s="35">
        <v>1.2809999999999999</v>
      </c>
      <c r="I36" s="35">
        <v>1.329</v>
      </c>
      <c r="J36" s="31">
        <v>0.83099999999999996</v>
      </c>
      <c r="K36" s="31">
        <v>0.71899999999999997</v>
      </c>
      <c r="L36" s="31">
        <v>0.71899999999999997</v>
      </c>
      <c r="M36" s="31">
        <v>0.73099999999999998</v>
      </c>
      <c r="N36" s="36">
        <v>0.7</v>
      </c>
      <c r="O36" s="31">
        <v>0.69699999999999995</v>
      </c>
      <c r="P36" s="36">
        <v>0.84899999999999998</v>
      </c>
      <c r="Q36" s="36">
        <v>0.83699999999999997</v>
      </c>
      <c r="R36" s="32">
        <v>0.77700000000000002</v>
      </c>
      <c r="S36" s="9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9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10"/>
      <c r="AS36" s="9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10"/>
    </row>
    <row r="37" spans="1:57" customFormat="1" ht="16" customHeight="1" x14ac:dyDescent="0.35">
      <c r="A37" s="1"/>
      <c r="B37" s="64"/>
      <c r="C37" s="64"/>
      <c r="D37" s="67"/>
      <c r="E37" s="37" t="s">
        <v>39</v>
      </c>
      <c r="F37" s="21"/>
      <c r="G37" s="38">
        <v>29.02</v>
      </c>
      <c r="H37" s="38">
        <v>29.02</v>
      </c>
      <c r="I37" s="38">
        <v>28.87</v>
      </c>
      <c r="J37" s="38">
        <v>29.12</v>
      </c>
      <c r="K37" s="38">
        <v>29.01</v>
      </c>
      <c r="L37" s="38">
        <v>29.01</v>
      </c>
      <c r="M37" s="38">
        <v>29.12</v>
      </c>
      <c r="N37" s="38">
        <v>29.03</v>
      </c>
      <c r="O37" s="38">
        <v>28.98</v>
      </c>
      <c r="P37" s="38">
        <v>28.93</v>
      </c>
      <c r="Q37" s="38">
        <v>28.84</v>
      </c>
      <c r="R37" s="32">
        <v>28.66</v>
      </c>
      <c r="S37" s="9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9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10"/>
      <c r="AS37" s="9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10"/>
    </row>
    <row r="38" spans="1:57" customFormat="1" ht="16" customHeight="1" x14ac:dyDescent="0.35">
      <c r="A38" s="1"/>
      <c r="B38" s="64"/>
      <c r="C38" s="64"/>
      <c r="D38" s="67"/>
      <c r="E38" s="37" t="s">
        <v>15</v>
      </c>
      <c r="F38" s="33" t="s">
        <v>16</v>
      </c>
      <c r="G38" s="52">
        <v>1</v>
      </c>
      <c r="H38" s="52">
        <v>1</v>
      </c>
      <c r="I38" s="40">
        <v>1</v>
      </c>
      <c r="J38" s="40">
        <v>1</v>
      </c>
      <c r="K38" s="40">
        <v>1</v>
      </c>
      <c r="L38" s="40">
        <v>1</v>
      </c>
      <c r="M38" s="39">
        <v>1</v>
      </c>
      <c r="N38" s="39">
        <v>1</v>
      </c>
      <c r="O38" s="39">
        <v>1</v>
      </c>
      <c r="P38" s="41">
        <v>1</v>
      </c>
      <c r="Q38" s="41">
        <v>1</v>
      </c>
      <c r="R38" s="42">
        <v>1</v>
      </c>
      <c r="S38" s="9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9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10"/>
      <c r="AS38" s="9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10"/>
    </row>
    <row r="39" spans="1:57" customFormat="1" ht="16" customHeight="1" x14ac:dyDescent="0.35">
      <c r="A39" s="1"/>
      <c r="B39" s="64"/>
      <c r="C39" s="64"/>
      <c r="D39" s="67"/>
      <c r="E39" s="25" t="s">
        <v>17</v>
      </c>
      <c r="F39" s="33" t="s">
        <v>18</v>
      </c>
      <c r="G39" s="27">
        <v>-63.488</v>
      </c>
      <c r="H39" s="27">
        <v>-63.488</v>
      </c>
      <c r="I39" s="27">
        <v>-60.738</v>
      </c>
      <c r="J39" s="28">
        <v>-62.673000000000002</v>
      </c>
      <c r="K39" s="28">
        <v>-64.72</v>
      </c>
      <c r="L39" s="28">
        <v>-64.72</v>
      </c>
      <c r="M39" s="28">
        <v>-60.234000000000002</v>
      </c>
      <c r="N39" s="28">
        <v>-62.69</v>
      </c>
      <c r="O39" s="28">
        <v>-62.149000000000001</v>
      </c>
      <c r="P39" s="28">
        <v>-62.091000000000001</v>
      </c>
      <c r="Q39" s="28">
        <v>-61.85</v>
      </c>
      <c r="R39" s="23">
        <v>-61.183</v>
      </c>
      <c r="S39" s="9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9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10"/>
      <c r="AS39" s="9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10"/>
    </row>
    <row r="40" spans="1:57" customFormat="1" ht="15.75" customHeight="1" x14ac:dyDescent="0.35">
      <c r="A40" s="1"/>
      <c r="B40" s="64"/>
      <c r="C40" s="64"/>
      <c r="D40" s="67"/>
      <c r="E40" s="25" t="s">
        <v>19</v>
      </c>
      <c r="F40" s="33" t="s">
        <v>18</v>
      </c>
      <c r="G40" s="27">
        <v>-61.426000000000002</v>
      </c>
      <c r="H40" s="27">
        <v>-61.426000000000002</v>
      </c>
      <c r="I40" s="27">
        <v>-64.222999999999999</v>
      </c>
      <c r="J40" s="28">
        <v>-62.917000000000002</v>
      </c>
      <c r="K40" s="28">
        <v>-63.597999999999999</v>
      </c>
      <c r="L40" s="28">
        <v>-63.597999999999999</v>
      </c>
      <c r="M40" s="28">
        <v>-65.197000000000003</v>
      </c>
      <c r="N40" s="28">
        <v>-62.381</v>
      </c>
      <c r="O40" s="28">
        <v>-62.508000000000003</v>
      </c>
      <c r="P40" s="28">
        <v>-63.033999999999999</v>
      </c>
      <c r="Q40" s="28">
        <v>-61.497999999999998</v>
      </c>
      <c r="R40" s="23">
        <v>-65.822000000000003</v>
      </c>
      <c r="S40" s="9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9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10"/>
      <c r="AS40" s="9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10"/>
    </row>
    <row r="41" spans="1:57" customFormat="1" ht="16" customHeight="1" x14ac:dyDescent="0.35">
      <c r="A41" s="1"/>
      <c r="B41" s="64"/>
      <c r="C41" s="64"/>
      <c r="D41" s="67"/>
      <c r="E41" s="25" t="s">
        <v>20</v>
      </c>
      <c r="F41" s="46" t="s">
        <v>21</v>
      </c>
      <c r="G41" s="38" t="s">
        <v>40</v>
      </c>
      <c r="H41" s="38" t="s">
        <v>40</v>
      </c>
      <c r="I41" s="29" t="s">
        <v>40</v>
      </c>
      <c r="J41" s="29" t="s">
        <v>40</v>
      </c>
      <c r="K41" s="29" t="s">
        <v>40</v>
      </c>
      <c r="L41" s="29" t="s">
        <v>40</v>
      </c>
      <c r="M41" s="29" t="s">
        <v>40</v>
      </c>
      <c r="N41" s="29" t="s">
        <v>40</v>
      </c>
      <c r="O41" s="29" t="s">
        <v>40</v>
      </c>
      <c r="P41" s="29" t="s">
        <v>40</v>
      </c>
      <c r="Q41" s="29" t="s">
        <v>40</v>
      </c>
      <c r="R41" s="23" t="s">
        <v>40</v>
      </c>
      <c r="S41" s="9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9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10"/>
      <c r="AS41" s="9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10"/>
    </row>
    <row r="42" spans="1:57" customFormat="1" ht="38" thickBot="1" x14ac:dyDescent="0.4">
      <c r="A42" s="1"/>
      <c r="B42" s="70"/>
      <c r="C42" s="65"/>
      <c r="D42" s="68"/>
      <c r="E42" s="20" t="s">
        <v>22</v>
      </c>
      <c r="F42" s="47" t="s">
        <v>53</v>
      </c>
      <c r="G42" s="48" t="e">
        <f>#N/A</f>
        <v>#N/A</v>
      </c>
      <c r="H42" s="48" t="e">
        <f>#N/A</f>
        <v>#N/A</v>
      </c>
      <c r="I42" s="48" t="e">
        <f>#N/A</f>
        <v>#N/A</v>
      </c>
      <c r="J42" s="48" t="e">
        <f>#N/A</f>
        <v>#N/A</v>
      </c>
      <c r="K42" s="48" t="e">
        <f>#N/A</f>
        <v>#N/A</v>
      </c>
      <c r="L42" s="48" t="str">
        <f>IF(L38=3,"alarm",IF(L38=4,"alarm",IF(L38=5,"alarm",IF(L38=2,"normal",IF(L38=1,"normal",IF(L38&gt;=6,"high",IF(ISBLANK(L38),"standby")))))))</f>
        <v>normal</v>
      </c>
      <c r="M42" s="48" t="e">
        <f>#N/A</f>
        <v>#N/A</v>
      </c>
      <c r="N42" s="48" t="e">
        <f>#N/A</f>
        <v>#N/A</v>
      </c>
      <c r="O42" s="48" t="e">
        <f>#N/A</f>
        <v>#N/A</v>
      </c>
      <c r="P42" s="48" t="e">
        <f>#N/A</f>
        <v>#N/A</v>
      </c>
      <c r="Q42" s="48" t="e">
        <f>#N/A</f>
        <v>#N/A</v>
      </c>
      <c r="R42" s="49" t="e">
        <f>#N/A</f>
        <v>#N/A</v>
      </c>
      <c r="S42" s="12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2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3"/>
      <c r="AS42" s="12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3"/>
    </row>
    <row r="43" spans="1:57" customFormat="1" ht="18" customHeight="1" x14ac:dyDescent="0.35">
      <c r="A43" s="1"/>
      <c r="B43" s="71">
        <v>3</v>
      </c>
      <c r="C43" s="63" t="s">
        <v>56</v>
      </c>
      <c r="D43" s="66" t="s">
        <v>57</v>
      </c>
      <c r="E43" s="53"/>
      <c r="F43" s="50"/>
      <c r="G43" s="51" t="s">
        <v>33</v>
      </c>
      <c r="H43" s="51" t="s">
        <v>25</v>
      </c>
      <c r="I43" s="51" t="s">
        <v>28</v>
      </c>
      <c r="J43" s="51" t="s">
        <v>2</v>
      </c>
      <c r="K43" s="51" t="s">
        <v>29</v>
      </c>
      <c r="L43" s="51" t="s">
        <v>27</v>
      </c>
      <c r="M43" s="51" t="s">
        <v>26</v>
      </c>
      <c r="N43" s="51" t="s">
        <v>23</v>
      </c>
      <c r="O43" s="51" t="s">
        <v>32</v>
      </c>
      <c r="P43" s="54" t="s">
        <v>31</v>
      </c>
      <c r="Q43" s="51" t="s">
        <v>30</v>
      </c>
      <c r="R43" s="51" t="s">
        <v>24</v>
      </c>
      <c r="S43" s="6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6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7"/>
      <c r="AS43" s="6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7"/>
    </row>
    <row r="44" spans="1:57" customFormat="1" ht="16" customHeight="1" x14ac:dyDescent="0.35">
      <c r="A44" s="1"/>
      <c r="B44" s="72"/>
      <c r="C44" s="64"/>
      <c r="D44" s="67"/>
      <c r="E44" s="20" t="s">
        <v>1</v>
      </c>
      <c r="F44" s="21" t="s">
        <v>52</v>
      </c>
      <c r="G44" s="28">
        <v>74.900000000000006</v>
      </c>
      <c r="H44" s="27">
        <v>75.2</v>
      </c>
      <c r="I44" s="27">
        <v>75.5</v>
      </c>
      <c r="J44" s="28">
        <v>74.599999999999994</v>
      </c>
      <c r="K44" s="28">
        <v>74.599999999999994</v>
      </c>
      <c r="L44" s="28"/>
      <c r="M44" s="28">
        <v>73.400000000000006</v>
      </c>
      <c r="N44" s="28">
        <v>75.099999999999994</v>
      </c>
      <c r="O44" s="22">
        <v>75</v>
      </c>
      <c r="P44" s="55">
        <v>75</v>
      </c>
      <c r="Q44" s="22">
        <v>74</v>
      </c>
      <c r="R44" s="55">
        <v>73.900000000000006</v>
      </c>
      <c r="S44" s="9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9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10"/>
      <c r="AS44" s="9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10"/>
    </row>
    <row r="45" spans="1:57" customFormat="1" ht="16" customHeight="1" x14ac:dyDescent="0.35">
      <c r="A45" s="1"/>
      <c r="B45" s="72"/>
      <c r="C45" s="64"/>
      <c r="D45" s="67"/>
      <c r="E45" s="25" t="s">
        <v>3</v>
      </c>
      <c r="F45" s="26" t="s">
        <v>4</v>
      </c>
      <c r="G45" s="28">
        <v>106.2</v>
      </c>
      <c r="H45" s="30">
        <v>106.2</v>
      </c>
      <c r="I45" s="27">
        <v>106.9</v>
      </c>
      <c r="J45" s="28">
        <v>106.5</v>
      </c>
      <c r="K45" s="28">
        <v>106.5</v>
      </c>
      <c r="L45" s="28"/>
      <c r="M45" s="28">
        <v>104.7</v>
      </c>
      <c r="N45" s="28">
        <v>106.8</v>
      </c>
      <c r="O45" s="22">
        <v>106.6</v>
      </c>
      <c r="P45" s="29">
        <v>106.6</v>
      </c>
      <c r="Q45" s="28">
        <v>105.3</v>
      </c>
      <c r="R45" s="29">
        <v>105.5</v>
      </c>
      <c r="S45" s="9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9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10"/>
      <c r="AS45" s="9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10"/>
    </row>
    <row r="46" spans="1:57" customFormat="1" ht="16" customHeight="1" x14ac:dyDescent="0.35">
      <c r="A46" s="1"/>
      <c r="B46" s="72"/>
      <c r="C46" s="64"/>
      <c r="D46" s="67"/>
      <c r="E46" s="25" t="s">
        <v>5</v>
      </c>
      <c r="F46" s="26" t="s">
        <v>4</v>
      </c>
      <c r="G46" s="28">
        <v>106.9</v>
      </c>
      <c r="H46" s="30">
        <v>108.2</v>
      </c>
      <c r="I46" s="27">
        <v>108.1</v>
      </c>
      <c r="J46" s="28">
        <v>108</v>
      </c>
      <c r="K46" s="28">
        <v>108</v>
      </c>
      <c r="L46" s="28"/>
      <c r="M46" s="28">
        <v>106.6</v>
      </c>
      <c r="N46" s="28">
        <v>108.7</v>
      </c>
      <c r="O46" s="22">
        <v>108.4</v>
      </c>
      <c r="P46" s="29">
        <v>108.3</v>
      </c>
      <c r="Q46" s="28">
        <v>107.1</v>
      </c>
      <c r="R46" s="29">
        <v>107.3</v>
      </c>
      <c r="S46" s="9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9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10"/>
      <c r="AS46" s="9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10"/>
    </row>
    <row r="47" spans="1:57" customFormat="1" ht="16" customHeight="1" x14ac:dyDescent="0.35">
      <c r="A47" s="1"/>
      <c r="B47" s="72"/>
      <c r="C47" s="64"/>
      <c r="D47" s="67"/>
      <c r="E47" s="25" t="s">
        <v>6</v>
      </c>
      <c r="F47" s="26" t="s">
        <v>4</v>
      </c>
      <c r="G47" s="28">
        <v>105.7</v>
      </c>
      <c r="H47" s="30">
        <v>106.3</v>
      </c>
      <c r="I47" s="27">
        <v>107</v>
      </c>
      <c r="J47" s="28">
        <v>105.7</v>
      </c>
      <c r="K47" s="28">
        <v>105.7</v>
      </c>
      <c r="L47" s="28"/>
      <c r="M47" s="28">
        <v>103.6</v>
      </c>
      <c r="N47" s="28">
        <v>105.8</v>
      </c>
      <c r="O47" s="22">
        <v>105.8</v>
      </c>
      <c r="P47" s="29">
        <v>105.6</v>
      </c>
      <c r="Q47" s="28">
        <v>105.1</v>
      </c>
      <c r="R47" s="29">
        <v>105.2</v>
      </c>
      <c r="S47" s="9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9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10"/>
      <c r="AS47" s="9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10"/>
    </row>
    <row r="48" spans="1:57" customFormat="1" ht="16" customHeight="1" x14ac:dyDescent="0.35">
      <c r="A48" s="1"/>
      <c r="B48" s="72"/>
      <c r="C48" s="64"/>
      <c r="D48" s="67"/>
      <c r="E48" s="25" t="s">
        <v>7</v>
      </c>
      <c r="F48" s="21" t="s">
        <v>8</v>
      </c>
      <c r="G48" s="31">
        <v>0.6</v>
      </c>
      <c r="H48" s="31">
        <v>1.2</v>
      </c>
      <c r="I48" s="31">
        <v>0.7</v>
      </c>
      <c r="J48" s="31">
        <v>1.2</v>
      </c>
      <c r="K48" s="31">
        <v>1.2</v>
      </c>
      <c r="L48" s="31"/>
      <c r="M48" s="31">
        <v>1.6</v>
      </c>
      <c r="N48" s="31">
        <v>1.5</v>
      </c>
      <c r="O48" s="31">
        <v>1.4</v>
      </c>
      <c r="P48" s="31">
        <v>1.4</v>
      </c>
      <c r="Q48" s="31">
        <v>1.2</v>
      </c>
      <c r="R48" s="31">
        <v>1.2</v>
      </c>
      <c r="S48" s="9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9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10"/>
      <c r="AS48" s="9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10"/>
    </row>
    <row r="49" spans="1:57" customFormat="1" ht="16" customHeight="1" x14ac:dyDescent="0.35">
      <c r="A49" s="1"/>
      <c r="B49" s="72"/>
      <c r="C49" s="64"/>
      <c r="D49" s="67"/>
      <c r="E49" s="25" t="s">
        <v>9</v>
      </c>
      <c r="F49" s="33" t="s">
        <v>10</v>
      </c>
      <c r="G49" s="28">
        <v>387.3</v>
      </c>
      <c r="H49" s="27">
        <v>386.8</v>
      </c>
      <c r="I49" s="27">
        <v>386.2</v>
      </c>
      <c r="J49" s="29">
        <v>382.3</v>
      </c>
      <c r="K49" s="29">
        <v>382.3</v>
      </c>
      <c r="L49" s="29"/>
      <c r="M49" s="29">
        <v>385.2</v>
      </c>
      <c r="N49" s="29">
        <v>384.8</v>
      </c>
      <c r="O49" s="29">
        <v>384.5</v>
      </c>
      <c r="P49" s="29">
        <v>385.9</v>
      </c>
      <c r="Q49" s="27">
        <v>384.6</v>
      </c>
      <c r="R49" s="29">
        <v>382.2</v>
      </c>
      <c r="S49" s="9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9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10"/>
      <c r="AS49" s="9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10"/>
    </row>
    <row r="50" spans="1:57" customFormat="1" ht="16" customHeight="1" x14ac:dyDescent="0.35">
      <c r="A50" s="1"/>
      <c r="B50" s="72"/>
      <c r="C50" s="64"/>
      <c r="D50" s="67"/>
      <c r="E50" s="25" t="s">
        <v>11</v>
      </c>
      <c r="F50" s="33" t="s">
        <v>10</v>
      </c>
      <c r="G50" s="28">
        <v>387.4</v>
      </c>
      <c r="H50" s="27">
        <v>387.1</v>
      </c>
      <c r="I50" s="27">
        <v>386.3</v>
      </c>
      <c r="J50" s="28">
        <v>382.3</v>
      </c>
      <c r="K50" s="28">
        <v>382.3</v>
      </c>
      <c r="L50" s="28"/>
      <c r="M50" s="28">
        <v>385.3</v>
      </c>
      <c r="N50" s="28">
        <v>385.1</v>
      </c>
      <c r="O50" s="28">
        <v>384.7</v>
      </c>
      <c r="P50" s="29">
        <v>386</v>
      </c>
      <c r="Q50" s="27">
        <v>384.9</v>
      </c>
      <c r="R50" s="29">
        <v>382.5</v>
      </c>
      <c r="S50" s="9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9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10"/>
      <c r="AS50" s="9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10"/>
    </row>
    <row r="51" spans="1:57" customFormat="1" ht="16" customHeight="1" x14ac:dyDescent="0.35">
      <c r="A51" s="1"/>
      <c r="B51" s="72"/>
      <c r="C51" s="64"/>
      <c r="D51" s="67"/>
      <c r="E51" s="25" t="s">
        <v>12</v>
      </c>
      <c r="F51" s="33" t="s">
        <v>10</v>
      </c>
      <c r="G51" s="28">
        <v>387</v>
      </c>
      <c r="H51" s="27">
        <v>386.6</v>
      </c>
      <c r="I51" s="27">
        <v>386.1</v>
      </c>
      <c r="J51" s="28">
        <v>381.7</v>
      </c>
      <c r="K51" s="28">
        <v>381.7</v>
      </c>
      <c r="L51" s="28"/>
      <c r="M51" s="28">
        <v>384.5</v>
      </c>
      <c r="N51" s="28">
        <v>384.3</v>
      </c>
      <c r="O51" s="28">
        <v>383.9</v>
      </c>
      <c r="P51" s="29">
        <v>385.3</v>
      </c>
      <c r="Q51" s="27">
        <v>384.3</v>
      </c>
      <c r="R51" s="29">
        <v>381.8</v>
      </c>
      <c r="S51" s="9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9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10"/>
      <c r="AS51" s="9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10"/>
    </row>
    <row r="52" spans="1:57" customFormat="1" ht="16" customHeight="1" x14ac:dyDescent="0.35">
      <c r="A52" s="1"/>
      <c r="B52" s="72"/>
      <c r="C52" s="64"/>
      <c r="D52" s="67"/>
      <c r="E52" s="25" t="s">
        <v>13</v>
      </c>
      <c r="F52" s="21" t="s">
        <v>14</v>
      </c>
      <c r="G52" s="31">
        <v>0.1</v>
      </c>
      <c r="H52" s="31">
        <v>0.1</v>
      </c>
      <c r="I52" s="31">
        <v>0.1</v>
      </c>
      <c r="J52" s="31">
        <v>0.1</v>
      </c>
      <c r="K52" s="31">
        <v>0.1</v>
      </c>
      <c r="L52" s="31"/>
      <c r="M52" s="31">
        <v>0.1</v>
      </c>
      <c r="N52" s="31">
        <v>0.1</v>
      </c>
      <c r="O52" s="31">
        <v>0.1</v>
      </c>
      <c r="P52" s="31">
        <v>0.1</v>
      </c>
      <c r="Q52" s="31">
        <v>0.1</v>
      </c>
      <c r="R52" s="31">
        <v>0.1</v>
      </c>
      <c r="S52" s="9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9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10"/>
      <c r="AS52" s="9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10"/>
    </row>
    <row r="53" spans="1:57" customFormat="1" ht="16" customHeight="1" x14ac:dyDescent="0.35">
      <c r="A53" s="1"/>
      <c r="B53" s="72"/>
      <c r="C53" s="64"/>
      <c r="D53" s="67"/>
      <c r="E53" s="37" t="s">
        <v>34</v>
      </c>
      <c r="F53" s="21" t="s">
        <v>35</v>
      </c>
      <c r="G53" s="31">
        <v>0.85099999999999998</v>
      </c>
      <c r="H53" s="31">
        <v>0.85</v>
      </c>
      <c r="I53" s="31">
        <v>0.85099999999999998</v>
      </c>
      <c r="J53" s="31">
        <v>0.85499999999999998</v>
      </c>
      <c r="K53" s="31">
        <v>0.85499999999999998</v>
      </c>
      <c r="L53" s="31"/>
      <c r="M53" s="31">
        <v>0.84899999999999998</v>
      </c>
      <c r="N53" s="31">
        <v>0.85199999999999998</v>
      </c>
      <c r="O53" s="31">
        <v>0.85199999999999998</v>
      </c>
      <c r="P53" s="31">
        <v>0.85</v>
      </c>
      <c r="Q53" s="31">
        <v>0.85</v>
      </c>
      <c r="R53" s="31">
        <v>0.85199999999999998</v>
      </c>
      <c r="S53" s="9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9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10"/>
      <c r="AS53" s="9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10"/>
    </row>
    <row r="54" spans="1:57" customFormat="1" ht="16" customHeight="1" x14ac:dyDescent="0.35">
      <c r="A54" s="1"/>
      <c r="B54" s="72"/>
      <c r="C54" s="64"/>
      <c r="D54" s="67"/>
      <c r="E54" s="37" t="s">
        <v>36</v>
      </c>
      <c r="F54" s="21" t="s">
        <v>16</v>
      </c>
      <c r="G54" s="31">
        <v>0.36099999999999999</v>
      </c>
      <c r="H54" s="31">
        <v>0.43</v>
      </c>
      <c r="I54" s="31">
        <v>0.35899999999999999</v>
      </c>
      <c r="J54" s="31">
        <v>0.41199999999999998</v>
      </c>
      <c r="K54" s="31">
        <v>0.41199999999999998</v>
      </c>
      <c r="L54" s="31"/>
      <c r="M54" s="31">
        <v>0.24199999999999999</v>
      </c>
      <c r="N54" s="31">
        <v>0.32500000000000001</v>
      </c>
      <c r="O54" s="31">
        <v>0.3</v>
      </c>
      <c r="P54" s="31">
        <v>0.36199999999999999</v>
      </c>
      <c r="Q54" s="31">
        <v>0.39200000000000002</v>
      </c>
      <c r="R54" s="31">
        <v>0.48099999999999998</v>
      </c>
      <c r="S54" s="9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9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10"/>
      <c r="AS54" s="9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10"/>
    </row>
    <row r="55" spans="1:57" customFormat="1" ht="16" customHeight="1" x14ac:dyDescent="0.35">
      <c r="A55" s="1"/>
      <c r="B55" s="72"/>
      <c r="C55" s="64"/>
      <c r="D55" s="67"/>
      <c r="E55" s="37" t="s">
        <v>37</v>
      </c>
      <c r="F55" s="21" t="s">
        <v>38</v>
      </c>
      <c r="G55" s="31">
        <v>0.72</v>
      </c>
      <c r="H55" s="31">
        <v>0.753</v>
      </c>
      <c r="I55" s="31">
        <v>0.71699999999999997</v>
      </c>
      <c r="J55" s="31">
        <v>0.72199999999999998</v>
      </c>
      <c r="K55" s="31">
        <v>0.72199999999999998</v>
      </c>
      <c r="L55" s="31"/>
      <c r="M55" s="31">
        <v>0.72199999999999998</v>
      </c>
      <c r="N55" s="31">
        <v>0.71299999999999997</v>
      </c>
      <c r="O55" s="31">
        <v>0.69399999999999995</v>
      </c>
      <c r="P55" s="31">
        <v>0.72</v>
      </c>
      <c r="Q55" s="31">
        <v>0.69099999999999995</v>
      </c>
      <c r="R55" s="31">
        <v>0.74299999999999999</v>
      </c>
      <c r="S55" s="9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9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10"/>
      <c r="AS55" s="9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10"/>
    </row>
    <row r="56" spans="1:57" customFormat="1" ht="16" customHeight="1" x14ac:dyDescent="0.35">
      <c r="A56" s="1"/>
      <c r="B56" s="72"/>
      <c r="C56" s="64"/>
      <c r="D56" s="67"/>
      <c r="E56" s="37" t="s">
        <v>39</v>
      </c>
      <c r="F56" s="21"/>
      <c r="G56" s="38">
        <v>60.64</v>
      </c>
      <c r="H56" s="38">
        <v>60.86</v>
      </c>
      <c r="I56" s="38">
        <v>61.11</v>
      </c>
      <c r="J56" s="38">
        <v>60.39</v>
      </c>
      <c r="K56" s="38">
        <v>60.39</v>
      </c>
      <c r="L56" s="38"/>
      <c r="M56" s="38">
        <v>59.41</v>
      </c>
      <c r="N56" s="38">
        <v>60.8</v>
      </c>
      <c r="O56" s="38">
        <v>60.65</v>
      </c>
      <c r="P56" s="38">
        <v>60.67</v>
      </c>
      <c r="Q56" s="38">
        <v>59.9</v>
      </c>
      <c r="R56" s="32">
        <v>59.79</v>
      </c>
      <c r="S56" s="9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9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10"/>
      <c r="AS56" s="9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10"/>
    </row>
    <row r="57" spans="1:57" customFormat="1" ht="16" customHeight="1" x14ac:dyDescent="0.35">
      <c r="A57" s="1"/>
      <c r="B57" s="72"/>
      <c r="C57" s="64"/>
      <c r="D57" s="67"/>
      <c r="E57" s="37" t="s">
        <v>15</v>
      </c>
      <c r="F57" s="33" t="s">
        <v>16</v>
      </c>
      <c r="G57" s="39">
        <v>1</v>
      </c>
      <c r="H57" s="39">
        <v>1</v>
      </c>
      <c r="I57" s="39">
        <v>1</v>
      </c>
      <c r="J57" s="39">
        <v>2</v>
      </c>
      <c r="K57" s="39">
        <v>2</v>
      </c>
      <c r="L57" s="39"/>
      <c r="M57" s="39">
        <v>3</v>
      </c>
      <c r="N57" s="39">
        <v>1</v>
      </c>
      <c r="O57" s="39">
        <v>1</v>
      </c>
      <c r="P57" s="39">
        <v>2</v>
      </c>
      <c r="Q57" s="39">
        <v>2</v>
      </c>
      <c r="R57" s="39">
        <v>3</v>
      </c>
      <c r="S57" s="9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9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10"/>
      <c r="AS57" s="9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10"/>
    </row>
    <row r="58" spans="1:57" customFormat="1" ht="16" customHeight="1" x14ac:dyDescent="0.35">
      <c r="A58" s="1"/>
      <c r="B58" s="72"/>
      <c r="C58" s="64"/>
      <c r="D58" s="67"/>
      <c r="E58" s="25" t="s">
        <v>17</v>
      </c>
      <c r="F58" s="33" t="s">
        <v>18</v>
      </c>
      <c r="G58" s="29">
        <v>-70.763000000000005</v>
      </c>
      <c r="H58" s="27">
        <v>-71.778999999999996</v>
      </c>
      <c r="I58" s="56">
        <v>-63.719000000000001</v>
      </c>
      <c r="J58" s="56">
        <v>-60.23</v>
      </c>
      <c r="K58" s="56">
        <v>-60.23</v>
      </c>
      <c r="L58" s="56"/>
      <c r="M58" s="56">
        <v>-54.543999999999997</v>
      </c>
      <c r="N58" s="56">
        <v>-61.451999999999998</v>
      </c>
      <c r="O58" s="56">
        <v>-68.197999999999993</v>
      </c>
      <c r="P58" s="28">
        <v>-59.966000000000001</v>
      </c>
      <c r="Q58" s="56">
        <v>-63.465000000000003</v>
      </c>
      <c r="R58" s="28">
        <v>-55.932000000000002</v>
      </c>
      <c r="S58" s="9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9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10"/>
      <c r="AS58" s="9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10"/>
    </row>
    <row r="59" spans="1:57" customFormat="1" ht="15.75" customHeight="1" x14ac:dyDescent="0.35">
      <c r="A59" s="1"/>
      <c r="B59" s="72"/>
      <c r="C59" s="64"/>
      <c r="D59" s="67"/>
      <c r="E59" s="25" t="s">
        <v>19</v>
      </c>
      <c r="F59" s="33" t="s">
        <v>18</v>
      </c>
      <c r="G59" s="28">
        <v>-68.222999999999999</v>
      </c>
      <c r="H59" s="56">
        <v>-71.180000000000007</v>
      </c>
      <c r="I59" s="27">
        <v>-64.298000000000002</v>
      </c>
      <c r="J59" s="27">
        <v>-60.930999999999997</v>
      </c>
      <c r="K59" s="27">
        <v>-60.930999999999997</v>
      </c>
      <c r="L59" s="27"/>
      <c r="M59" s="27">
        <v>-55.634999999999998</v>
      </c>
      <c r="N59" s="27">
        <v>-62.970999999999997</v>
      </c>
      <c r="O59" s="27">
        <v>-67.975999999999999</v>
      </c>
      <c r="P59" s="28">
        <v>-61.743000000000002</v>
      </c>
      <c r="Q59" s="27">
        <v>-63.542999999999999</v>
      </c>
      <c r="R59" s="28">
        <v>-56.366</v>
      </c>
      <c r="S59" s="9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9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10"/>
      <c r="AS59" s="9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10"/>
    </row>
    <row r="60" spans="1:57" customFormat="1" ht="16" customHeight="1" x14ac:dyDescent="0.35">
      <c r="A60" s="1"/>
      <c r="B60" s="72"/>
      <c r="C60" s="64"/>
      <c r="D60" s="67"/>
      <c r="E60" s="25" t="s">
        <v>20</v>
      </c>
      <c r="F60" s="46" t="s">
        <v>21</v>
      </c>
      <c r="G60" s="38" t="s">
        <v>40</v>
      </c>
      <c r="H60" s="38" t="s">
        <v>40</v>
      </c>
      <c r="I60" s="38" t="s">
        <v>40</v>
      </c>
      <c r="J60" s="38" t="s">
        <v>40</v>
      </c>
      <c r="K60" s="38" t="s">
        <v>40</v>
      </c>
      <c r="L60" s="38"/>
      <c r="M60" s="38" t="s">
        <v>40</v>
      </c>
      <c r="N60" s="38" t="s">
        <v>40</v>
      </c>
      <c r="O60" s="38" t="s">
        <v>40</v>
      </c>
      <c r="P60" s="38" t="s">
        <v>40</v>
      </c>
      <c r="Q60" s="38" t="s">
        <v>40</v>
      </c>
      <c r="R60" s="38" t="s">
        <v>40</v>
      </c>
      <c r="S60" s="9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9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10"/>
      <c r="AS60" s="9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10"/>
    </row>
    <row r="61" spans="1:57" customFormat="1" ht="38" thickBot="1" x14ac:dyDescent="0.4">
      <c r="A61" s="1"/>
      <c r="B61" s="72"/>
      <c r="C61" s="65"/>
      <c r="D61" s="68"/>
      <c r="E61" s="20" t="s">
        <v>22</v>
      </c>
      <c r="F61" s="47" t="s">
        <v>53</v>
      </c>
      <c r="G61" s="57" t="e">
        <f>#N/A</f>
        <v>#N/A</v>
      </c>
      <c r="H61" s="57" t="e">
        <f>#N/A</f>
        <v>#N/A</v>
      </c>
      <c r="I61" s="57" t="e">
        <f>#N/A</f>
        <v>#N/A</v>
      </c>
      <c r="J61" s="57" t="e">
        <f>#N/A</f>
        <v>#N/A</v>
      </c>
      <c r="K61" s="57" t="str">
        <f>IF(K57=3,"alarm",IF(K57=4,"alarm",IF(K57=5,"alarm",IF(K57=2,"normal",IF(K57=1,"normal",IF(K57&gt;=6,"high",IF(ISBLANK(K57),"standby")))))))</f>
        <v>normal</v>
      </c>
      <c r="L61" s="57" t="e">
        <f>#N/A</f>
        <v>#N/A</v>
      </c>
      <c r="M61" s="57" t="e">
        <f>#N/A</f>
        <v>#N/A</v>
      </c>
      <c r="N61" s="57" t="e">
        <f>#N/A</f>
        <v>#N/A</v>
      </c>
      <c r="O61" s="57" t="e">
        <f>#N/A</f>
        <v>#N/A</v>
      </c>
      <c r="P61" s="57" t="e">
        <f>#N/A</f>
        <v>#N/A</v>
      </c>
      <c r="Q61" s="57" t="e">
        <f>#N/A</f>
        <v>#N/A</v>
      </c>
      <c r="R61" s="57" t="e">
        <f>#N/A</f>
        <v>#N/A</v>
      </c>
      <c r="S61" s="12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2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3"/>
      <c r="AS61" s="12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3"/>
    </row>
    <row r="62" spans="1:57" customFormat="1" ht="18" customHeight="1" x14ac:dyDescent="0.35">
      <c r="A62" s="1"/>
      <c r="B62" s="63">
        <v>4</v>
      </c>
      <c r="C62" s="63" t="s">
        <v>58</v>
      </c>
      <c r="D62" s="66" t="s">
        <v>59</v>
      </c>
      <c r="E62" s="58"/>
      <c r="F62" s="59"/>
      <c r="G62" s="51" t="s">
        <v>33</v>
      </c>
      <c r="H62" s="51" t="s">
        <v>25</v>
      </c>
      <c r="I62" s="51" t="s">
        <v>28</v>
      </c>
      <c r="J62" s="51" t="s">
        <v>2</v>
      </c>
      <c r="K62" s="51" t="s">
        <v>29</v>
      </c>
      <c r="L62" s="51" t="s">
        <v>27</v>
      </c>
      <c r="M62" s="51" t="s">
        <v>26</v>
      </c>
      <c r="N62" s="51" t="s">
        <v>23</v>
      </c>
      <c r="O62" s="51" t="s">
        <v>32</v>
      </c>
      <c r="P62" s="54" t="s">
        <v>31</v>
      </c>
      <c r="Q62" s="51" t="s">
        <v>30</v>
      </c>
      <c r="R62" s="51" t="s">
        <v>24</v>
      </c>
      <c r="S62" s="6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6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7"/>
      <c r="AS62" s="6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7"/>
    </row>
    <row r="63" spans="1:57" customFormat="1" ht="16" customHeight="1" x14ac:dyDescent="0.35">
      <c r="A63" s="1"/>
      <c r="B63" s="64"/>
      <c r="C63" s="64"/>
      <c r="D63" s="67"/>
      <c r="E63" s="25" t="s">
        <v>1</v>
      </c>
      <c r="F63" s="21" t="s">
        <v>52</v>
      </c>
      <c r="G63" s="28"/>
      <c r="H63" s="27"/>
      <c r="I63" s="27"/>
      <c r="J63" s="28"/>
      <c r="K63" s="28"/>
      <c r="L63" s="28">
        <v>74.5</v>
      </c>
      <c r="M63" s="28"/>
      <c r="N63" s="28"/>
      <c r="O63" s="22"/>
      <c r="P63" s="55">
        <v>75.599999999999994</v>
      </c>
      <c r="Q63" s="22"/>
      <c r="R63" s="22"/>
      <c r="S63" s="9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9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10"/>
      <c r="AS63" s="9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10"/>
    </row>
    <row r="64" spans="1:57" customFormat="1" ht="16" customHeight="1" x14ac:dyDescent="0.35">
      <c r="A64" s="1"/>
      <c r="B64" s="64"/>
      <c r="C64" s="64"/>
      <c r="D64" s="67"/>
      <c r="E64" s="25" t="s">
        <v>3</v>
      </c>
      <c r="F64" s="26" t="s">
        <v>4</v>
      </c>
      <c r="G64" s="28"/>
      <c r="H64" s="60"/>
      <c r="I64" s="27"/>
      <c r="J64" s="28"/>
      <c r="K64" s="28"/>
      <c r="L64" s="28">
        <v>107</v>
      </c>
      <c r="M64" s="28"/>
      <c r="N64" s="28"/>
      <c r="O64" s="22"/>
      <c r="P64" s="29">
        <v>109.1</v>
      </c>
      <c r="Q64" s="28"/>
      <c r="R64" s="28"/>
      <c r="S64" s="9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9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10"/>
      <c r="AS64" s="9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10"/>
    </row>
    <row r="65" spans="1:57" customFormat="1" ht="16" customHeight="1" x14ac:dyDescent="0.35">
      <c r="A65" s="1"/>
      <c r="B65" s="64"/>
      <c r="C65" s="64"/>
      <c r="D65" s="67"/>
      <c r="E65" s="25" t="s">
        <v>5</v>
      </c>
      <c r="F65" s="26" t="s">
        <v>4</v>
      </c>
      <c r="G65" s="28"/>
      <c r="H65" s="60"/>
      <c r="I65" s="27"/>
      <c r="J65" s="28"/>
      <c r="K65" s="28"/>
      <c r="L65" s="28">
        <v>107.8</v>
      </c>
      <c r="M65" s="28"/>
      <c r="N65" s="28"/>
      <c r="O65" s="22"/>
      <c r="P65" s="29">
        <v>110.3</v>
      </c>
      <c r="Q65" s="28"/>
      <c r="R65" s="28"/>
      <c r="S65" s="9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9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10"/>
      <c r="AS65" s="9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10"/>
    </row>
    <row r="66" spans="1:57" customFormat="1" ht="16" customHeight="1" x14ac:dyDescent="0.35">
      <c r="A66" s="1"/>
      <c r="B66" s="64"/>
      <c r="C66" s="64"/>
      <c r="D66" s="67"/>
      <c r="E66" s="25" t="s">
        <v>6</v>
      </c>
      <c r="F66" s="26" t="s">
        <v>4</v>
      </c>
      <c r="G66" s="28"/>
      <c r="H66" s="60"/>
      <c r="I66" s="27"/>
      <c r="J66" s="28"/>
      <c r="K66" s="28"/>
      <c r="L66" s="28">
        <v>104.9</v>
      </c>
      <c r="M66" s="28"/>
      <c r="N66" s="28"/>
      <c r="O66" s="22"/>
      <c r="P66" s="29">
        <v>107.3</v>
      </c>
      <c r="Q66" s="28"/>
      <c r="R66" s="28"/>
      <c r="S66" s="9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9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10"/>
      <c r="AS66" s="9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10"/>
    </row>
    <row r="67" spans="1:57" customFormat="1" ht="16" customHeight="1" x14ac:dyDescent="0.35">
      <c r="A67" s="1"/>
      <c r="B67" s="64"/>
      <c r="C67" s="64"/>
      <c r="D67" s="67"/>
      <c r="E67" s="25" t="s">
        <v>7</v>
      </c>
      <c r="F67" s="21" t="s">
        <v>8</v>
      </c>
      <c r="G67" s="31"/>
      <c r="H67" s="35"/>
      <c r="I67" s="35"/>
      <c r="J67" s="31"/>
      <c r="K67" s="31"/>
      <c r="L67" s="31">
        <v>1.6</v>
      </c>
      <c r="M67" s="31"/>
      <c r="N67" s="31"/>
      <c r="O67" s="31"/>
      <c r="P67" s="36">
        <v>1.5</v>
      </c>
      <c r="Q67" s="31"/>
      <c r="R67" s="31"/>
      <c r="S67" s="9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9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10"/>
      <c r="AS67" s="9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10"/>
    </row>
    <row r="68" spans="1:57" customFormat="1" ht="16" customHeight="1" x14ac:dyDescent="0.35">
      <c r="A68" s="1"/>
      <c r="B68" s="64"/>
      <c r="C68" s="64"/>
      <c r="D68" s="67"/>
      <c r="E68" s="25" t="s">
        <v>9</v>
      </c>
      <c r="F68" s="33" t="s">
        <v>10</v>
      </c>
      <c r="G68" s="28"/>
      <c r="H68" s="27"/>
      <c r="I68" s="27"/>
      <c r="J68" s="29"/>
      <c r="K68" s="29"/>
      <c r="L68" s="29">
        <v>384.2</v>
      </c>
      <c r="M68" s="29"/>
      <c r="N68" s="29"/>
      <c r="O68" s="29"/>
      <c r="P68" s="29">
        <v>385.5</v>
      </c>
      <c r="Q68" s="28"/>
      <c r="R68" s="28"/>
      <c r="S68" s="9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9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10"/>
      <c r="AS68" s="9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10"/>
    </row>
    <row r="69" spans="1:57" customFormat="1" ht="16" customHeight="1" x14ac:dyDescent="0.35">
      <c r="A69" s="1"/>
      <c r="B69" s="64"/>
      <c r="C69" s="64"/>
      <c r="D69" s="67"/>
      <c r="E69" s="25" t="s">
        <v>11</v>
      </c>
      <c r="F69" s="33" t="s">
        <v>10</v>
      </c>
      <c r="G69" s="28"/>
      <c r="H69" s="27"/>
      <c r="I69" s="27"/>
      <c r="J69" s="28"/>
      <c r="K69" s="28"/>
      <c r="L69" s="28">
        <v>384.4</v>
      </c>
      <c r="M69" s="28"/>
      <c r="N69" s="28"/>
      <c r="O69" s="28"/>
      <c r="P69" s="29">
        <v>385.7</v>
      </c>
      <c r="Q69" s="28"/>
      <c r="R69" s="28"/>
      <c r="S69" s="9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9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10"/>
      <c r="AS69" s="9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10"/>
    </row>
    <row r="70" spans="1:57" customFormat="1" ht="16" customHeight="1" x14ac:dyDescent="0.35">
      <c r="A70" s="1"/>
      <c r="B70" s="64"/>
      <c r="C70" s="64"/>
      <c r="D70" s="67"/>
      <c r="E70" s="25" t="s">
        <v>12</v>
      </c>
      <c r="F70" s="33" t="s">
        <v>10</v>
      </c>
      <c r="G70" s="28"/>
      <c r="H70" s="27"/>
      <c r="I70" s="27"/>
      <c r="J70" s="28"/>
      <c r="K70" s="28"/>
      <c r="L70" s="28">
        <v>383.4</v>
      </c>
      <c r="M70" s="28"/>
      <c r="N70" s="28"/>
      <c r="O70" s="28"/>
      <c r="P70" s="29">
        <v>384.8</v>
      </c>
      <c r="Q70" s="28"/>
      <c r="R70" s="28"/>
      <c r="S70" s="9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9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10"/>
      <c r="AS70" s="9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10"/>
    </row>
    <row r="71" spans="1:57" customFormat="1" ht="16" customHeight="1" x14ac:dyDescent="0.35">
      <c r="A71" s="1"/>
      <c r="B71" s="64"/>
      <c r="C71" s="64"/>
      <c r="D71" s="67"/>
      <c r="E71" s="25" t="s">
        <v>13</v>
      </c>
      <c r="F71" s="21" t="s">
        <v>14</v>
      </c>
      <c r="G71" s="31"/>
      <c r="H71" s="35"/>
      <c r="I71" s="35"/>
      <c r="J71" s="31"/>
      <c r="K71" s="31"/>
      <c r="L71" s="31">
        <v>0.2</v>
      </c>
      <c r="M71" s="31"/>
      <c r="N71" s="31"/>
      <c r="O71" s="31"/>
      <c r="P71" s="36">
        <v>0.1</v>
      </c>
      <c r="Q71" s="31"/>
      <c r="R71" s="31"/>
      <c r="S71" s="9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9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10"/>
      <c r="AS71" s="9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10"/>
    </row>
    <row r="72" spans="1:57" customFormat="1" ht="16" customHeight="1" x14ac:dyDescent="0.35">
      <c r="A72" s="1"/>
      <c r="B72" s="64"/>
      <c r="C72" s="64"/>
      <c r="D72" s="67"/>
      <c r="E72" s="37" t="s">
        <v>34</v>
      </c>
      <c r="F72" s="21" t="s">
        <v>35</v>
      </c>
      <c r="G72" s="31"/>
      <c r="H72" s="35"/>
      <c r="I72" s="35"/>
      <c r="J72" s="31"/>
      <c r="K72" s="31"/>
      <c r="L72" s="31">
        <v>0.85</v>
      </c>
      <c r="M72" s="31"/>
      <c r="N72" s="31"/>
      <c r="O72" s="31"/>
      <c r="P72" s="36">
        <v>0.84199999999999997</v>
      </c>
      <c r="Q72" s="31"/>
      <c r="R72" s="31"/>
      <c r="S72" s="9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9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10"/>
      <c r="AS72" s="9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10"/>
    </row>
    <row r="73" spans="1:57" customFormat="1" ht="16" customHeight="1" x14ac:dyDescent="0.35">
      <c r="A73" s="1"/>
      <c r="B73" s="64"/>
      <c r="C73" s="64"/>
      <c r="D73" s="67"/>
      <c r="E73" s="37" t="s">
        <v>36</v>
      </c>
      <c r="F73" s="21" t="s">
        <v>16</v>
      </c>
      <c r="G73" s="31"/>
      <c r="H73" s="35"/>
      <c r="I73" s="35"/>
      <c r="J73" s="31"/>
      <c r="K73" s="31"/>
      <c r="L73" s="31">
        <v>0.60499999999999998</v>
      </c>
      <c r="M73" s="31"/>
      <c r="N73" s="31"/>
      <c r="O73" s="31"/>
      <c r="P73" s="36">
        <v>0.77</v>
      </c>
      <c r="Q73" s="31"/>
      <c r="R73" s="31"/>
      <c r="S73" s="9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9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10"/>
      <c r="AS73" s="9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10"/>
    </row>
    <row r="74" spans="1:57" customFormat="1" ht="16" customHeight="1" x14ac:dyDescent="0.35">
      <c r="A74" s="1"/>
      <c r="B74" s="64"/>
      <c r="C74" s="64"/>
      <c r="D74" s="67"/>
      <c r="E74" s="37" t="s">
        <v>37</v>
      </c>
      <c r="F74" s="21" t="s">
        <v>38</v>
      </c>
      <c r="G74" s="31"/>
      <c r="H74" s="35"/>
      <c r="I74" s="35"/>
      <c r="J74" s="31"/>
      <c r="K74" s="31"/>
      <c r="L74" s="31">
        <v>0.65900000000000003</v>
      </c>
      <c r="M74" s="31"/>
      <c r="N74" s="31"/>
      <c r="O74" s="31"/>
      <c r="P74" s="36">
        <v>0.69299999999999995</v>
      </c>
      <c r="Q74" s="31"/>
      <c r="R74" s="31"/>
      <c r="S74" s="9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9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10"/>
      <c r="AS74" s="9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10"/>
    </row>
    <row r="75" spans="1:57" customFormat="1" ht="16" customHeight="1" x14ac:dyDescent="0.35">
      <c r="A75" s="1"/>
      <c r="B75" s="64"/>
      <c r="C75" s="64"/>
      <c r="D75" s="67"/>
      <c r="E75" s="37" t="s">
        <v>39</v>
      </c>
      <c r="F75" s="21"/>
      <c r="G75" s="38"/>
      <c r="H75" s="38"/>
      <c r="I75" s="38"/>
      <c r="J75" s="38"/>
      <c r="K75" s="38"/>
      <c r="L75" s="38">
        <v>60.25</v>
      </c>
      <c r="M75" s="38"/>
      <c r="N75" s="38"/>
      <c r="O75" s="38"/>
      <c r="P75" s="38">
        <v>61.2</v>
      </c>
      <c r="Q75" s="28"/>
      <c r="R75" s="32"/>
      <c r="S75" s="9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9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10"/>
      <c r="AS75" s="9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10"/>
    </row>
    <row r="76" spans="1:57" customFormat="1" ht="16" customHeight="1" x14ac:dyDescent="0.35">
      <c r="A76" s="1"/>
      <c r="B76" s="64"/>
      <c r="C76" s="64"/>
      <c r="D76" s="67"/>
      <c r="E76" s="37" t="s">
        <v>15</v>
      </c>
      <c r="F76" s="33" t="s">
        <v>16</v>
      </c>
      <c r="G76" s="39"/>
      <c r="H76" s="40"/>
      <c r="I76" s="40"/>
      <c r="J76" s="40"/>
      <c r="K76" s="40"/>
      <c r="L76" s="40">
        <v>1</v>
      </c>
      <c r="M76" s="40"/>
      <c r="N76" s="40"/>
      <c r="O76" s="39"/>
      <c r="P76" s="41">
        <v>1</v>
      </c>
      <c r="Q76" s="39"/>
      <c r="R76" s="39"/>
      <c r="S76" s="9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9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10"/>
      <c r="AS76" s="9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10"/>
    </row>
    <row r="77" spans="1:57" customFormat="1" ht="16" customHeight="1" x14ac:dyDescent="0.35">
      <c r="A77" s="1"/>
      <c r="B77" s="64"/>
      <c r="C77" s="64"/>
      <c r="D77" s="67"/>
      <c r="E77" s="25" t="s">
        <v>17</v>
      </c>
      <c r="F77" s="33" t="s">
        <v>18</v>
      </c>
      <c r="G77" s="27"/>
      <c r="H77" s="27"/>
      <c r="I77" s="27"/>
      <c r="J77" s="28"/>
      <c r="K77" s="28"/>
      <c r="L77" s="28">
        <v>-62.923000000000002</v>
      </c>
      <c r="M77" s="28"/>
      <c r="N77" s="28"/>
      <c r="O77" s="56"/>
      <c r="P77" s="28">
        <v>-61.863999999999997</v>
      </c>
      <c r="Q77" s="28"/>
      <c r="R77" s="28"/>
      <c r="S77" s="9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9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10"/>
      <c r="AS77" s="9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10"/>
    </row>
    <row r="78" spans="1:57" customFormat="1" ht="15.75" customHeight="1" x14ac:dyDescent="0.35">
      <c r="A78" s="1"/>
      <c r="B78" s="64"/>
      <c r="C78" s="64"/>
      <c r="D78" s="67"/>
      <c r="E78" s="25" t="s">
        <v>19</v>
      </c>
      <c r="F78" s="33" t="s">
        <v>18</v>
      </c>
      <c r="G78" s="27"/>
      <c r="H78" s="56"/>
      <c r="I78" s="27"/>
      <c r="J78" s="28"/>
      <c r="K78" s="28"/>
      <c r="L78" s="28">
        <v>-64.349999999999994</v>
      </c>
      <c r="M78" s="28"/>
      <c r="N78" s="28"/>
      <c r="O78" s="27"/>
      <c r="P78" s="28">
        <v>-63.392000000000003</v>
      </c>
      <c r="Q78" s="28"/>
      <c r="R78" s="28"/>
      <c r="S78" s="9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9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10"/>
      <c r="AS78" s="9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10"/>
    </row>
    <row r="79" spans="1:57" customFormat="1" ht="16" customHeight="1" x14ac:dyDescent="0.35">
      <c r="A79" s="1"/>
      <c r="B79" s="64"/>
      <c r="C79" s="64"/>
      <c r="D79" s="67"/>
      <c r="E79" s="25" t="s">
        <v>20</v>
      </c>
      <c r="F79" s="46" t="s">
        <v>21</v>
      </c>
      <c r="G79" s="38"/>
      <c r="H79" s="38"/>
      <c r="I79" s="29"/>
      <c r="J79" s="29"/>
      <c r="K79" s="29"/>
      <c r="L79" s="29" t="s">
        <v>40</v>
      </c>
      <c r="M79" s="29"/>
      <c r="N79" s="29"/>
      <c r="O79" s="38"/>
      <c r="P79" s="29" t="s">
        <v>40</v>
      </c>
      <c r="Q79" s="28"/>
      <c r="R79" s="28"/>
      <c r="S79" s="9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9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10"/>
      <c r="AS79" s="9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10"/>
    </row>
    <row r="80" spans="1:57" customFormat="1" ht="38" thickBot="1" x14ac:dyDescent="0.4">
      <c r="A80" s="1"/>
      <c r="B80" s="65"/>
      <c r="C80" s="65"/>
      <c r="D80" s="68"/>
      <c r="E80" s="25" t="s">
        <v>22</v>
      </c>
      <c r="F80" s="61" t="s">
        <v>53</v>
      </c>
      <c r="G80" s="57" t="e">
        <f>#N/A</f>
        <v>#N/A</v>
      </c>
      <c r="H80" s="48" t="e">
        <f>#N/A</f>
        <v>#N/A</v>
      </c>
      <c r="I80" s="48" t="e">
        <f>#N/A</f>
        <v>#N/A</v>
      </c>
      <c r="J80" s="48" t="e">
        <f>#N/A</f>
        <v>#N/A</v>
      </c>
      <c r="K80" s="48" t="e">
        <f>#N/A</f>
        <v>#N/A</v>
      </c>
      <c r="L80" s="48" t="e">
        <f>#N/A</f>
        <v>#N/A</v>
      </c>
      <c r="M80" s="48" t="e">
        <f>#N/A</f>
        <v>#N/A</v>
      </c>
      <c r="N80" s="48" t="e">
        <f>#N/A</f>
        <v>#N/A</v>
      </c>
      <c r="O80" s="57" t="e">
        <f>#N/A</f>
        <v>#N/A</v>
      </c>
      <c r="P80" s="48" t="e">
        <f>#N/A</f>
        <v>#N/A</v>
      </c>
      <c r="Q80" s="48" t="e">
        <f>#N/A</f>
        <v>#N/A</v>
      </c>
      <c r="R80" s="48" t="e">
        <f>#N/A</f>
        <v>#N/A</v>
      </c>
      <c r="S80" s="12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2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3"/>
      <c r="AS80" s="12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3"/>
    </row>
    <row r="81" spans="1:57" customFormat="1" ht="18" customHeight="1" x14ac:dyDescent="0.35">
      <c r="A81" s="1"/>
      <c r="B81" s="63">
        <v>5</v>
      </c>
      <c r="C81" s="66" t="s">
        <v>60</v>
      </c>
      <c r="D81" s="66" t="s">
        <v>61</v>
      </c>
      <c r="E81" s="58"/>
      <c r="F81" s="62"/>
      <c r="G81" s="51" t="s">
        <v>33</v>
      </c>
      <c r="H81" s="51" t="s">
        <v>25</v>
      </c>
      <c r="I81" s="51" t="s">
        <v>28</v>
      </c>
      <c r="J81" s="51" t="s">
        <v>2</v>
      </c>
      <c r="K81" s="51" t="s">
        <v>29</v>
      </c>
      <c r="L81" s="51" t="s">
        <v>27</v>
      </c>
      <c r="M81" s="51" t="s">
        <v>26</v>
      </c>
      <c r="N81" s="51" t="s">
        <v>23</v>
      </c>
      <c r="O81" s="51" t="s">
        <v>32</v>
      </c>
      <c r="P81" s="54" t="s">
        <v>31</v>
      </c>
      <c r="Q81" s="51" t="s">
        <v>30</v>
      </c>
      <c r="R81" s="51" t="s">
        <v>24</v>
      </c>
      <c r="S81" s="6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6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7"/>
      <c r="AS81" s="6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7"/>
    </row>
    <row r="82" spans="1:57" customFormat="1" ht="16" customHeight="1" x14ac:dyDescent="0.35">
      <c r="A82" s="1"/>
      <c r="B82" s="64"/>
      <c r="C82" s="67"/>
      <c r="D82" s="67"/>
      <c r="E82" s="25" t="s">
        <v>1</v>
      </c>
      <c r="F82" s="21" t="s">
        <v>52</v>
      </c>
      <c r="G82" s="28">
        <v>94.2</v>
      </c>
      <c r="H82" s="28">
        <v>94.3</v>
      </c>
      <c r="I82" s="27">
        <v>86.1</v>
      </c>
      <c r="J82" s="28">
        <v>85.9</v>
      </c>
      <c r="K82" s="28">
        <v>88.9</v>
      </c>
      <c r="L82" s="28">
        <v>88.9</v>
      </c>
      <c r="M82" s="28">
        <v>89.4</v>
      </c>
      <c r="N82" s="28">
        <v>88.6</v>
      </c>
      <c r="O82" s="22">
        <v>88.5</v>
      </c>
      <c r="P82" s="55">
        <v>88.6</v>
      </c>
      <c r="Q82" s="22">
        <v>88.1</v>
      </c>
      <c r="R82" s="22">
        <v>88.4</v>
      </c>
      <c r="S82" s="9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9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10"/>
      <c r="AS82" s="9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10"/>
    </row>
    <row r="83" spans="1:57" customFormat="1" ht="16" customHeight="1" x14ac:dyDescent="0.35">
      <c r="A83" s="1"/>
      <c r="B83" s="64"/>
      <c r="C83" s="67"/>
      <c r="D83" s="67"/>
      <c r="E83" s="25" t="s">
        <v>3</v>
      </c>
      <c r="F83" s="26" t="s">
        <v>4</v>
      </c>
      <c r="G83" s="28">
        <v>129.1</v>
      </c>
      <c r="H83" s="30">
        <v>129.9</v>
      </c>
      <c r="I83" s="27">
        <v>125.9</v>
      </c>
      <c r="J83" s="28">
        <v>126.1</v>
      </c>
      <c r="K83" s="28">
        <v>121.5</v>
      </c>
      <c r="L83" s="28">
        <v>121.5</v>
      </c>
      <c r="M83" s="28">
        <v>121.6</v>
      </c>
      <c r="N83" s="28">
        <v>120.8</v>
      </c>
      <c r="O83" s="22">
        <v>120.6</v>
      </c>
      <c r="P83" s="29">
        <v>120.5</v>
      </c>
      <c r="Q83" s="28">
        <v>119.9</v>
      </c>
      <c r="R83" s="28">
        <v>121.3</v>
      </c>
      <c r="S83" s="9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9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10"/>
      <c r="AS83" s="9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10"/>
    </row>
    <row r="84" spans="1:57" customFormat="1" ht="16" customHeight="1" x14ac:dyDescent="0.35">
      <c r="A84" s="1"/>
      <c r="B84" s="64"/>
      <c r="C84" s="67"/>
      <c r="D84" s="67"/>
      <c r="E84" s="25" t="s">
        <v>5</v>
      </c>
      <c r="F84" s="26" t="s">
        <v>4</v>
      </c>
      <c r="G84" s="28">
        <v>131.9</v>
      </c>
      <c r="H84" s="30">
        <v>131</v>
      </c>
      <c r="I84" s="27">
        <v>126.3</v>
      </c>
      <c r="J84" s="28">
        <v>127</v>
      </c>
      <c r="K84" s="28">
        <v>121.5</v>
      </c>
      <c r="L84" s="28">
        <v>121.5</v>
      </c>
      <c r="M84" s="28">
        <v>122.2</v>
      </c>
      <c r="N84" s="28">
        <v>121.5</v>
      </c>
      <c r="O84" s="22">
        <v>121.4</v>
      </c>
      <c r="P84" s="29">
        <v>120.9</v>
      </c>
      <c r="Q84" s="28">
        <v>120.6</v>
      </c>
      <c r="R84" s="28">
        <v>121.9</v>
      </c>
      <c r="S84" s="9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9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10"/>
      <c r="AS84" s="9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10"/>
    </row>
    <row r="85" spans="1:57" customFormat="1" ht="16" customHeight="1" x14ac:dyDescent="0.35">
      <c r="A85" s="1"/>
      <c r="B85" s="64"/>
      <c r="C85" s="67"/>
      <c r="D85" s="67"/>
      <c r="E85" s="25" t="s">
        <v>6</v>
      </c>
      <c r="F85" s="26" t="s">
        <v>4</v>
      </c>
      <c r="G85" s="28">
        <v>127.4</v>
      </c>
      <c r="H85" s="30">
        <v>128.6</v>
      </c>
      <c r="I85" s="27">
        <v>126.4</v>
      </c>
      <c r="J85" s="28">
        <v>125.5</v>
      </c>
      <c r="K85" s="28">
        <v>120.8</v>
      </c>
      <c r="L85" s="28">
        <v>120.8</v>
      </c>
      <c r="M85" s="28">
        <v>121.4</v>
      </c>
      <c r="N85" s="28">
        <v>120.7</v>
      </c>
      <c r="O85" s="22">
        <v>120.5</v>
      </c>
      <c r="P85" s="29">
        <v>120.2</v>
      </c>
      <c r="Q85" s="28">
        <v>120.2</v>
      </c>
      <c r="R85" s="28">
        <v>121.2</v>
      </c>
      <c r="S85" s="9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9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10"/>
      <c r="AS85" s="9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10"/>
    </row>
    <row r="86" spans="1:57" customFormat="1" ht="16" customHeight="1" x14ac:dyDescent="0.35">
      <c r="A86" s="1"/>
      <c r="B86" s="64"/>
      <c r="C86" s="67"/>
      <c r="D86" s="67"/>
      <c r="E86" s="25" t="s">
        <v>7</v>
      </c>
      <c r="F86" s="21" t="s">
        <v>8</v>
      </c>
      <c r="G86" s="31">
        <v>1.9</v>
      </c>
      <c r="H86" s="35">
        <v>0.9</v>
      </c>
      <c r="I86" s="35">
        <v>0.2</v>
      </c>
      <c r="J86" s="31">
        <v>0.6</v>
      </c>
      <c r="K86" s="31">
        <v>0.4</v>
      </c>
      <c r="L86" s="31">
        <v>0.4</v>
      </c>
      <c r="M86" s="31">
        <v>0.4</v>
      </c>
      <c r="N86" s="31">
        <v>0.4</v>
      </c>
      <c r="O86" s="31">
        <v>0.5</v>
      </c>
      <c r="P86" s="36">
        <v>0.3</v>
      </c>
      <c r="Q86" s="31">
        <v>0.3</v>
      </c>
      <c r="R86" s="31">
        <v>0.4</v>
      </c>
      <c r="S86" s="9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9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10"/>
      <c r="AS86" s="9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10"/>
    </row>
    <row r="87" spans="1:57" customFormat="1" ht="16" customHeight="1" x14ac:dyDescent="0.35">
      <c r="A87" s="1"/>
      <c r="B87" s="64"/>
      <c r="C87" s="67"/>
      <c r="D87" s="67"/>
      <c r="E87" s="25" t="s">
        <v>9</v>
      </c>
      <c r="F87" s="33" t="s">
        <v>10</v>
      </c>
      <c r="G87" s="28">
        <v>386.3</v>
      </c>
      <c r="H87" s="27">
        <v>386.8</v>
      </c>
      <c r="I87" s="27">
        <v>386.2</v>
      </c>
      <c r="J87" s="29">
        <v>383.8</v>
      </c>
      <c r="K87" s="29">
        <v>384.6</v>
      </c>
      <c r="L87" s="29">
        <v>384.6</v>
      </c>
      <c r="M87" s="29">
        <v>384.9</v>
      </c>
      <c r="N87" s="29">
        <v>384.3</v>
      </c>
      <c r="O87" s="29">
        <v>384.4</v>
      </c>
      <c r="P87" s="29">
        <v>385.8</v>
      </c>
      <c r="Q87" s="28">
        <v>384.3</v>
      </c>
      <c r="R87" s="28">
        <v>381.5</v>
      </c>
      <c r="S87" s="9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9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10"/>
      <c r="AS87" s="9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10"/>
    </row>
    <row r="88" spans="1:57" customFormat="1" ht="16" customHeight="1" x14ac:dyDescent="0.35">
      <c r="A88" s="1"/>
      <c r="B88" s="64"/>
      <c r="C88" s="67"/>
      <c r="D88" s="67"/>
      <c r="E88" s="25" t="s">
        <v>11</v>
      </c>
      <c r="F88" s="33" t="s">
        <v>10</v>
      </c>
      <c r="G88" s="28">
        <v>386.4</v>
      </c>
      <c r="H88" s="27">
        <v>387.1</v>
      </c>
      <c r="I88" s="27">
        <v>386.2</v>
      </c>
      <c r="J88" s="28">
        <v>382.6</v>
      </c>
      <c r="K88" s="28">
        <v>384.6</v>
      </c>
      <c r="L88" s="28">
        <v>384.6</v>
      </c>
      <c r="M88" s="28">
        <v>385.1</v>
      </c>
      <c r="N88" s="28">
        <v>384.6</v>
      </c>
      <c r="O88" s="28">
        <v>384.6</v>
      </c>
      <c r="P88" s="29">
        <v>385.9</v>
      </c>
      <c r="Q88" s="28">
        <v>384.6</v>
      </c>
      <c r="R88" s="28">
        <v>381.8</v>
      </c>
      <c r="S88" s="9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9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10"/>
      <c r="AS88" s="9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10"/>
    </row>
    <row r="89" spans="1:57" customFormat="1" ht="16" customHeight="1" x14ac:dyDescent="0.35">
      <c r="A89" s="1"/>
      <c r="B89" s="64"/>
      <c r="C89" s="67"/>
      <c r="D89" s="67"/>
      <c r="E89" s="25" t="s">
        <v>12</v>
      </c>
      <c r="F89" s="33" t="s">
        <v>10</v>
      </c>
      <c r="G89" s="28">
        <v>385.8</v>
      </c>
      <c r="H89" s="27">
        <v>386.4</v>
      </c>
      <c r="I89" s="27">
        <v>385.9</v>
      </c>
      <c r="J89" s="28">
        <v>381.8</v>
      </c>
      <c r="K89" s="28">
        <v>383.9</v>
      </c>
      <c r="L89" s="28">
        <v>383.9</v>
      </c>
      <c r="M89" s="28">
        <v>384.3</v>
      </c>
      <c r="N89" s="28">
        <v>383.8</v>
      </c>
      <c r="O89" s="28">
        <v>383.9</v>
      </c>
      <c r="P89" s="29">
        <v>385.2</v>
      </c>
      <c r="Q89" s="28">
        <v>384</v>
      </c>
      <c r="R89" s="28">
        <v>381</v>
      </c>
      <c r="S89" s="9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9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10"/>
      <c r="AS89" s="9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10"/>
    </row>
    <row r="90" spans="1:57" customFormat="1" ht="16" customHeight="1" x14ac:dyDescent="0.35">
      <c r="A90" s="1"/>
      <c r="B90" s="64"/>
      <c r="C90" s="67"/>
      <c r="D90" s="67"/>
      <c r="E90" s="25" t="s">
        <v>13</v>
      </c>
      <c r="F90" s="21" t="s">
        <v>14</v>
      </c>
      <c r="G90" s="31">
        <v>0.1</v>
      </c>
      <c r="H90" s="35">
        <v>0.1</v>
      </c>
      <c r="I90" s="35">
        <v>0.1</v>
      </c>
      <c r="J90" s="31">
        <v>0.2</v>
      </c>
      <c r="K90" s="31">
        <v>0.1</v>
      </c>
      <c r="L90" s="31">
        <v>0.1</v>
      </c>
      <c r="M90" s="31">
        <v>0.1</v>
      </c>
      <c r="N90" s="31">
        <v>0.1</v>
      </c>
      <c r="O90" s="31">
        <v>0.1</v>
      </c>
      <c r="P90" s="36">
        <v>0.1</v>
      </c>
      <c r="Q90" s="31">
        <v>0.1</v>
      </c>
      <c r="R90" s="31">
        <v>0.1</v>
      </c>
      <c r="S90" s="9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9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10"/>
      <c r="AS90" s="9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10"/>
    </row>
    <row r="91" spans="1:57" customFormat="1" ht="16" customHeight="1" x14ac:dyDescent="0.35">
      <c r="A91" s="1"/>
      <c r="B91" s="64"/>
      <c r="C91" s="67"/>
      <c r="D91" s="67"/>
      <c r="E91" s="37" t="s">
        <v>34</v>
      </c>
      <c r="F91" s="21" t="s">
        <v>35</v>
      </c>
      <c r="G91" s="31">
        <v>0.874</v>
      </c>
      <c r="H91" s="35">
        <v>0.872</v>
      </c>
      <c r="I91" s="35">
        <v>0.82</v>
      </c>
      <c r="J91" s="31">
        <v>0.82599999999999996</v>
      </c>
      <c r="K91" s="31">
        <v>0.88500000000000001</v>
      </c>
      <c r="L91" s="31">
        <v>0.88500000000000001</v>
      </c>
      <c r="M91" s="31">
        <v>0.88500000000000001</v>
      </c>
      <c r="N91" s="31">
        <v>0.88500000000000001</v>
      </c>
      <c r="O91" s="31">
        <v>0.88500000000000001</v>
      </c>
      <c r="P91" s="36">
        <v>0.88400000000000001</v>
      </c>
      <c r="Q91" s="31">
        <v>0.88400000000000001</v>
      </c>
      <c r="R91" s="31">
        <v>0.88600000000000001</v>
      </c>
      <c r="S91" s="9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9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10"/>
      <c r="AS91" s="9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10"/>
    </row>
    <row r="92" spans="1:57" customFormat="1" ht="16" customHeight="1" x14ac:dyDescent="0.35">
      <c r="A92" s="1"/>
      <c r="B92" s="64"/>
      <c r="C92" s="67"/>
      <c r="D92" s="67"/>
      <c r="E92" s="37" t="s">
        <v>36</v>
      </c>
      <c r="F92" s="21" t="s">
        <v>16</v>
      </c>
      <c r="G92" s="31">
        <v>0.41299999999999998</v>
      </c>
      <c r="H92" s="35">
        <v>0.52700000000000002</v>
      </c>
      <c r="I92" s="35">
        <v>0.377</v>
      </c>
      <c r="J92" s="31">
        <v>0.32100000000000001</v>
      </c>
      <c r="K92" s="31">
        <v>0.50800000000000001</v>
      </c>
      <c r="L92" s="31">
        <v>0.50800000000000001</v>
      </c>
      <c r="M92" s="31">
        <v>0.48399999999999999</v>
      </c>
      <c r="N92" s="31">
        <v>0.57099999999999995</v>
      </c>
      <c r="O92" s="31">
        <v>0.52200000000000002</v>
      </c>
      <c r="P92" s="36">
        <v>0.57399999999999995</v>
      </c>
      <c r="Q92" s="31">
        <v>0.55800000000000005</v>
      </c>
      <c r="R92" s="31">
        <v>0.66500000000000004</v>
      </c>
      <c r="S92" s="9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9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10"/>
      <c r="AS92" s="9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10"/>
    </row>
    <row r="93" spans="1:57" customFormat="1" ht="16" customHeight="1" x14ac:dyDescent="0.35">
      <c r="A93" s="1"/>
      <c r="B93" s="64"/>
      <c r="C93" s="67"/>
      <c r="D93" s="67"/>
      <c r="E93" s="37" t="s">
        <v>37</v>
      </c>
      <c r="F93" s="21" t="s">
        <v>38</v>
      </c>
      <c r="G93" s="31">
        <v>0.73499999999999999</v>
      </c>
      <c r="H93" s="35">
        <v>0.79400000000000004</v>
      </c>
      <c r="I93" s="35">
        <v>0.70399999999999996</v>
      </c>
      <c r="J93" s="31">
        <v>0.66700000000000004</v>
      </c>
      <c r="K93" s="31">
        <v>0.73199999999999998</v>
      </c>
      <c r="L93" s="31">
        <v>0.73199999999999998</v>
      </c>
      <c r="M93" s="31">
        <v>0.64400000000000002</v>
      </c>
      <c r="N93" s="31">
        <v>0.69599999999999995</v>
      </c>
      <c r="O93" s="31">
        <v>0.68899999999999995</v>
      </c>
      <c r="P93" s="36">
        <v>0.70199999999999996</v>
      </c>
      <c r="Q93" s="31">
        <v>0.69199999999999995</v>
      </c>
      <c r="R93" s="31">
        <v>0.73099999999999998</v>
      </c>
      <c r="S93" s="9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9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10"/>
      <c r="AS93" s="9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10"/>
    </row>
    <row r="94" spans="1:57" customFormat="1" ht="16" customHeight="1" x14ac:dyDescent="0.35">
      <c r="A94" s="1"/>
      <c r="B94" s="64"/>
      <c r="C94" s="67"/>
      <c r="D94" s="67"/>
      <c r="E94" s="37" t="s">
        <v>39</v>
      </c>
      <c r="F94" s="21"/>
      <c r="G94" s="38">
        <v>75.67</v>
      </c>
      <c r="H94" s="38">
        <v>75.790000000000006</v>
      </c>
      <c r="I94" s="38">
        <v>69.17</v>
      </c>
      <c r="J94" s="38">
        <v>69.040000000000006</v>
      </c>
      <c r="K94" s="38">
        <v>71.47</v>
      </c>
      <c r="L94" s="38">
        <v>71.47</v>
      </c>
      <c r="M94" s="38">
        <v>71.8</v>
      </c>
      <c r="N94" s="38">
        <v>71.23</v>
      </c>
      <c r="O94" s="38">
        <v>71.13</v>
      </c>
      <c r="P94" s="38">
        <v>71.17</v>
      </c>
      <c r="Q94" s="28">
        <v>70.760000000000005</v>
      </c>
      <c r="R94" s="28">
        <v>71.069999999999993</v>
      </c>
      <c r="S94" s="9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9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10"/>
      <c r="AS94" s="9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10"/>
    </row>
    <row r="95" spans="1:57" customFormat="1" ht="16" customHeight="1" x14ac:dyDescent="0.35">
      <c r="A95" s="1"/>
      <c r="B95" s="64"/>
      <c r="C95" s="67"/>
      <c r="D95" s="67"/>
      <c r="E95" s="37" t="s">
        <v>15</v>
      </c>
      <c r="F95" s="33" t="s">
        <v>16</v>
      </c>
      <c r="G95" s="39">
        <v>1</v>
      </c>
      <c r="H95" s="40">
        <v>1</v>
      </c>
      <c r="I95" s="40">
        <v>1</v>
      </c>
      <c r="J95" s="40">
        <v>1</v>
      </c>
      <c r="K95" s="40">
        <v>1</v>
      </c>
      <c r="L95" s="40">
        <v>1</v>
      </c>
      <c r="M95" s="40">
        <v>2</v>
      </c>
      <c r="N95" s="40">
        <v>1</v>
      </c>
      <c r="O95" s="40">
        <v>1</v>
      </c>
      <c r="P95" s="41">
        <v>1</v>
      </c>
      <c r="Q95" s="39">
        <v>1</v>
      </c>
      <c r="R95" s="39">
        <v>2</v>
      </c>
      <c r="S95" s="9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9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10"/>
      <c r="AS95" s="9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10"/>
    </row>
    <row r="96" spans="1:57" customFormat="1" ht="16" customHeight="1" x14ac:dyDescent="0.35">
      <c r="A96" s="1"/>
      <c r="B96" s="64"/>
      <c r="C96" s="67"/>
      <c r="D96" s="67"/>
      <c r="E96" s="25" t="s">
        <v>17</v>
      </c>
      <c r="F96" s="33" t="s">
        <v>18</v>
      </c>
      <c r="G96" s="29">
        <v>-100</v>
      </c>
      <c r="H96" s="28">
        <v>-57.220999999999997</v>
      </c>
      <c r="I96" s="27">
        <v>-62.851999999999997</v>
      </c>
      <c r="J96" s="28">
        <v>-61.86</v>
      </c>
      <c r="K96" s="28">
        <v>-100</v>
      </c>
      <c r="L96" s="28">
        <v>-100</v>
      </c>
      <c r="M96" s="28">
        <v>-56.726999999999997</v>
      </c>
      <c r="N96" s="28">
        <v>-60.18</v>
      </c>
      <c r="O96" s="28">
        <v>-62.648000000000003</v>
      </c>
      <c r="P96" s="28">
        <v>-60.673000000000002</v>
      </c>
      <c r="Q96" s="28">
        <v>-100</v>
      </c>
      <c r="R96" s="28">
        <v>-57.72</v>
      </c>
      <c r="S96" s="9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9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10"/>
      <c r="AS96" s="9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10"/>
    </row>
    <row r="97" spans="1:57" customFormat="1" ht="15.75" customHeight="1" x14ac:dyDescent="0.35">
      <c r="A97" s="1"/>
      <c r="B97" s="64"/>
      <c r="C97" s="67"/>
      <c r="D97" s="67"/>
      <c r="E97" s="25" t="s">
        <v>19</v>
      </c>
      <c r="F97" s="33" t="s">
        <v>18</v>
      </c>
      <c r="G97" s="28">
        <v>-60.732999999999997</v>
      </c>
      <c r="H97" s="28">
        <v>-61.771999999999998</v>
      </c>
      <c r="I97" s="27">
        <v>-60.771999999999998</v>
      </c>
      <c r="J97" s="28">
        <v>-63.009</v>
      </c>
      <c r="K97" s="28">
        <v>-100</v>
      </c>
      <c r="L97" s="28">
        <v>-100</v>
      </c>
      <c r="M97" s="28">
        <v>-57.244999999999997</v>
      </c>
      <c r="N97" s="28">
        <v>-60.249000000000002</v>
      </c>
      <c r="O97" s="28">
        <v>-60.094000000000001</v>
      </c>
      <c r="P97" s="28">
        <v>-61.173999999999999</v>
      </c>
      <c r="Q97" s="28">
        <v>-100</v>
      </c>
      <c r="R97" s="28">
        <v>-58.411000000000001</v>
      </c>
      <c r="S97" s="9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9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10"/>
      <c r="AS97" s="9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10"/>
    </row>
    <row r="98" spans="1:57" customFormat="1" ht="16" customHeight="1" x14ac:dyDescent="0.35">
      <c r="A98" s="1"/>
      <c r="B98" s="64"/>
      <c r="C98" s="67"/>
      <c r="D98" s="67"/>
      <c r="E98" s="25" t="s">
        <v>20</v>
      </c>
      <c r="F98" s="46" t="s">
        <v>21</v>
      </c>
      <c r="G98" s="38" t="s">
        <v>40</v>
      </c>
      <c r="H98" s="38" t="s">
        <v>40</v>
      </c>
      <c r="I98" s="29" t="s">
        <v>40</v>
      </c>
      <c r="J98" s="29" t="s">
        <v>40</v>
      </c>
      <c r="K98" s="29" t="s">
        <v>40</v>
      </c>
      <c r="L98" s="29" t="s">
        <v>40</v>
      </c>
      <c r="M98" s="29" t="s">
        <v>40</v>
      </c>
      <c r="N98" s="29" t="s">
        <v>40</v>
      </c>
      <c r="O98" s="29" t="s">
        <v>40</v>
      </c>
      <c r="P98" s="29" t="s">
        <v>40</v>
      </c>
      <c r="Q98" s="28" t="s">
        <v>40</v>
      </c>
      <c r="R98" s="28" t="s">
        <v>40</v>
      </c>
      <c r="S98" s="9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9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10"/>
      <c r="AS98" s="9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10"/>
    </row>
    <row r="99" spans="1:57" customFormat="1" ht="38" thickBot="1" x14ac:dyDescent="0.4">
      <c r="A99" s="1"/>
      <c r="B99" s="65"/>
      <c r="C99" s="68"/>
      <c r="D99" s="68"/>
      <c r="E99" s="25" t="s">
        <v>22</v>
      </c>
      <c r="F99" s="61" t="s">
        <v>53</v>
      </c>
      <c r="G99" s="48" t="e">
        <f>#N/A</f>
        <v>#N/A</v>
      </c>
      <c r="H99" s="48" t="e">
        <f>#N/A</f>
        <v>#N/A</v>
      </c>
      <c r="I99" s="48" t="e">
        <f>#N/A</f>
        <v>#N/A</v>
      </c>
      <c r="J99" s="48" t="e">
        <f>#N/A</f>
        <v>#N/A</v>
      </c>
      <c r="K99" s="48" t="e">
        <f>#N/A</f>
        <v>#N/A</v>
      </c>
      <c r="L99" s="48" t="str">
        <f>IF(L95=3,"alarm",IF(L95=4,"alarm",IF(L95=5,"alarm",IF(L95=2,"normal",IF(L95=1,"normal",IF(L95&gt;=6,"high",IF(ISBLANK(L95),"standby")))))))</f>
        <v>normal</v>
      </c>
      <c r="M99" s="48" t="e">
        <f>#N/A</f>
        <v>#N/A</v>
      </c>
      <c r="N99" s="48" t="e">
        <f>#N/A</f>
        <v>#N/A</v>
      </c>
      <c r="O99" s="48" t="e">
        <f>#N/A</f>
        <v>#N/A</v>
      </c>
      <c r="P99" s="48" t="e">
        <f>#N/A</f>
        <v>#N/A</v>
      </c>
      <c r="Q99" s="48" t="e">
        <f>#N/A</f>
        <v>#N/A</v>
      </c>
      <c r="R99" s="48" t="e">
        <f>#N/A</f>
        <v>#N/A</v>
      </c>
      <c r="S99" s="12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2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3"/>
      <c r="AS99" s="12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3"/>
    </row>
    <row r="100" spans="1:57" customFormat="1" ht="18" customHeight="1" x14ac:dyDescent="0.35">
      <c r="A100" s="1"/>
      <c r="B100" s="63">
        <v>6</v>
      </c>
      <c r="C100" s="66" t="s">
        <v>62</v>
      </c>
      <c r="D100" s="66" t="s">
        <v>63</v>
      </c>
      <c r="E100" s="58"/>
      <c r="F100" s="62"/>
      <c r="G100" s="51" t="s">
        <v>33</v>
      </c>
      <c r="H100" s="51" t="s">
        <v>25</v>
      </c>
      <c r="I100" s="51" t="s">
        <v>28</v>
      </c>
      <c r="J100" s="51" t="s">
        <v>2</v>
      </c>
      <c r="K100" s="51" t="s">
        <v>29</v>
      </c>
      <c r="L100" s="51" t="s">
        <v>27</v>
      </c>
      <c r="M100" s="51" t="s">
        <v>26</v>
      </c>
      <c r="N100" s="51" t="s">
        <v>23</v>
      </c>
      <c r="O100" s="51" t="s">
        <v>32</v>
      </c>
      <c r="P100" s="54" t="s">
        <v>31</v>
      </c>
      <c r="Q100" s="51" t="s">
        <v>30</v>
      </c>
      <c r="R100" s="51" t="s">
        <v>24</v>
      </c>
      <c r="S100" s="6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6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7"/>
      <c r="AS100" s="6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7"/>
    </row>
    <row r="101" spans="1:57" customFormat="1" ht="16" customHeight="1" x14ac:dyDescent="0.35">
      <c r="A101" s="1"/>
      <c r="B101" s="64"/>
      <c r="C101" s="67"/>
      <c r="D101" s="67"/>
      <c r="E101" s="25" t="s">
        <v>1</v>
      </c>
      <c r="F101" s="21" t="s">
        <v>52</v>
      </c>
      <c r="G101" s="27">
        <v>95.2</v>
      </c>
      <c r="H101" s="27">
        <v>95.2</v>
      </c>
      <c r="I101" s="28">
        <v>88.8</v>
      </c>
      <c r="J101" s="28">
        <v>88.7</v>
      </c>
      <c r="K101" s="28">
        <v>85.7</v>
      </c>
      <c r="L101" s="28">
        <v>85.7</v>
      </c>
      <c r="M101" s="28">
        <v>85.4</v>
      </c>
      <c r="N101" s="28">
        <v>85</v>
      </c>
      <c r="O101" s="22">
        <v>84.2</v>
      </c>
      <c r="P101" s="55">
        <v>85.4</v>
      </c>
      <c r="Q101" s="22">
        <v>85.6</v>
      </c>
      <c r="R101" s="22">
        <v>83.8</v>
      </c>
      <c r="S101" s="9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9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10"/>
      <c r="AS101" s="9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10"/>
    </row>
    <row r="102" spans="1:57" customFormat="1" ht="16" customHeight="1" x14ac:dyDescent="0.35">
      <c r="A102" s="1"/>
      <c r="B102" s="64"/>
      <c r="C102" s="67"/>
      <c r="D102" s="67"/>
      <c r="E102" s="25" t="s">
        <v>3</v>
      </c>
      <c r="F102" s="26" t="s">
        <v>4</v>
      </c>
      <c r="G102" s="30">
        <v>130.4</v>
      </c>
      <c r="H102" s="30">
        <v>130.4</v>
      </c>
      <c r="I102" s="28">
        <v>122.8</v>
      </c>
      <c r="J102" s="28">
        <v>123.6</v>
      </c>
      <c r="K102" s="28">
        <v>119.3</v>
      </c>
      <c r="L102" s="28">
        <v>119.3</v>
      </c>
      <c r="M102" s="28">
        <v>118.5</v>
      </c>
      <c r="N102" s="28">
        <v>118.4</v>
      </c>
      <c r="O102" s="22">
        <v>117.4</v>
      </c>
      <c r="P102" s="29">
        <v>118.8</v>
      </c>
      <c r="Q102" s="28">
        <v>118.9</v>
      </c>
      <c r="R102" s="28">
        <v>117</v>
      </c>
      <c r="S102" s="9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9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10"/>
      <c r="AS102" s="9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10"/>
    </row>
    <row r="103" spans="1:57" customFormat="1" ht="16" customHeight="1" x14ac:dyDescent="0.35">
      <c r="A103" s="1"/>
      <c r="B103" s="64"/>
      <c r="C103" s="67"/>
      <c r="D103" s="67"/>
      <c r="E103" s="25" t="s">
        <v>5</v>
      </c>
      <c r="F103" s="26" t="s">
        <v>4</v>
      </c>
      <c r="G103" s="30">
        <v>131.1</v>
      </c>
      <c r="H103" s="30">
        <v>131.1</v>
      </c>
      <c r="I103" s="28">
        <v>122.4</v>
      </c>
      <c r="J103" s="28">
        <v>123.9</v>
      </c>
      <c r="K103" s="28">
        <v>119.7</v>
      </c>
      <c r="L103" s="28">
        <v>119.7</v>
      </c>
      <c r="M103" s="28">
        <v>119.5</v>
      </c>
      <c r="N103" s="28">
        <v>119.2</v>
      </c>
      <c r="O103" s="22">
        <v>118.1</v>
      </c>
      <c r="P103" s="29">
        <v>119.2</v>
      </c>
      <c r="Q103" s="28">
        <v>119.7</v>
      </c>
      <c r="R103" s="28">
        <v>118.1</v>
      </c>
      <c r="S103" s="9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9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10"/>
      <c r="AS103" s="9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10"/>
    </row>
    <row r="104" spans="1:57" customFormat="1" ht="16" customHeight="1" x14ac:dyDescent="0.35">
      <c r="A104" s="1"/>
      <c r="B104" s="64"/>
      <c r="C104" s="67"/>
      <c r="D104" s="67"/>
      <c r="E104" s="25" t="s">
        <v>6</v>
      </c>
      <c r="F104" s="26" t="s">
        <v>4</v>
      </c>
      <c r="G104" s="30">
        <v>131.6</v>
      </c>
      <c r="H104" s="30">
        <v>131.6</v>
      </c>
      <c r="I104" s="28">
        <v>123.8</v>
      </c>
      <c r="J104" s="28">
        <v>123.7</v>
      </c>
      <c r="K104" s="28">
        <v>119.8</v>
      </c>
      <c r="L104" s="28">
        <v>119.8</v>
      </c>
      <c r="M104" s="28">
        <v>119.2</v>
      </c>
      <c r="N104" s="28">
        <v>118.6</v>
      </c>
      <c r="O104" s="22">
        <v>117.6</v>
      </c>
      <c r="P104" s="29">
        <v>118.8</v>
      </c>
      <c r="Q104" s="28">
        <v>119.7</v>
      </c>
      <c r="R104" s="28">
        <v>118.2</v>
      </c>
      <c r="S104" s="9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9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10"/>
      <c r="AS104" s="9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10"/>
    </row>
    <row r="105" spans="1:57" customFormat="1" ht="16" customHeight="1" x14ac:dyDescent="0.35">
      <c r="A105" s="1"/>
      <c r="B105" s="64"/>
      <c r="C105" s="67"/>
      <c r="D105" s="67"/>
      <c r="E105" s="25" t="s">
        <v>7</v>
      </c>
      <c r="F105" s="21" t="s">
        <v>8</v>
      </c>
      <c r="G105" s="35">
        <v>0.5</v>
      </c>
      <c r="H105" s="35">
        <v>0.5</v>
      </c>
      <c r="I105" s="31">
        <v>0.7</v>
      </c>
      <c r="J105" s="31">
        <v>0.1</v>
      </c>
      <c r="K105" s="31">
        <v>0.3</v>
      </c>
      <c r="L105" s="31">
        <v>0.3</v>
      </c>
      <c r="M105" s="31">
        <v>0.5</v>
      </c>
      <c r="N105" s="31">
        <v>0.4</v>
      </c>
      <c r="O105" s="31">
        <v>0.3</v>
      </c>
      <c r="P105" s="36">
        <v>0.2</v>
      </c>
      <c r="Q105" s="31">
        <v>0.4</v>
      </c>
      <c r="R105" s="31">
        <v>0.7</v>
      </c>
      <c r="S105" s="9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9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10"/>
      <c r="AS105" s="9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10"/>
    </row>
    <row r="106" spans="1:57" customFormat="1" ht="16" customHeight="1" x14ac:dyDescent="0.35">
      <c r="A106" s="1"/>
      <c r="B106" s="64"/>
      <c r="C106" s="67"/>
      <c r="D106" s="67"/>
      <c r="E106" s="25" t="s">
        <v>9</v>
      </c>
      <c r="F106" s="33" t="s">
        <v>10</v>
      </c>
      <c r="G106" s="27">
        <v>386.1</v>
      </c>
      <c r="H106" s="27">
        <v>386.1</v>
      </c>
      <c r="I106" s="28">
        <v>385.8</v>
      </c>
      <c r="J106" s="29">
        <v>382.1</v>
      </c>
      <c r="K106" s="29">
        <v>384.1</v>
      </c>
      <c r="L106" s="29">
        <v>384.1</v>
      </c>
      <c r="M106" s="29">
        <v>384.5</v>
      </c>
      <c r="N106" s="29">
        <v>384</v>
      </c>
      <c r="O106" s="29">
        <v>384.1</v>
      </c>
      <c r="P106" s="29">
        <v>385.4</v>
      </c>
      <c r="Q106" s="28">
        <v>383.9</v>
      </c>
      <c r="R106" s="28">
        <v>381.5</v>
      </c>
      <c r="S106" s="9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9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10"/>
      <c r="AS106" s="9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10"/>
    </row>
    <row r="107" spans="1:57" customFormat="1" ht="16" customHeight="1" x14ac:dyDescent="0.35">
      <c r="A107" s="1"/>
      <c r="B107" s="64"/>
      <c r="C107" s="67"/>
      <c r="D107" s="67"/>
      <c r="E107" s="25" t="s">
        <v>11</v>
      </c>
      <c r="F107" s="33" t="s">
        <v>10</v>
      </c>
      <c r="G107" s="27">
        <v>386.5</v>
      </c>
      <c r="H107" s="27">
        <v>386.5</v>
      </c>
      <c r="I107" s="28">
        <v>385.9</v>
      </c>
      <c r="J107" s="28">
        <v>382.1</v>
      </c>
      <c r="K107" s="28">
        <v>384.2</v>
      </c>
      <c r="L107" s="28">
        <v>384.2</v>
      </c>
      <c r="M107" s="28">
        <v>384.8</v>
      </c>
      <c r="N107" s="28">
        <v>384.1</v>
      </c>
      <c r="O107" s="28">
        <v>384.3</v>
      </c>
      <c r="P107" s="29">
        <v>385.4</v>
      </c>
      <c r="Q107" s="28">
        <v>384.2</v>
      </c>
      <c r="R107" s="28">
        <v>382</v>
      </c>
      <c r="S107" s="9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9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10"/>
      <c r="AS107" s="9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10"/>
    </row>
    <row r="108" spans="1:57" customFormat="1" ht="16" customHeight="1" x14ac:dyDescent="0.35">
      <c r="A108" s="1"/>
      <c r="B108" s="64"/>
      <c r="C108" s="67"/>
      <c r="D108" s="67"/>
      <c r="E108" s="25" t="s">
        <v>12</v>
      </c>
      <c r="F108" s="33" t="s">
        <v>10</v>
      </c>
      <c r="G108" s="27">
        <v>385.9</v>
      </c>
      <c r="H108" s="27">
        <v>385.9</v>
      </c>
      <c r="I108" s="28">
        <v>385.6</v>
      </c>
      <c r="J108" s="28">
        <v>381.3</v>
      </c>
      <c r="K108" s="28">
        <v>383.4</v>
      </c>
      <c r="L108" s="28">
        <v>383.4</v>
      </c>
      <c r="M108" s="28">
        <v>383.9</v>
      </c>
      <c r="N108" s="28">
        <v>383.2</v>
      </c>
      <c r="O108" s="28">
        <v>383.3</v>
      </c>
      <c r="P108" s="29">
        <v>384.6</v>
      </c>
      <c r="Q108" s="28">
        <v>383.4</v>
      </c>
      <c r="R108" s="28">
        <v>381.1</v>
      </c>
      <c r="S108" s="9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9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10"/>
      <c r="AS108" s="9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10"/>
    </row>
    <row r="109" spans="1:57" customFormat="1" ht="16" customHeight="1" x14ac:dyDescent="0.35">
      <c r="A109" s="1"/>
      <c r="B109" s="64"/>
      <c r="C109" s="67"/>
      <c r="D109" s="67"/>
      <c r="E109" s="25" t="s">
        <v>13</v>
      </c>
      <c r="F109" s="21" t="s">
        <v>14</v>
      </c>
      <c r="G109" s="35">
        <v>0.1</v>
      </c>
      <c r="H109" s="35">
        <v>0.1</v>
      </c>
      <c r="I109" s="31">
        <v>0.1</v>
      </c>
      <c r="J109" s="31">
        <v>0.1</v>
      </c>
      <c r="K109" s="31">
        <v>0.1</v>
      </c>
      <c r="L109" s="31">
        <v>0.1</v>
      </c>
      <c r="M109" s="31">
        <v>0.1</v>
      </c>
      <c r="N109" s="31">
        <v>0.1</v>
      </c>
      <c r="O109" s="31">
        <v>0.2</v>
      </c>
      <c r="P109" s="36">
        <v>0.1</v>
      </c>
      <c r="Q109" s="31">
        <v>0.1</v>
      </c>
      <c r="R109" s="31">
        <v>0.1</v>
      </c>
      <c r="S109" s="9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9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10"/>
      <c r="AS109" s="9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10"/>
    </row>
    <row r="110" spans="1:57" customFormat="1" ht="16" customHeight="1" x14ac:dyDescent="0.35">
      <c r="A110" s="1"/>
      <c r="B110" s="64"/>
      <c r="C110" s="67"/>
      <c r="D110" s="67"/>
      <c r="E110" s="37" t="s">
        <v>34</v>
      </c>
      <c r="F110" s="21" t="s">
        <v>35</v>
      </c>
      <c r="G110" s="35">
        <v>0.873</v>
      </c>
      <c r="H110" s="35">
        <v>0.873</v>
      </c>
      <c r="I110" s="31">
        <v>0.86799999999999999</v>
      </c>
      <c r="J110" s="31">
        <v>0.871</v>
      </c>
      <c r="K110" s="31">
        <v>0.86699999999999999</v>
      </c>
      <c r="L110" s="31">
        <v>0.86699999999999999</v>
      </c>
      <c r="M110" s="31">
        <v>0.86499999999999999</v>
      </c>
      <c r="N110" s="31">
        <v>0.86499999999999999</v>
      </c>
      <c r="O110" s="31">
        <v>0.86399999999999999</v>
      </c>
      <c r="P110" s="36">
        <v>0.86499999999999999</v>
      </c>
      <c r="Q110" s="31">
        <v>0.86599999999999999</v>
      </c>
      <c r="R110" s="31">
        <v>0.86599999999999999</v>
      </c>
      <c r="S110" s="9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9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10"/>
      <c r="AS110" s="9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10"/>
    </row>
    <row r="111" spans="1:57" customFormat="1" ht="16" customHeight="1" x14ac:dyDescent="0.35">
      <c r="A111" s="1"/>
      <c r="B111" s="64"/>
      <c r="C111" s="67"/>
      <c r="D111" s="67"/>
      <c r="E111" s="37" t="s">
        <v>36</v>
      </c>
      <c r="F111" s="21" t="s">
        <v>16</v>
      </c>
      <c r="G111" s="35">
        <v>0.44400000000000001</v>
      </c>
      <c r="H111" s="35">
        <v>0.44400000000000001</v>
      </c>
      <c r="I111" s="31">
        <v>0.45900000000000002</v>
      </c>
      <c r="J111" s="31">
        <v>0.38900000000000001</v>
      </c>
      <c r="K111" s="31">
        <v>0.45</v>
      </c>
      <c r="L111" s="31">
        <v>0.45</v>
      </c>
      <c r="M111" s="31">
        <v>0.311</v>
      </c>
      <c r="N111" s="31">
        <v>0.438</v>
      </c>
      <c r="O111" s="31">
        <v>0.44</v>
      </c>
      <c r="P111" s="36">
        <v>0.44600000000000001</v>
      </c>
      <c r="Q111" s="31">
        <v>0.43</v>
      </c>
      <c r="R111" s="31">
        <v>0.51500000000000001</v>
      </c>
      <c r="S111" s="9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9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10"/>
      <c r="AS111" s="9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10"/>
    </row>
    <row r="112" spans="1:57" customFormat="1" ht="16" customHeight="1" x14ac:dyDescent="0.35">
      <c r="A112" s="1"/>
      <c r="B112" s="64"/>
      <c r="C112" s="67"/>
      <c r="D112" s="67"/>
      <c r="E112" s="37" t="s">
        <v>37</v>
      </c>
      <c r="F112" s="21" t="s">
        <v>38</v>
      </c>
      <c r="G112" s="35">
        <v>0.80900000000000005</v>
      </c>
      <c r="H112" s="35">
        <v>0.80900000000000005</v>
      </c>
      <c r="I112" s="31">
        <v>0.72</v>
      </c>
      <c r="J112" s="31">
        <v>0.69099999999999995</v>
      </c>
      <c r="K112" s="31">
        <v>0.71199999999999997</v>
      </c>
      <c r="L112" s="31">
        <v>0.71199999999999997</v>
      </c>
      <c r="M112" s="31">
        <v>0.73499999999999999</v>
      </c>
      <c r="N112" s="31">
        <v>0.70899999999999996</v>
      </c>
      <c r="O112" s="31">
        <v>0.73099999999999998</v>
      </c>
      <c r="P112" s="36">
        <v>0.70799999999999996</v>
      </c>
      <c r="Q112" s="31">
        <v>0.68700000000000006</v>
      </c>
      <c r="R112" s="31">
        <v>0.81499999999999995</v>
      </c>
      <c r="S112" s="9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9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10"/>
      <c r="AS112" s="9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10"/>
    </row>
    <row r="113" spans="1:57" customFormat="1" ht="16" customHeight="1" x14ac:dyDescent="0.35">
      <c r="A113" s="1"/>
      <c r="B113" s="64"/>
      <c r="C113" s="67"/>
      <c r="D113" s="67"/>
      <c r="E113" s="37" t="s">
        <v>39</v>
      </c>
      <c r="F113" s="21"/>
      <c r="G113" s="38">
        <v>76.48</v>
      </c>
      <c r="H113" s="38">
        <v>76.48</v>
      </c>
      <c r="I113" s="38">
        <v>71.349999999999994</v>
      </c>
      <c r="J113" s="38">
        <v>71.25</v>
      </c>
      <c r="K113" s="38">
        <v>68.900000000000006</v>
      </c>
      <c r="L113" s="38">
        <v>68.900000000000006</v>
      </c>
      <c r="M113" s="38">
        <v>68.599999999999994</v>
      </c>
      <c r="N113" s="38">
        <v>68.28</v>
      </c>
      <c r="O113" s="38">
        <v>67.63</v>
      </c>
      <c r="P113" s="38">
        <v>68.599999999999994</v>
      </c>
      <c r="Q113" s="28">
        <v>68.75</v>
      </c>
      <c r="R113" s="32">
        <v>67.38</v>
      </c>
      <c r="S113" s="9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9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10"/>
      <c r="AS113" s="9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10"/>
    </row>
    <row r="114" spans="1:57" customFormat="1" ht="16" customHeight="1" x14ac:dyDescent="0.35">
      <c r="A114" s="1"/>
      <c r="B114" s="64"/>
      <c r="C114" s="67"/>
      <c r="D114" s="67"/>
      <c r="E114" s="37" t="s">
        <v>15</v>
      </c>
      <c r="F114" s="33" t="s">
        <v>16</v>
      </c>
      <c r="G114" s="40">
        <v>1</v>
      </c>
      <c r="H114" s="40">
        <v>1</v>
      </c>
      <c r="I114" s="40">
        <v>1</v>
      </c>
      <c r="J114" s="40">
        <v>1</v>
      </c>
      <c r="K114" s="40">
        <v>2</v>
      </c>
      <c r="L114" s="40">
        <v>2</v>
      </c>
      <c r="M114" s="40">
        <v>2</v>
      </c>
      <c r="N114" s="40">
        <v>1</v>
      </c>
      <c r="O114" s="40">
        <v>2</v>
      </c>
      <c r="P114" s="41">
        <v>1</v>
      </c>
      <c r="Q114" s="39">
        <v>1</v>
      </c>
      <c r="R114" s="39">
        <v>1</v>
      </c>
      <c r="S114" s="9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9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10"/>
      <c r="AS114" s="9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10"/>
    </row>
    <row r="115" spans="1:57" customFormat="1" ht="16" customHeight="1" x14ac:dyDescent="0.35">
      <c r="A115" s="1"/>
      <c r="B115" s="64"/>
      <c r="C115" s="67"/>
      <c r="D115" s="67"/>
      <c r="E115" s="25" t="s">
        <v>17</v>
      </c>
      <c r="F115" s="33" t="s">
        <v>18</v>
      </c>
      <c r="G115" s="28">
        <v>-58.991</v>
      </c>
      <c r="H115" s="28">
        <v>-58.991</v>
      </c>
      <c r="I115" s="28">
        <v>-100</v>
      </c>
      <c r="J115" s="28">
        <v>-63.567999999999998</v>
      </c>
      <c r="K115" s="28">
        <v>-57.247</v>
      </c>
      <c r="L115" s="28">
        <v>-57.247</v>
      </c>
      <c r="M115" s="28">
        <v>-58.222999999999999</v>
      </c>
      <c r="N115" s="28">
        <v>-61.087000000000003</v>
      </c>
      <c r="O115" s="28">
        <v>-59.481999999999999</v>
      </c>
      <c r="P115" s="28">
        <v>-60.524000000000001</v>
      </c>
      <c r="Q115" s="27">
        <v>-60.921999999999997</v>
      </c>
      <c r="R115" s="27">
        <v>-60.247</v>
      </c>
      <c r="S115" s="9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9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10"/>
      <c r="AS115" s="9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10"/>
    </row>
    <row r="116" spans="1:57" customFormat="1" ht="15.75" customHeight="1" x14ac:dyDescent="0.35">
      <c r="A116" s="1"/>
      <c r="B116" s="64"/>
      <c r="C116" s="67"/>
      <c r="D116" s="67"/>
      <c r="E116" s="25" t="s">
        <v>19</v>
      </c>
      <c r="F116" s="33" t="s">
        <v>18</v>
      </c>
      <c r="G116" s="28">
        <v>-53.4</v>
      </c>
      <c r="H116" s="28">
        <v>-53.4</v>
      </c>
      <c r="I116" s="28">
        <v>-100</v>
      </c>
      <c r="J116" s="28">
        <v>-55.344000000000001</v>
      </c>
      <c r="K116" s="28">
        <v>-56.49</v>
      </c>
      <c r="L116" s="28">
        <v>-56.49</v>
      </c>
      <c r="M116" s="28">
        <v>-59.488999999999997</v>
      </c>
      <c r="N116" s="28">
        <v>-57.618000000000002</v>
      </c>
      <c r="O116" s="28">
        <v>-55.557000000000002</v>
      </c>
      <c r="P116" s="28">
        <v>-60.468000000000004</v>
      </c>
      <c r="Q116" s="27">
        <v>-59.524999999999999</v>
      </c>
      <c r="R116" s="27">
        <v>-60.652999999999999</v>
      </c>
      <c r="S116" s="9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9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10"/>
      <c r="AS116" s="9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10"/>
    </row>
    <row r="117" spans="1:57" customFormat="1" ht="16" customHeight="1" x14ac:dyDescent="0.35">
      <c r="A117" s="1"/>
      <c r="B117" s="64"/>
      <c r="C117" s="67"/>
      <c r="D117" s="67"/>
      <c r="E117" s="25" t="s">
        <v>20</v>
      </c>
      <c r="F117" s="46" t="s">
        <v>21</v>
      </c>
      <c r="G117" s="38" t="s">
        <v>40</v>
      </c>
      <c r="H117" s="38" t="s">
        <v>40</v>
      </c>
      <c r="I117" s="38" t="s">
        <v>40</v>
      </c>
      <c r="J117" s="29" t="s">
        <v>40</v>
      </c>
      <c r="K117" s="29" t="s">
        <v>40</v>
      </c>
      <c r="L117" s="29" t="s">
        <v>40</v>
      </c>
      <c r="M117" s="29" t="s">
        <v>40</v>
      </c>
      <c r="N117" s="29" t="s">
        <v>40</v>
      </c>
      <c r="O117" s="29" t="s">
        <v>40</v>
      </c>
      <c r="P117" s="29" t="s">
        <v>40</v>
      </c>
      <c r="Q117" s="28" t="s">
        <v>40</v>
      </c>
      <c r="R117" s="28" t="s">
        <v>40</v>
      </c>
      <c r="S117" s="9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9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10"/>
      <c r="AS117" s="9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10"/>
    </row>
    <row r="118" spans="1:57" customFormat="1" ht="38" thickBot="1" x14ac:dyDescent="0.4">
      <c r="A118" s="1"/>
      <c r="B118" s="65"/>
      <c r="C118" s="68"/>
      <c r="D118" s="68"/>
      <c r="E118" s="25" t="s">
        <v>22</v>
      </c>
      <c r="F118" s="61" t="s">
        <v>53</v>
      </c>
      <c r="G118" s="48" t="e">
        <f>#N/A</f>
        <v>#N/A</v>
      </c>
      <c r="H118" s="48" t="e">
        <f>#N/A</f>
        <v>#N/A</v>
      </c>
      <c r="I118" s="48" t="e">
        <f>#N/A</f>
        <v>#N/A</v>
      </c>
      <c r="J118" s="48" t="e">
        <f>#N/A</f>
        <v>#N/A</v>
      </c>
      <c r="K118" s="48" t="e">
        <f>#N/A</f>
        <v>#N/A</v>
      </c>
      <c r="L118" s="48" t="str">
        <f>IF(L114=3,"alarm",IF(L114=4,"alarm",IF(L114=5,"alarm",IF(L114=2,"normal",IF(L114=1,"normal",IF(L114&gt;=6,"high",IF(ISBLANK(L114),"standby")))))))</f>
        <v>normal</v>
      </c>
      <c r="M118" s="48" t="e">
        <f>#N/A</f>
        <v>#N/A</v>
      </c>
      <c r="N118" s="48" t="e">
        <f>#N/A</f>
        <v>#N/A</v>
      </c>
      <c r="O118" s="48" t="e">
        <f>#N/A</f>
        <v>#N/A</v>
      </c>
      <c r="P118" s="48" t="e">
        <f>#N/A</f>
        <v>#N/A</v>
      </c>
      <c r="Q118" s="48" t="e">
        <f>#N/A</f>
        <v>#N/A</v>
      </c>
      <c r="R118" s="48" t="e">
        <f>#N/A</f>
        <v>#N/A</v>
      </c>
      <c r="S118" s="12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2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3"/>
      <c r="AS118" s="12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3"/>
    </row>
  </sheetData>
  <mergeCells count="27">
    <mergeCell ref="S2:AE4"/>
    <mergeCell ref="AF2:AR4"/>
    <mergeCell ref="AS2:BE4"/>
    <mergeCell ref="B5:B23"/>
    <mergeCell ref="C5:C23"/>
    <mergeCell ref="D5:D23"/>
    <mergeCell ref="B2:B4"/>
    <mergeCell ref="C2:C4"/>
    <mergeCell ref="D2:D4"/>
    <mergeCell ref="E2:E4"/>
    <mergeCell ref="F2:F4"/>
    <mergeCell ref="G2:R4"/>
    <mergeCell ref="B24:B42"/>
    <mergeCell ref="C24:C42"/>
    <mergeCell ref="D24:D42"/>
    <mergeCell ref="B43:B61"/>
    <mergeCell ref="C43:C61"/>
    <mergeCell ref="D43:D61"/>
    <mergeCell ref="B100:B118"/>
    <mergeCell ref="C100:C118"/>
    <mergeCell ref="D100:D118"/>
    <mergeCell ref="B62:B80"/>
    <mergeCell ref="C62:C80"/>
    <mergeCell ref="D62:D80"/>
    <mergeCell ref="B81:B99"/>
    <mergeCell ref="C81:C99"/>
    <mergeCell ref="D81:D99"/>
  </mergeCells>
  <conditionalFormatting sqref="G33:P33 R33">
    <cfRule type="cellIs" dxfId="399" priority="398" stopIfTrue="1" operator="between">
      <formula>5</formula>
      <formula>10</formula>
    </cfRule>
    <cfRule type="cellIs" dxfId="398" priority="399" stopIfTrue="1" operator="between">
      <formula>3</formula>
      <formula>4.9</formula>
    </cfRule>
    <cfRule type="cellIs" dxfId="397" priority="400" stopIfTrue="1" operator="between">
      <formula>0.1</formula>
      <formula>2.9</formula>
    </cfRule>
  </conditionalFormatting>
  <conditionalFormatting sqref="H60:I60 Q60 G41:P41 R41">
    <cfRule type="containsText" dxfId="396" priority="396" stopIfTrue="1" operator="containsText" text="BAD">
      <formula>NOT(ISERROR(SEARCH("BAD",G41)))</formula>
    </cfRule>
    <cfRule type="containsText" dxfId="395" priority="397" stopIfTrue="1" operator="containsText" text="OK">
      <formula>NOT(ISERROR(SEARCH("OK",G41)))</formula>
    </cfRule>
  </conditionalFormatting>
  <conditionalFormatting sqref="P61:R61 O80 G42:R42 G61:N61">
    <cfRule type="containsText" dxfId="394" priority="392" stopIfTrue="1" operator="containsText" text="standby">
      <formula>NOT(ISERROR(SEARCH("standby",G42)))</formula>
    </cfRule>
    <cfRule type="containsText" dxfId="393" priority="393" stopIfTrue="1" operator="containsText" text="high">
      <formula>NOT(ISERROR(SEARCH("high",G42)))</formula>
    </cfRule>
    <cfRule type="containsText" dxfId="392" priority="394" stopIfTrue="1" operator="containsText" text="alarm">
      <formula>NOT(ISERROR(SEARCH("alarm",G42)))</formula>
    </cfRule>
    <cfRule type="containsText" dxfId="391" priority="395" stopIfTrue="1" operator="containsText" text="normal">
      <formula>NOT(ISERROR(SEARCH("normal",G42)))</formula>
    </cfRule>
  </conditionalFormatting>
  <conditionalFormatting sqref="J30">
    <cfRule type="containsText" dxfId="390" priority="388" stopIfTrue="1" operator="containsText" text="standby">
      <formula>NOT(ISERROR(SEARCH("standby",J30)))</formula>
    </cfRule>
    <cfRule type="containsText" dxfId="389" priority="389" stopIfTrue="1" operator="containsText" text="high">
      <formula>NOT(ISERROR(SEARCH("high",J30)))</formula>
    </cfRule>
    <cfRule type="containsText" dxfId="388" priority="390" stopIfTrue="1" operator="containsText" text="alarm">
      <formula>NOT(ISERROR(SEARCH("alarm",J30)))</formula>
    </cfRule>
    <cfRule type="containsText" dxfId="387" priority="391" stopIfTrue="1" operator="containsText" text="normal">
      <formula>NOT(ISERROR(SEARCH("normal",J30)))</formula>
    </cfRule>
  </conditionalFormatting>
  <conditionalFormatting sqref="G10:P10 R10">
    <cfRule type="cellIs" dxfId="386" priority="385" stopIfTrue="1" operator="between">
      <formula>5</formula>
      <formula>10</formula>
    </cfRule>
    <cfRule type="cellIs" dxfId="385" priority="386" stopIfTrue="1" operator="between">
      <formula>3</formula>
      <formula>4.9</formula>
    </cfRule>
    <cfRule type="cellIs" dxfId="384" priority="387" stopIfTrue="1" operator="between">
      <formula>0.1</formula>
      <formula>2.9</formula>
    </cfRule>
  </conditionalFormatting>
  <conditionalFormatting sqref="I20 G20 P14:P17 G14:N17 R14:R18">
    <cfRule type="cellIs" dxfId="383" priority="382" stopIfTrue="1" operator="between">
      <formula>5</formula>
      <formula>10</formula>
    </cfRule>
    <cfRule type="cellIs" dxfId="382" priority="383" stopIfTrue="1" operator="between">
      <formula>3</formula>
      <formula>4.9</formula>
    </cfRule>
    <cfRule type="cellIs" dxfId="381" priority="384" stopIfTrue="1" operator="between">
      <formula>0.1</formula>
      <formula>2.9</formula>
    </cfRule>
  </conditionalFormatting>
  <conditionalFormatting sqref="G19:P19 R19">
    <cfRule type="cellIs" dxfId="380" priority="379" stopIfTrue="1" operator="between">
      <formula>5</formula>
      <formula>7</formula>
    </cfRule>
    <cfRule type="cellIs" dxfId="379" priority="380" stopIfTrue="1" operator="between">
      <formula>3</formula>
      <formula>4</formula>
    </cfRule>
    <cfRule type="cellIs" dxfId="378" priority="381" stopIfTrue="1" operator="between">
      <formula>1</formula>
      <formula>2</formula>
    </cfRule>
  </conditionalFormatting>
  <conditionalFormatting sqref="G22:P22 R22">
    <cfRule type="containsText" dxfId="377" priority="377" stopIfTrue="1" operator="containsText" text="BAD">
      <formula>NOT(ISERROR(SEARCH("BAD",G22)))</formula>
    </cfRule>
    <cfRule type="containsText" dxfId="376" priority="378" stopIfTrue="1" operator="containsText" text="OK">
      <formula>NOT(ISERROR(SEARCH("OK",G22)))</formula>
    </cfRule>
  </conditionalFormatting>
  <conditionalFormatting sqref="G23:R23">
    <cfRule type="containsText" dxfId="375" priority="373" stopIfTrue="1" operator="containsText" text="standby">
      <formula>NOT(ISERROR(SEARCH("standby",G23)))</formula>
    </cfRule>
    <cfRule type="containsText" dxfId="374" priority="374" stopIfTrue="1" operator="containsText" text="high">
      <formula>NOT(ISERROR(SEARCH("high",G23)))</formula>
    </cfRule>
    <cfRule type="containsText" dxfId="373" priority="375" stopIfTrue="1" operator="containsText" text="alarm">
      <formula>NOT(ISERROR(SEARCH("alarm",G23)))</formula>
    </cfRule>
    <cfRule type="containsText" dxfId="372" priority="376" stopIfTrue="1" operator="containsText" text="normal">
      <formula>NOT(ISERROR(SEARCH("normal",G23)))</formula>
    </cfRule>
  </conditionalFormatting>
  <conditionalFormatting sqref="J11">
    <cfRule type="containsText" dxfId="371" priority="369" stopIfTrue="1" operator="containsText" text="standby">
      <formula>NOT(ISERROR(SEARCH("standby",J11)))</formula>
    </cfRule>
    <cfRule type="containsText" dxfId="370" priority="370" stopIfTrue="1" operator="containsText" text="high">
      <formula>NOT(ISERROR(SEARCH("high",J11)))</formula>
    </cfRule>
    <cfRule type="containsText" dxfId="369" priority="371" stopIfTrue="1" operator="containsText" text="alarm">
      <formula>NOT(ISERROR(SEARCH("alarm",J11)))</formula>
    </cfRule>
    <cfRule type="containsText" dxfId="368" priority="372" stopIfTrue="1" operator="containsText" text="normal">
      <formula>NOT(ISERROR(SEARCH("normal",J11)))</formula>
    </cfRule>
  </conditionalFormatting>
  <conditionalFormatting sqref="J49:O49">
    <cfRule type="containsText" dxfId="367" priority="365" stopIfTrue="1" operator="containsText" text="standby">
      <formula>NOT(ISERROR(SEARCH("standby",J49)))</formula>
    </cfRule>
    <cfRule type="containsText" dxfId="366" priority="366" stopIfTrue="1" operator="containsText" text="high">
      <formula>NOT(ISERROR(SEARCH("high",J49)))</formula>
    </cfRule>
    <cfRule type="containsText" dxfId="365" priority="367" stopIfTrue="1" operator="containsText" text="alarm">
      <formula>NOT(ISERROR(SEARCH("alarm",J49)))</formula>
    </cfRule>
    <cfRule type="containsText" dxfId="364" priority="368" stopIfTrue="1" operator="containsText" text="normal">
      <formula>NOT(ISERROR(SEARCH("normal",J49)))</formula>
    </cfRule>
  </conditionalFormatting>
  <conditionalFormatting sqref="P79:R79 H79:N79">
    <cfRule type="containsText" dxfId="363" priority="363" stopIfTrue="1" operator="containsText" text="BAD">
      <formula>NOT(ISERROR(SEARCH("BAD",H79)))</formula>
    </cfRule>
    <cfRule type="containsText" dxfId="362" priority="364" stopIfTrue="1" operator="containsText" text="OK">
      <formula>NOT(ISERROR(SEARCH("OK",H79)))</formula>
    </cfRule>
  </conditionalFormatting>
  <conditionalFormatting sqref="H80:N80 P80:R80">
    <cfRule type="containsText" dxfId="361" priority="359" stopIfTrue="1" operator="containsText" text="standby">
      <formula>NOT(ISERROR(SEARCH("standby",H80)))</formula>
    </cfRule>
    <cfRule type="containsText" dxfId="360" priority="360" stopIfTrue="1" operator="containsText" text="high">
      <formula>NOT(ISERROR(SEARCH("high",H80)))</formula>
    </cfRule>
    <cfRule type="containsText" dxfId="359" priority="361" stopIfTrue="1" operator="containsText" text="alarm">
      <formula>NOT(ISERROR(SEARCH("alarm",H80)))</formula>
    </cfRule>
    <cfRule type="containsText" dxfId="358" priority="362" stopIfTrue="1" operator="containsText" text="normal">
      <formula>NOT(ISERROR(SEARCH("normal",H80)))</formula>
    </cfRule>
  </conditionalFormatting>
  <conditionalFormatting sqref="J68:N68">
    <cfRule type="containsText" dxfId="357" priority="355" stopIfTrue="1" operator="containsText" text="standby">
      <formula>NOT(ISERROR(SEARCH("standby",J68)))</formula>
    </cfRule>
    <cfRule type="containsText" dxfId="356" priority="356" stopIfTrue="1" operator="containsText" text="high">
      <formula>NOT(ISERROR(SEARCH("high",J68)))</formula>
    </cfRule>
    <cfRule type="containsText" dxfId="355" priority="357" stopIfTrue="1" operator="containsText" text="alarm">
      <formula>NOT(ISERROR(SEARCH("alarm",J68)))</formula>
    </cfRule>
    <cfRule type="containsText" dxfId="354" priority="358" stopIfTrue="1" operator="containsText" text="normal">
      <formula>NOT(ISERROR(SEARCH("normal",J68)))</formula>
    </cfRule>
  </conditionalFormatting>
  <conditionalFormatting sqref="G86:Q86">
    <cfRule type="cellIs" dxfId="353" priority="352" stopIfTrue="1" operator="between">
      <formula>5</formula>
      <formula>10</formula>
    </cfRule>
    <cfRule type="cellIs" dxfId="352" priority="353" stopIfTrue="1" operator="between">
      <formula>3</formula>
      <formula>4.9</formula>
    </cfRule>
    <cfRule type="cellIs" dxfId="351" priority="354" stopIfTrue="1" operator="between">
      <formula>0.1</formula>
      <formula>2.9</formula>
    </cfRule>
  </conditionalFormatting>
  <conditionalFormatting sqref="G90:Q90">
    <cfRule type="cellIs" dxfId="350" priority="349" stopIfTrue="1" operator="between">
      <formula>5</formula>
      <formula>10</formula>
    </cfRule>
    <cfRule type="cellIs" dxfId="349" priority="350" stopIfTrue="1" operator="between">
      <formula>3</formula>
      <formula>4.9</formula>
    </cfRule>
    <cfRule type="cellIs" dxfId="348" priority="351" stopIfTrue="1" operator="between">
      <formula>0.1</formula>
      <formula>2.9</formula>
    </cfRule>
  </conditionalFormatting>
  <conditionalFormatting sqref="G95:Q95">
    <cfRule type="cellIs" dxfId="347" priority="346" stopIfTrue="1" operator="between">
      <formula>5</formula>
      <formula>7</formula>
    </cfRule>
    <cfRule type="cellIs" dxfId="346" priority="347" stopIfTrue="1" operator="between">
      <formula>3</formula>
      <formula>4</formula>
    </cfRule>
    <cfRule type="cellIs" dxfId="345" priority="348" stopIfTrue="1" operator="between">
      <formula>1</formula>
      <formula>2</formula>
    </cfRule>
  </conditionalFormatting>
  <conditionalFormatting sqref="G98:Q98">
    <cfRule type="containsText" dxfId="344" priority="344" stopIfTrue="1" operator="containsText" text="BAD">
      <formula>NOT(ISERROR(SEARCH("BAD",G98)))</formula>
    </cfRule>
    <cfRule type="containsText" dxfId="343" priority="345" stopIfTrue="1" operator="containsText" text="OK">
      <formula>NOT(ISERROR(SEARCH("OK",G98)))</formula>
    </cfRule>
  </conditionalFormatting>
  <conditionalFormatting sqref="G99:R99">
    <cfRule type="containsText" dxfId="342" priority="340" stopIfTrue="1" operator="containsText" text="standby">
      <formula>NOT(ISERROR(SEARCH("standby",G99)))</formula>
    </cfRule>
    <cfRule type="containsText" dxfId="341" priority="341" stopIfTrue="1" operator="containsText" text="high">
      <formula>NOT(ISERROR(SEARCH("high",G99)))</formula>
    </cfRule>
    <cfRule type="containsText" dxfId="340" priority="342" stopIfTrue="1" operator="containsText" text="alarm">
      <formula>NOT(ISERROR(SEARCH("alarm",G99)))</formula>
    </cfRule>
    <cfRule type="containsText" dxfId="339" priority="343" stopIfTrue="1" operator="containsText" text="normal">
      <formula>NOT(ISERROR(SEARCH("normal",G99)))</formula>
    </cfRule>
  </conditionalFormatting>
  <conditionalFormatting sqref="J87:N87">
    <cfRule type="containsText" dxfId="338" priority="336" stopIfTrue="1" operator="containsText" text="standby">
      <formula>NOT(ISERROR(SEARCH("standby",J87)))</formula>
    </cfRule>
    <cfRule type="containsText" dxfId="337" priority="337" stopIfTrue="1" operator="containsText" text="high">
      <formula>NOT(ISERROR(SEARCH("high",J87)))</formula>
    </cfRule>
    <cfRule type="containsText" dxfId="336" priority="338" stopIfTrue="1" operator="containsText" text="alarm">
      <formula>NOT(ISERROR(SEARCH("alarm",J87)))</formula>
    </cfRule>
    <cfRule type="containsText" dxfId="335" priority="339" stopIfTrue="1" operator="containsText" text="normal">
      <formula>NOT(ISERROR(SEARCH("normal",J87)))</formula>
    </cfRule>
  </conditionalFormatting>
  <conditionalFormatting sqref="G79">
    <cfRule type="containsText" dxfId="334" priority="334" stopIfTrue="1" operator="containsText" text="BAD">
      <formula>NOT(ISERROR(SEARCH("BAD",G79)))</formula>
    </cfRule>
    <cfRule type="containsText" dxfId="333" priority="335" stopIfTrue="1" operator="containsText" text="OK">
      <formula>NOT(ISERROR(SEARCH("OK",G79)))</formula>
    </cfRule>
  </conditionalFormatting>
  <conditionalFormatting sqref="G80">
    <cfRule type="containsText" dxfId="332" priority="330" stopIfTrue="1" operator="containsText" text="standby">
      <formula>NOT(ISERROR(SEARCH("standby",G80)))</formula>
    </cfRule>
    <cfRule type="containsText" dxfId="331" priority="331" stopIfTrue="1" operator="containsText" text="high">
      <formula>NOT(ISERROR(SEARCH("high",G80)))</formula>
    </cfRule>
    <cfRule type="containsText" dxfId="330" priority="332" stopIfTrue="1" operator="containsText" text="alarm">
      <formula>NOT(ISERROR(SEARCH("alarm",G80)))</formula>
    </cfRule>
    <cfRule type="containsText" dxfId="329" priority="333" stopIfTrue="1" operator="containsText" text="normal">
      <formula>NOT(ISERROR(SEARCH("normal",G80)))</formula>
    </cfRule>
  </conditionalFormatting>
  <conditionalFormatting sqref="G117:H117 J117:Q117">
    <cfRule type="containsText" dxfId="328" priority="328" stopIfTrue="1" operator="containsText" text="BAD">
      <formula>NOT(ISERROR(SEARCH("BAD",G117)))</formula>
    </cfRule>
    <cfRule type="containsText" dxfId="327" priority="329" stopIfTrue="1" operator="containsText" text="OK">
      <formula>NOT(ISERROR(SEARCH("OK",G117)))</formula>
    </cfRule>
  </conditionalFormatting>
  <conditionalFormatting sqref="G118:H118 J118:R118">
    <cfRule type="containsText" dxfId="326" priority="324" stopIfTrue="1" operator="containsText" text="standby">
      <formula>NOT(ISERROR(SEARCH("standby",G118)))</formula>
    </cfRule>
    <cfRule type="containsText" dxfId="325" priority="325" stopIfTrue="1" operator="containsText" text="high">
      <formula>NOT(ISERROR(SEARCH("high",G118)))</formula>
    </cfRule>
    <cfRule type="containsText" dxfId="324" priority="326" stopIfTrue="1" operator="containsText" text="alarm">
      <formula>NOT(ISERROR(SEARCH("alarm",G118)))</formula>
    </cfRule>
    <cfRule type="containsText" dxfId="323" priority="327" stopIfTrue="1" operator="containsText" text="normal">
      <formula>NOT(ISERROR(SEARCH("normal",G118)))</formula>
    </cfRule>
  </conditionalFormatting>
  <conditionalFormatting sqref="J106:N106">
    <cfRule type="containsText" dxfId="322" priority="320" stopIfTrue="1" operator="containsText" text="standby">
      <formula>NOT(ISERROR(SEARCH("standby",J106)))</formula>
    </cfRule>
    <cfRule type="containsText" dxfId="321" priority="321" stopIfTrue="1" operator="containsText" text="high">
      <formula>NOT(ISERROR(SEARCH("high",J106)))</formula>
    </cfRule>
    <cfRule type="containsText" dxfId="320" priority="322" stopIfTrue="1" operator="containsText" text="alarm">
      <formula>NOT(ISERROR(SEARCH("alarm",J106)))</formula>
    </cfRule>
    <cfRule type="containsText" dxfId="319" priority="323" stopIfTrue="1" operator="containsText" text="normal">
      <formula>NOT(ISERROR(SEARCH("normal",J106)))</formula>
    </cfRule>
  </conditionalFormatting>
  <conditionalFormatting sqref="I39 M34:N36 P34:P36 G34:K36 R34:R36">
    <cfRule type="cellIs" dxfId="318" priority="317" stopIfTrue="1" operator="between">
      <formula>5</formula>
      <formula>15</formula>
    </cfRule>
    <cfRule type="cellIs" dxfId="317" priority="318" stopIfTrue="1" operator="between">
      <formula>2.1</formula>
      <formula>4.9</formula>
    </cfRule>
    <cfRule type="cellIs" dxfId="316" priority="319" stopIfTrue="1" operator="between">
      <formula>0.1</formula>
      <formula>2</formula>
    </cfRule>
  </conditionalFormatting>
  <conditionalFormatting sqref="I77 P72:R72 G72:J74 P73:P74 R73:R74">
    <cfRule type="cellIs" dxfId="315" priority="314" stopIfTrue="1" operator="between">
      <formula>5</formula>
      <formula>15</formula>
    </cfRule>
    <cfRule type="cellIs" dxfId="314" priority="315" stopIfTrue="1" operator="between">
      <formula>2.1</formula>
      <formula>4.9</formula>
    </cfRule>
    <cfRule type="cellIs" dxfId="313" priority="316" stopIfTrue="1" operator="between">
      <formula>0.1</formula>
      <formula>2</formula>
    </cfRule>
  </conditionalFormatting>
  <conditionalFormatting sqref="I96 G96 P91:Q93 G91:J93">
    <cfRule type="cellIs" dxfId="312" priority="311" stopIfTrue="1" operator="between">
      <formula>5</formula>
      <formula>15</formula>
    </cfRule>
    <cfRule type="cellIs" dxfId="311" priority="312" stopIfTrue="1" operator="between">
      <formula>2.1</formula>
      <formula>4.9</formula>
    </cfRule>
    <cfRule type="cellIs" dxfId="310" priority="313" stopIfTrue="1" operator="between">
      <formula>0.1</formula>
      <formula>2</formula>
    </cfRule>
  </conditionalFormatting>
  <conditionalFormatting sqref="J110:J112 P110:Q112 G110:H112">
    <cfRule type="cellIs" dxfId="309" priority="308" stopIfTrue="1" operator="between">
      <formula>5</formula>
      <formula>15</formula>
    </cfRule>
    <cfRule type="cellIs" dxfId="308" priority="309" stopIfTrue="1" operator="between">
      <formula>2.1</formula>
      <formula>4.9</formula>
    </cfRule>
    <cfRule type="cellIs" dxfId="307" priority="310" stopIfTrue="1" operator="between">
      <formula>0.1</formula>
      <formula>2</formula>
    </cfRule>
  </conditionalFormatting>
  <conditionalFormatting sqref="G77:G78">
    <cfRule type="cellIs" dxfId="306" priority="305" stopIfTrue="1" operator="between">
      <formula>6</formula>
      <formula>7</formula>
    </cfRule>
    <cfRule type="cellIs" dxfId="305" priority="306" stopIfTrue="1" operator="between">
      <formula>3</formula>
      <formula>5</formula>
    </cfRule>
    <cfRule type="cellIs" dxfId="304" priority="307" stopIfTrue="1" operator="between">
      <formula>1</formula>
      <formula>2</formula>
    </cfRule>
  </conditionalFormatting>
  <conditionalFormatting sqref="I118">
    <cfRule type="containsText" dxfId="303" priority="301" stopIfTrue="1" operator="containsText" text="standby">
      <formula>NOT(ISERROR(SEARCH("standby",I118)))</formula>
    </cfRule>
    <cfRule type="containsText" dxfId="302" priority="302" stopIfTrue="1" operator="containsText" text="high">
      <formula>NOT(ISERROR(SEARCH("high",I118)))</formula>
    </cfRule>
    <cfRule type="containsText" dxfId="301" priority="303" stopIfTrue="1" operator="containsText" text="alarm">
      <formula>NOT(ISERROR(SEARCH("alarm",I118)))</formula>
    </cfRule>
    <cfRule type="containsText" dxfId="300" priority="304" stopIfTrue="1" operator="containsText" text="normal">
      <formula>NOT(ISERROR(SEARCH("normal",I118)))</formula>
    </cfRule>
  </conditionalFormatting>
  <conditionalFormatting sqref="I117">
    <cfRule type="containsText" dxfId="299" priority="299" stopIfTrue="1" operator="containsText" text="BAD">
      <formula>NOT(ISERROR(SEARCH("BAD",I117)))</formula>
    </cfRule>
    <cfRule type="containsText" dxfId="298" priority="300" stopIfTrue="1" operator="containsText" text="OK">
      <formula>NOT(ISERROR(SEARCH("OK",I117)))</formula>
    </cfRule>
  </conditionalFormatting>
  <conditionalFormatting sqref="I110:I112">
    <cfRule type="cellIs" dxfId="297" priority="296" stopIfTrue="1" operator="between">
      <formula>5</formula>
      <formula>15</formula>
    </cfRule>
    <cfRule type="cellIs" dxfId="296" priority="297" stopIfTrue="1" operator="between">
      <formula>2.1</formula>
      <formula>4.9</formula>
    </cfRule>
    <cfRule type="cellIs" dxfId="295" priority="298" stopIfTrue="1" operator="between">
      <formula>0.1</formula>
      <formula>2</formula>
    </cfRule>
  </conditionalFormatting>
  <conditionalFormatting sqref="I97">
    <cfRule type="cellIs" dxfId="294" priority="293" stopIfTrue="1" operator="between">
      <formula>5</formula>
      <formula>15</formula>
    </cfRule>
    <cfRule type="cellIs" dxfId="293" priority="294" stopIfTrue="1" operator="between">
      <formula>2.1</formula>
      <formula>4.9</formula>
    </cfRule>
    <cfRule type="cellIs" dxfId="292" priority="295" stopIfTrue="1" operator="between">
      <formula>0.1</formula>
      <formula>2</formula>
    </cfRule>
  </conditionalFormatting>
  <conditionalFormatting sqref="O61">
    <cfRule type="containsText" dxfId="291" priority="289" stopIfTrue="1" operator="containsText" text="standby">
      <formula>NOT(ISERROR(SEARCH("standby",O61)))</formula>
    </cfRule>
    <cfRule type="containsText" dxfId="290" priority="290" stopIfTrue="1" operator="containsText" text="high">
      <formula>NOT(ISERROR(SEARCH("high",O61)))</formula>
    </cfRule>
    <cfRule type="containsText" dxfId="289" priority="291" stopIfTrue="1" operator="containsText" text="alarm">
      <formula>NOT(ISERROR(SEARCH("alarm",O61)))</formula>
    </cfRule>
    <cfRule type="containsText" dxfId="288" priority="292" stopIfTrue="1" operator="containsText" text="normal">
      <formula>NOT(ISERROR(SEARCH("normal",O61)))</formula>
    </cfRule>
  </conditionalFormatting>
  <conditionalFormatting sqref="Q115">
    <cfRule type="cellIs" dxfId="287" priority="286" stopIfTrue="1" operator="between">
      <formula>5</formula>
      <formula>15</formula>
    </cfRule>
    <cfRule type="cellIs" dxfId="286" priority="287" stopIfTrue="1" operator="between">
      <formula>2.1</formula>
      <formula>4.9</formula>
    </cfRule>
    <cfRule type="cellIs" dxfId="285" priority="288" stopIfTrue="1" operator="between">
      <formula>0.1</formula>
      <formula>2</formula>
    </cfRule>
  </conditionalFormatting>
  <conditionalFormatting sqref="Q116">
    <cfRule type="cellIs" dxfId="284" priority="283" stopIfTrue="1" operator="between">
      <formula>5</formula>
      <formula>15</formula>
    </cfRule>
    <cfRule type="cellIs" dxfId="283" priority="284" stopIfTrue="1" operator="between">
      <formula>2.1</formula>
      <formula>4.9</formula>
    </cfRule>
    <cfRule type="cellIs" dxfId="282" priority="285" stopIfTrue="1" operator="between">
      <formula>0.1</formula>
      <formula>2</formula>
    </cfRule>
  </conditionalFormatting>
  <conditionalFormatting sqref="P67:R67 G67:N67">
    <cfRule type="cellIs" dxfId="281" priority="280" stopIfTrue="1" operator="between">
      <formula>5</formula>
      <formula>10</formula>
    </cfRule>
    <cfRule type="cellIs" dxfId="280" priority="281" stopIfTrue="1" operator="between">
      <formula>3</formula>
      <formula>4.9</formula>
    </cfRule>
    <cfRule type="cellIs" dxfId="279" priority="282" stopIfTrue="1" operator="between">
      <formula>0.1</formula>
      <formula>2.9</formula>
    </cfRule>
  </conditionalFormatting>
  <conditionalFormatting sqref="P71:R71 G71:N71">
    <cfRule type="cellIs" dxfId="278" priority="277" stopIfTrue="1" operator="between">
      <formula>5</formula>
      <formula>10</formula>
    </cfRule>
    <cfRule type="cellIs" dxfId="277" priority="278" stopIfTrue="1" operator="between">
      <formula>3</formula>
      <formula>4.9</formula>
    </cfRule>
    <cfRule type="cellIs" dxfId="276" priority="279" stopIfTrue="1" operator="between">
      <formula>0.1</formula>
      <formula>2.9</formula>
    </cfRule>
  </conditionalFormatting>
  <conditionalFormatting sqref="P76:R76 G76:N76">
    <cfRule type="cellIs" dxfId="275" priority="274" stopIfTrue="1" operator="between">
      <formula>5</formula>
      <formula>7</formula>
    </cfRule>
    <cfRule type="cellIs" dxfId="274" priority="275" stopIfTrue="1" operator="between">
      <formula>3</formula>
      <formula>4</formula>
    </cfRule>
    <cfRule type="cellIs" dxfId="273" priority="276" stopIfTrue="1" operator="between">
      <formula>1</formula>
      <formula>2</formula>
    </cfRule>
  </conditionalFormatting>
  <conditionalFormatting sqref="G105:Q105">
    <cfRule type="cellIs" dxfId="272" priority="271" stopIfTrue="1" operator="between">
      <formula>5</formula>
      <formula>10</formula>
    </cfRule>
    <cfRule type="cellIs" dxfId="271" priority="272" stopIfTrue="1" operator="between">
      <formula>3</formula>
      <formula>4.9</formula>
    </cfRule>
    <cfRule type="cellIs" dxfId="270" priority="273" stopIfTrue="1" operator="between">
      <formula>0.1</formula>
      <formula>2.9</formula>
    </cfRule>
  </conditionalFormatting>
  <conditionalFormatting sqref="G109:Q109">
    <cfRule type="cellIs" dxfId="269" priority="268" stopIfTrue="1" operator="between">
      <formula>5</formula>
      <formula>10</formula>
    </cfRule>
    <cfRule type="cellIs" dxfId="268" priority="269" stopIfTrue="1" operator="between">
      <formula>3</formula>
      <formula>4.9</formula>
    </cfRule>
    <cfRule type="cellIs" dxfId="267" priority="270" stopIfTrue="1" operator="between">
      <formula>0.1</formula>
      <formula>2.9</formula>
    </cfRule>
  </conditionalFormatting>
  <conditionalFormatting sqref="G114:Q114">
    <cfRule type="cellIs" dxfId="266" priority="265" stopIfTrue="1" operator="between">
      <formula>5</formula>
      <formula>7</formula>
    </cfRule>
    <cfRule type="cellIs" dxfId="265" priority="266" stopIfTrue="1" operator="between">
      <formula>3</formula>
      <formula>4</formula>
    </cfRule>
    <cfRule type="cellIs" dxfId="264" priority="267" stopIfTrue="1" operator="between">
      <formula>1</formula>
      <formula>2</formula>
    </cfRule>
  </conditionalFormatting>
  <conditionalFormatting sqref="G29:P29 R29">
    <cfRule type="cellIs" dxfId="263" priority="262" stopIfTrue="1" operator="between">
      <formula>5</formula>
      <formula>10</formula>
    </cfRule>
    <cfRule type="cellIs" dxfId="262" priority="263" stopIfTrue="1" operator="between">
      <formula>3</formula>
      <formula>4.9</formula>
    </cfRule>
    <cfRule type="cellIs" dxfId="261" priority="264" stopIfTrue="1" operator="between">
      <formula>0.1</formula>
      <formula>2.9</formula>
    </cfRule>
  </conditionalFormatting>
  <conditionalFormatting sqref="G38:P38 R38">
    <cfRule type="cellIs" dxfId="260" priority="259" stopIfTrue="1" operator="between">
      <formula>5</formula>
      <formula>7</formula>
    </cfRule>
    <cfRule type="cellIs" dxfId="259" priority="260" stopIfTrue="1" operator="between">
      <formula>3</formula>
      <formula>4</formula>
    </cfRule>
    <cfRule type="cellIs" dxfId="258" priority="261" stopIfTrue="1" operator="between">
      <formula>1</formula>
      <formula>2</formula>
    </cfRule>
  </conditionalFormatting>
  <conditionalFormatting sqref="J20">
    <cfRule type="cellIs" dxfId="257" priority="256" stopIfTrue="1" operator="between">
      <formula>5</formula>
      <formula>10</formula>
    </cfRule>
    <cfRule type="cellIs" dxfId="256" priority="257" stopIfTrue="1" operator="between">
      <formula>3</formula>
      <formula>4.9</formula>
    </cfRule>
    <cfRule type="cellIs" dxfId="255" priority="258" stopIfTrue="1" operator="between">
      <formula>0.1</formula>
      <formula>2.9</formula>
    </cfRule>
  </conditionalFormatting>
  <conditionalFormatting sqref="G48">
    <cfRule type="cellIs" dxfId="254" priority="253" stopIfTrue="1" operator="between">
      <formula>5</formula>
      <formula>10</formula>
    </cfRule>
    <cfRule type="cellIs" dxfId="253" priority="254" stopIfTrue="1" operator="between">
      <formula>3</formula>
      <formula>4.9</formula>
    </cfRule>
    <cfRule type="cellIs" dxfId="252" priority="255" stopIfTrue="1" operator="between">
      <formula>0.1</formula>
      <formula>2.9</formula>
    </cfRule>
  </conditionalFormatting>
  <conditionalFormatting sqref="G52">
    <cfRule type="cellIs" dxfId="251" priority="250" stopIfTrue="1" operator="between">
      <formula>5</formula>
      <formula>10</formula>
    </cfRule>
    <cfRule type="cellIs" dxfId="250" priority="251" stopIfTrue="1" operator="between">
      <formula>3</formula>
      <formula>4.9</formula>
    </cfRule>
    <cfRule type="cellIs" dxfId="249" priority="252" stopIfTrue="1" operator="between">
      <formula>0.1</formula>
      <formula>2.9</formula>
    </cfRule>
  </conditionalFormatting>
  <conditionalFormatting sqref="G57">
    <cfRule type="cellIs" dxfId="248" priority="247" stopIfTrue="1" operator="between">
      <formula>5</formula>
      <formula>7</formula>
    </cfRule>
    <cfRule type="cellIs" dxfId="247" priority="248" stopIfTrue="1" operator="between">
      <formula>3</formula>
      <formula>4</formula>
    </cfRule>
    <cfRule type="cellIs" dxfId="246" priority="249" stopIfTrue="1" operator="between">
      <formula>1</formula>
      <formula>2</formula>
    </cfRule>
  </conditionalFormatting>
  <conditionalFormatting sqref="G60">
    <cfRule type="containsText" dxfId="245" priority="245" stopIfTrue="1" operator="containsText" text="BAD">
      <formula>NOT(ISERROR(SEARCH("BAD",G60)))</formula>
    </cfRule>
    <cfRule type="containsText" dxfId="244" priority="246" stopIfTrue="1" operator="containsText" text="OK">
      <formula>NOT(ISERROR(SEARCH("OK",G60)))</formula>
    </cfRule>
  </conditionalFormatting>
  <conditionalFormatting sqref="G53:G55 G58">
    <cfRule type="cellIs" dxfId="243" priority="242" stopIfTrue="1" operator="between">
      <formula>5</formula>
      <formula>15</formula>
    </cfRule>
    <cfRule type="cellIs" dxfId="242" priority="243" stopIfTrue="1" operator="between">
      <formula>2.1</formula>
      <formula>4.9</formula>
    </cfRule>
    <cfRule type="cellIs" dxfId="241" priority="244" stopIfTrue="1" operator="between">
      <formula>0.1</formula>
      <formula>2</formula>
    </cfRule>
  </conditionalFormatting>
  <conditionalFormatting sqref="H52">
    <cfRule type="cellIs" dxfId="240" priority="239" stopIfTrue="1" operator="between">
      <formula>5</formula>
      <formula>10</formula>
    </cfRule>
    <cfRule type="cellIs" dxfId="239" priority="240" stopIfTrue="1" operator="between">
      <formula>3</formula>
      <formula>4.9</formula>
    </cfRule>
    <cfRule type="cellIs" dxfId="238" priority="241" stopIfTrue="1" operator="between">
      <formula>0.1</formula>
      <formula>2.9</formula>
    </cfRule>
  </conditionalFormatting>
  <conditionalFormatting sqref="H48">
    <cfRule type="cellIs" dxfId="237" priority="236" stopIfTrue="1" operator="between">
      <formula>5</formula>
      <formula>10</formula>
    </cfRule>
    <cfRule type="cellIs" dxfId="236" priority="237" stopIfTrue="1" operator="between">
      <formula>3</formula>
      <formula>4.9</formula>
    </cfRule>
    <cfRule type="cellIs" dxfId="235" priority="238" stopIfTrue="1" operator="between">
      <formula>0.1</formula>
      <formula>2.9</formula>
    </cfRule>
  </conditionalFormatting>
  <conditionalFormatting sqref="H53">
    <cfRule type="cellIs" dxfId="234" priority="233" stopIfTrue="1" operator="between">
      <formula>5</formula>
      <formula>15</formula>
    </cfRule>
    <cfRule type="cellIs" dxfId="233" priority="234" stopIfTrue="1" operator="between">
      <formula>2.1</formula>
      <formula>4.9</formula>
    </cfRule>
    <cfRule type="cellIs" dxfId="232" priority="235" stopIfTrue="1" operator="between">
      <formula>0.1</formula>
      <formula>2</formula>
    </cfRule>
  </conditionalFormatting>
  <conditionalFormatting sqref="H57">
    <cfRule type="cellIs" dxfId="231" priority="230" stopIfTrue="1" operator="between">
      <formula>5</formula>
      <formula>7</formula>
    </cfRule>
    <cfRule type="cellIs" dxfId="230" priority="231" stopIfTrue="1" operator="between">
      <formula>3</formula>
      <formula>4</formula>
    </cfRule>
    <cfRule type="cellIs" dxfId="229" priority="232" stopIfTrue="1" operator="between">
      <formula>1</formula>
      <formula>2</formula>
    </cfRule>
  </conditionalFormatting>
  <conditionalFormatting sqref="H54:H55">
    <cfRule type="cellIs" dxfId="228" priority="227" stopIfTrue="1" operator="between">
      <formula>5</formula>
      <formula>15</formula>
    </cfRule>
    <cfRule type="cellIs" dxfId="227" priority="228" stopIfTrue="1" operator="between">
      <formula>2.1</formula>
      <formula>4.9</formula>
    </cfRule>
    <cfRule type="cellIs" dxfId="226" priority="229" stopIfTrue="1" operator="between">
      <formula>0.1</formula>
      <formula>2</formula>
    </cfRule>
  </conditionalFormatting>
  <conditionalFormatting sqref="I48">
    <cfRule type="cellIs" dxfId="225" priority="224" stopIfTrue="1" operator="between">
      <formula>5</formula>
      <formula>10</formula>
    </cfRule>
    <cfRule type="cellIs" dxfId="224" priority="225" stopIfTrue="1" operator="between">
      <formula>3</formula>
      <formula>4.9</formula>
    </cfRule>
    <cfRule type="cellIs" dxfId="223" priority="226" stopIfTrue="1" operator="between">
      <formula>0.1</formula>
      <formula>2.9</formula>
    </cfRule>
  </conditionalFormatting>
  <conditionalFormatting sqref="I53">
    <cfRule type="cellIs" dxfId="222" priority="221" stopIfTrue="1" operator="between">
      <formula>5</formula>
      <formula>15</formula>
    </cfRule>
    <cfRule type="cellIs" dxfId="221" priority="222" stopIfTrue="1" operator="between">
      <formula>2.1</formula>
      <formula>4.9</formula>
    </cfRule>
    <cfRule type="cellIs" dxfId="220" priority="223" stopIfTrue="1" operator="between">
      <formula>0.1</formula>
      <formula>2</formula>
    </cfRule>
  </conditionalFormatting>
  <conditionalFormatting sqref="I52">
    <cfRule type="cellIs" dxfId="219" priority="218" stopIfTrue="1" operator="between">
      <formula>5</formula>
      <formula>10</formula>
    </cfRule>
    <cfRule type="cellIs" dxfId="218" priority="219" stopIfTrue="1" operator="between">
      <formula>3</formula>
      <formula>4.9</formula>
    </cfRule>
    <cfRule type="cellIs" dxfId="217" priority="220" stopIfTrue="1" operator="between">
      <formula>0.1</formula>
      <formula>2.9</formula>
    </cfRule>
  </conditionalFormatting>
  <conditionalFormatting sqref="I57">
    <cfRule type="cellIs" dxfId="216" priority="215" stopIfTrue="1" operator="between">
      <formula>5</formula>
      <formula>7</formula>
    </cfRule>
    <cfRule type="cellIs" dxfId="215" priority="216" stopIfTrue="1" operator="between">
      <formula>3</formula>
      <formula>4</formula>
    </cfRule>
    <cfRule type="cellIs" dxfId="214" priority="217" stopIfTrue="1" operator="between">
      <formula>1</formula>
      <formula>2</formula>
    </cfRule>
  </conditionalFormatting>
  <conditionalFormatting sqref="I54:I55">
    <cfRule type="cellIs" dxfId="213" priority="212" stopIfTrue="1" operator="between">
      <formula>5</formula>
      <formula>15</formula>
    </cfRule>
    <cfRule type="cellIs" dxfId="212" priority="213" stopIfTrue="1" operator="between">
      <formula>2.1</formula>
      <formula>4.9</formula>
    </cfRule>
    <cfRule type="cellIs" dxfId="211" priority="214" stopIfTrue="1" operator="between">
      <formula>0.1</formula>
      <formula>2</formula>
    </cfRule>
  </conditionalFormatting>
  <conditionalFormatting sqref="J48:O48">
    <cfRule type="cellIs" dxfId="210" priority="209" stopIfTrue="1" operator="between">
      <formula>5</formula>
      <formula>10</formula>
    </cfRule>
    <cfRule type="cellIs" dxfId="209" priority="210" stopIfTrue="1" operator="between">
      <formula>3</formula>
      <formula>4.9</formula>
    </cfRule>
    <cfRule type="cellIs" dxfId="208" priority="211" stopIfTrue="1" operator="between">
      <formula>0.1</formula>
      <formula>2.9</formula>
    </cfRule>
  </conditionalFormatting>
  <conditionalFormatting sqref="J52:O52">
    <cfRule type="cellIs" dxfId="207" priority="206" stopIfTrue="1" operator="between">
      <formula>5</formula>
      <formula>10</formula>
    </cfRule>
    <cfRule type="cellIs" dxfId="206" priority="207" stopIfTrue="1" operator="between">
      <formula>3</formula>
      <formula>4.9</formula>
    </cfRule>
    <cfRule type="cellIs" dxfId="205" priority="208" stopIfTrue="1" operator="between">
      <formula>0.1</formula>
      <formula>2.9</formula>
    </cfRule>
  </conditionalFormatting>
  <conditionalFormatting sqref="J60:O60">
    <cfRule type="containsText" dxfId="204" priority="204" stopIfTrue="1" operator="containsText" text="BAD">
      <formula>NOT(ISERROR(SEARCH("BAD",J60)))</formula>
    </cfRule>
    <cfRule type="containsText" dxfId="203" priority="205" stopIfTrue="1" operator="containsText" text="OK">
      <formula>NOT(ISERROR(SEARCH("OK",J60)))</formula>
    </cfRule>
  </conditionalFormatting>
  <conditionalFormatting sqref="J53:O53">
    <cfRule type="cellIs" dxfId="202" priority="201" stopIfTrue="1" operator="between">
      <formula>5</formula>
      <formula>15</formula>
    </cfRule>
    <cfRule type="cellIs" dxfId="201" priority="202" stopIfTrue="1" operator="between">
      <formula>2.1</formula>
      <formula>4.9</formula>
    </cfRule>
    <cfRule type="cellIs" dxfId="200" priority="203" stopIfTrue="1" operator="between">
      <formula>0.1</formula>
      <formula>2</formula>
    </cfRule>
  </conditionalFormatting>
  <conditionalFormatting sqref="J57:O57">
    <cfRule type="cellIs" dxfId="199" priority="198" stopIfTrue="1" operator="between">
      <formula>5</formula>
      <formula>7</formula>
    </cfRule>
    <cfRule type="cellIs" dxfId="198" priority="199" stopIfTrue="1" operator="between">
      <formula>3</formula>
      <formula>4</formula>
    </cfRule>
    <cfRule type="cellIs" dxfId="197" priority="200" stopIfTrue="1" operator="between">
      <formula>1</formula>
      <formula>2</formula>
    </cfRule>
  </conditionalFormatting>
  <conditionalFormatting sqref="J54:J55">
    <cfRule type="cellIs" dxfId="196" priority="195" stopIfTrue="1" operator="between">
      <formula>5</formula>
      <formula>15</formula>
    </cfRule>
    <cfRule type="cellIs" dxfId="195" priority="196" stopIfTrue="1" operator="between">
      <formula>2.1</formula>
      <formula>4.9</formula>
    </cfRule>
    <cfRule type="cellIs" dxfId="194" priority="197" stopIfTrue="1" operator="between">
      <formula>0.1</formula>
      <formula>2</formula>
    </cfRule>
  </conditionalFormatting>
  <conditionalFormatting sqref="P48">
    <cfRule type="cellIs" dxfId="193" priority="192" stopIfTrue="1" operator="between">
      <formula>5</formula>
      <formula>10</formula>
    </cfRule>
    <cfRule type="cellIs" dxfId="192" priority="193" stopIfTrue="1" operator="between">
      <formula>3</formula>
      <formula>4.9</formula>
    </cfRule>
    <cfRule type="cellIs" dxfId="191" priority="194" stopIfTrue="1" operator="between">
      <formula>0.1</formula>
      <formula>2.9</formula>
    </cfRule>
  </conditionalFormatting>
  <conditionalFormatting sqref="P52">
    <cfRule type="cellIs" dxfId="190" priority="189" stopIfTrue="1" operator="between">
      <formula>5</formula>
      <formula>10</formula>
    </cfRule>
    <cfRule type="cellIs" dxfId="189" priority="190" stopIfTrue="1" operator="between">
      <formula>3</formula>
      <formula>4.9</formula>
    </cfRule>
    <cfRule type="cellIs" dxfId="188" priority="191" stopIfTrue="1" operator="between">
      <formula>0.1</formula>
      <formula>2.9</formula>
    </cfRule>
  </conditionalFormatting>
  <conditionalFormatting sqref="P53">
    <cfRule type="cellIs" dxfId="187" priority="186" stopIfTrue="1" operator="between">
      <formula>5</formula>
      <formula>15</formula>
    </cfRule>
    <cfRule type="cellIs" dxfId="186" priority="187" stopIfTrue="1" operator="between">
      <formula>2.1</formula>
      <formula>4.9</formula>
    </cfRule>
    <cfRule type="cellIs" dxfId="185" priority="188" stopIfTrue="1" operator="between">
      <formula>0.1</formula>
      <formula>2</formula>
    </cfRule>
  </conditionalFormatting>
  <conditionalFormatting sqref="P54:P55">
    <cfRule type="cellIs" dxfId="184" priority="183" stopIfTrue="1" operator="between">
      <formula>5</formula>
      <formula>15</formula>
    </cfRule>
    <cfRule type="cellIs" dxfId="183" priority="184" stopIfTrue="1" operator="between">
      <formula>2.1</formula>
      <formula>4.9</formula>
    </cfRule>
    <cfRule type="cellIs" dxfId="182" priority="185" stopIfTrue="1" operator="between">
      <formula>0.1</formula>
      <formula>2</formula>
    </cfRule>
  </conditionalFormatting>
  <conditionalFormatting sqref="P57">
    <cfRule type="cellIs" dxfId="181" priority="180" stopIfTrue="1" operator="between">
      <formula>5</formula>
      <formula>7</formula>
    </cfRule>
    <cfRule type="cellIs" dxfId="180" priority="181" stopIfTrue="1" operator="between">
      <formula>3</formula>
      <formula>4</formula>
    </cfRule>
    <cfRule type="cellIs" dxfId="179" priority="182" stopIfTrue="1" operator="between">
      <formula>1</formula>
      <formula>2</formula>
    </cfRule>
  </conditionalFormatting>
  <conditionalFormatting sqref="P60">
    <cfRule type="containsText" dxfId="178" priority="178" stopIfTrue="1" operator="containsText" text="BAD">
      <formula>NOT(ISERROR(SEARCH("BAD",P60)))</formula>
    </cfRule>
    <cfRule type="containsText" dxfId="177" priority="179" stopIfTrue="1" operator="containsText" text="OK">
      <formula>NOT(ISERROR(SEARCH("OK",P60)))</formula>
    </cfRule>
  </conditionalFormatting>
  <conditionalFormatting sqref="Q73:Q74">
    <cfRule type="cellIs" dxfId="176" priority="175" stopIfTrue="1" operator="between">
      <formula>5</formula>
      <formula>15</formula>
    </cfRule>
    <cfRule type="cellIs" dxfId="175" priority="176" stopIfTrue="1" operator="between">
      <formula>2.1</formula>
      <formula>4.9</formula>
    </cfRule>
    <cfRule type="cellIs" dxfId="174" priority="177" stopIfTrue="1" operator="between">
      <formula>0.1</formula>
      <formula>2</formula>
    </cfRule>
  </conditionalFormatting>
  <conditionalFormatting sqref="R48">
    <cfRule type="cellIs" dxfId="173" priority="172" stopIfTrue="1" operator="between">
      <formula>5</formula>
      <formula>10</formula>
    </cfRule>
    <cfRule type="cellIs" dxfId="172" priority="173" stopIfTrue="1" operator="between">
      <formula>3</formula>
      <formula>4.9</formula>
    </cfRule>
    <cfRule type="cellIs" dxfId="171" priority="174" stopIfTrue="1" operator="between">
      <formula>0.1</formula>
      <formula>2.9</formula>
    </cfRule>
  </conditionalFormatting>
  <conditionalFormatting sqref="R52">
    <cfRule type="cellIs" dxfId="170" priority="169" stopIfTrue="1" operator="between">
      <formula>5</formula>
      <formula>10</formula>
    </cfRule>
    <cfRule type="cellIs" dxfId="169" priority="170" stopIfTrue="1" operator="between">
      <formula>3</formula>
      <formula>4.9</formula>
    </cfRule>
    <cfRule type="cellIs" dxfId="168" priority="171" stopIfTrue="1" operator="between">
      <formula>0.1</formula>
      <formula>2.9</formula>
    </cfRule>
  </conditionalFormatting>
  <conditionalFormatting sqref="R53">
    <cfRule type="cellIs" dxfId="167" priority="166" stopIfTrue="1" operator="between">
      <formula>5</formula>
      <formula>15</formula>
    </cfRule>
    <cfRule type="cellIs" dxfId="166" priority="167" stopIfTrue="1" operator="between">
      <formula>2.1</formula>
      <formula>4.9</formula>
    </cfRule>
    <cfRule type="cellIs" dxfId="165" priority="168" stopIfTrue="1" operator="between">
      <formula>0.1</formula>
      <formula>2</formula>
    </cfRule>
  </conditionalFormatting>
  <conditionalFormatting sqref="R54:R55">
    <cfRule type="cellIs" dxfId="164" priority="163" stopIfTrue="1" operator="between">
      <formula>5</formula>
      <formula>15</formula>
    </cfRule>
    <cfRule type="cellIs" dxfId="163" priority="164" stopIfTrue="1" operator="between">
      <formula>2.1</formula>
      <formula>4.9</formula>
    </cfRule>
    <cfRule type="cellIs" dxfId="162" priority="165" stopIfTrue="1" operator="between">
      <formula>0.1</formula>
      <formula>2</formula>
    </cfRule>
  </conditionalFormatting>
  <conditionalFormatting sqref="R57">
    <cfRule type="cellIs" dxfId="161" priority="160" stopIfTrue="1" operator="between">
      <formula>5</formula>
      <formula>7</formula>
    </cfRule>
    <cfRule type="cellIs" dxfId="160" priority="161" stopIfTrue="1" operator="between">
      <formula>3</formula>
      <formula>4</formula>
    </cfRule>
    <cfRule type="cellIs" dxfId="159" priority="162" stopIfTrue="1" operator="between">
      <formula>1</formula>
      <formula>2</formula>
    </cfRule>
  </conditionalFormatting>
  <conditionalFormatting sqref="R60">
    <cfRule type="containsText" dxfId="158" priority="158" stopIfTrue="1" operator="containsText" text="BAD">
      <formula>NOT(ISERROR(SEARCH("BAD",R60)))</formula>
    </cfRule>
    <cfRule type="containsText" dxfId="157" priority="159" stopIfTrue="1" operator="containsText" text="OK">
      <formula>NOT(ISERROR(SEARCH("OK",R60)))</formula>
    </cfRule>
  </conditionalFormatting>
  <conditionalFormatting sqref="R117">
    <cfRule type="containsText" dxfId="156" priority="156" stopIfTrue="1" operator="containsText" text="BAD">
      <formula>NOT(ISERROR(SEARCH("BAD",R117)))</formula>
    </cfRule>
    <cfRule type="containsText" dxfId="155" priority="157" stopIfTrue="1" operator="containsText" text="OK">
      <formula>NOT(ISERROR(SEARCH("OK",R117)))</formula>
    </cfRule>
  </conditionalFormatting>
  <conditionalFormatting sqref="R110:R112">
    <cfRule type="cellIs" dxfId="154" priority="153" stopIfTrue="1" operator="between">
      <formula>5</formula>
      <formula>15</formula>
    </cfRule>
    <cfRule type="cellIs" dxfId="153" priority="154" stopIfTrue="1" operator="between">
      <formula>2.1</formula>
      <formula>4.9</formula>
    </cfRule>
    <cfRule type="cellIs" dxfId="152" priority="155" stopIfTrue="1" operator="between">
      <formula>0.1</formula>
      <formula>2</formula>
    </cfRule>
  </conditionalFormatting>
  <conditionalFormatting sqref="R115">
    <cfRule type="cellIs" dxfId="151" priority="150" stopIfTrue="1" operator="between">
      <formula>5</formula>
      <formula>15</formula>
    </cfRule>
    <cfRule type="cellIs" dxfId="150" priority="151" stopIfTrue="1" operator="between">
      <formula>2.1</formula>
      <formula>4.9</formula>
    </cfRule>
    <cfRule type="cellIs" dxfId="149" priority="152" stopIfTrue="1" operator="between">
      <formula>0.1</formula>
      <formula>2</formula>
    </cfRule>
  </conditionalFormatting>
  <conditionalFormatting sqref="R116">
    <cfRule type="cellIs" dxfId="148" priority="147" stopIfTrue="1" operator="between">
      <formula>5</formula>
      <formula>15</formula>
    </cfRule>
    <cfRule type="cellIs" dxfId="147" priority="148" stopIfTrue="1" operator="between">
      <formula>2.1</formula>
      <formula>4.9</formula>
    </cfRule>
    <cfRule type="cellIs" dxfId="146" priority="149" stopIfTrue="1" operator="between">
      <formula>0.1</formula>
      <formula>2</formula>
    </cfRule>
  </conditionalFormatting>
  <conditionalFormatting sqref="R105">
    <cfRule type="cellIs" dxfId="145" priority="144" stopIfTrue="1" operator="between">
      <formula>5</formula>
      <formula>10</formula>
    </cfRule>
    <cfRule type="cellIs" dxfId="144" priority="145" stopIfTrue="1" operator="between">
      <formula>3</formula>
      <formula>4.9</formula>
    </cfRule>
    <cfRule type="cellIs" dxfId="143" priority="146" stopIfTrue="1" operator="between">
      <formula>0.1</formula>
      <formula>2.9</formula>
    </cfRule>
  </conditionalFormatting>
  <conditionalFormatting sqref="R109">
    <cfRule type="cellIs" dxfId="142" priority="141" stopIfTrue="1" operator="between">
      <formula>5</formula>
      <formula>10</formula>
    </cfRule>
    <cfRule type="cellIs" dxfId="141" priority="142" stopIfTrue="1" operator="between">
      <formula>3</formula>
      <formula>4.9</formula>
    </cfRule>
    <cfRule type="cellIs" dxfId="140" priority="143" stopIfTrue="1" operator="between">
      <formula>0.1</formula>
      <formula>2.9</formula>
    </cfRule>
  </conditionalFormatting>
  <conditionalFormatting sqref="R114">
    <cfRule type="cellIs" dxfId="139" priority="138" stopIfTrue="1" operator="between">
      <formula>5</formula>
      <formula>7</formula>
    </cfRule>
    <cfRule type="cellIs" dxfId="138" priority="139" stopIfTrue="1" operator="between">
      <formula>3</formula>
      <formula>4</formula>
    </cfRule>
    <cfRule type="cellIs" dxfId="137" priority="140" stopIfTrue="1" operator="between">
      <formula>1</formula>
      <formula>2</formula>
    </cfRule>
  </conditionalFormatting>
  <conditionalFormatting sqref="R37">
    <cfRule type="cellIs" dxfId="136" priority="135" stopIfTrue="1" operator="between">
      <formula>5</formula>
      <formula>10</formula>
    </cfRule>
    <cfRule type="cellIs" dxfId="135" priority="136" stopIfTrue="1" operator="between">
      <formula>3</formula>
      <formula>4.9</formula>
    </cfRule>
    <cfRule type="cellIs" dxfId="134" priority="137" stopIfTrue="1" operator="between">
      <formula>0.1</formula>
      <formula>2.9</formula>
    </cfRule>
  </conditionalFormatting>
  <conditionalFormatting sqref="R56">
    <cfRule type="cellIs" dxfId="133" priority="132" stopIfTrue="1" operator="between">
      <formula>5</formula>
      <formula>10</formula>
    </cfRule>
    <cfRule type="cellIs" dxfId="132" priority="133" stopIfTrue="1" operator="between">
      <formula>3</formula>
      <formula>4.9</formula>
    </cfRule>
    <cfRule type="cellIs" dxfId="131" priority="134" stopIfTrue="1" operator="between">
      <formula>0.1</formula>
      <formula>2.9</formula>
    </cfRule>
  </conditionalFormatting>
  <conditionalFormatting sqref="Q75:R75">
    <cfRule type="cellIs" dxfId="130" priority="129" stopIfTrue="1" operator="between">
      <formula>5</formula>
      <formula>10</formula>
    </cfRule>
    <cfRule type="cellIs" dxfId="129" priority="130" stopIfTrue="1" operator="between">
      <formula>3</formula>
      <formula>4.9</formula>
    </cfRule>
    <cfRule type="cellIs" dxfId="128" priority="131" stopIfTrue="1" operator="between">
      <formula>0.1</formula>
      <formula>2.9</formula>
    </cfRule>
  </conditionalFormatting>
  <conditionalFormatting sqref="Q94">
    <cfRule type="cellIs" dxfId="127" priority="126" stopIfTrue="1" operator="between">
      <formula>5</formula>
      <formula>10</formula>
    </cfRule>
    <cfRule type="cellIs" dxfId="126" priority="127" stopIfTrue="1" operator="between">
      <formula>3</formula>
      <formula>4.9</formula>
    </cfRule>
    <cfRule type="cellIs" dxfId="125" priority="128" stopIfTrue="1" operator="between">
      <formula>0.1</formula>
      <formula>2.9</formula>
    </cfRule>
  </conditionalFormatting>
  <conditionalFormatting sqref="Q113:R113">
    <cfRule type="cellIs" dxfId="124" priority="123" stopIfTrue="1" operator="between">
      <formula>5</formula>
      <formula>10</formula>
    </cfRule>
    <cfRule type="cellIs" dxfId="123" priority="124" stopIfTrue="1" operator="between">
      <formula>3</formula>
      <formula>4.9</formula>
    </cfRule>
    <cfRule type="cellIs" dxfId="122" priority="125" stopIfTrue="1" operator="between">
      <formula>0.1</formula>
      <formula>2.9</formula>
    </cfRule>
  </conditionalFormatting>
  <conditionalFormatting sqref="O14:O17">
    <cfRule type="cellIs" dxfId="121" priority="120" stopIfTrue="1" operator="between">
      <formula>5</formula>
      <formula>10</formula>
    </cfRule>
    <cfRule type="cellIs" dxfId="120" priority="121" stopIfTrue="1" operator="between">
      <formula>3</formula>
      <formula>4.9</formula>
    </cfRule>
    <cfRule type="cellIs" dxfId="119" priority="122" stopIfTrue="1" operator="between">
      <formula>0.1</formula>
      <formula>2.9</formula>
    </cfRule>
  </conditionalFormatting>
  <conditionalFormatting sqref="O34:O36">
    <cfRule type="cellIs" dxfId="118" priority="117" stopIfTrue="1" operator="between">
      <formula>5</formula>
      <formula>15</formula>
    </cfRule>
    <cfRule type="cellIs" dxfId="117" priority="118" stopIfTrue="1" operator="between">
      <formula>2.1</formula>
      <formula>4.9</formula>
    </cfRule>
    <cfRule type="cellIs" dxfId="116" priority="119" stopIfTrue="1" operator="between">
      <formula>0.1</formula>
      <formula>2</formula>
    </cfRule>
  </conditionalFormatting>
  <conditionalFormatting sqref="O68">
    <cfRule type="containsText" dxfId="115" priority="113" stopIfTrue="1" operator="containsText" text="standby">
      <formula>NOT(ISERROR(SEARCH("standby",O68)))</formula>
    </cfRule>
    <cfRule type="containsText" dxfId="114" priority="114" stopIfTrue="1" operator="containsText" text="high">
      <formula>NOT(ISERROR(SEARCH("high",O68)))</formula>
    </cfRule>
    <cfRule type="containsText" dxfId="113" priority="115" stopIfTrue="1" operator="containsText" text="alarm">
      <formula>NOT(ISERROR(SEARCH("alarm",O68)))</formula>
    </cfRule>
    <cfRule type="containsText" dxfId="112" priority="116" stopIfTrue="1" operator="containsText" text="normal">
      <formula>NOT(ISERROR(SEARCH("normal",O68)))</formula>
    </cfRule>
  </conditionalFormatting>
  <conditionalFormatting sqref="O67">
    <cfRule type="cellIs" dxfId="111" priority="110" stopIfTrue="1" operator="between">
      <formula>5</formula>
      <formula>10</formula>
    </cfRule>
    <cfRule type="cellIs" dxfId="110" priority="111" stopIfTrue="1" operator="between">
      <formula>3</formula>
      <formula>4.9</formula>
    </cfRule>
    <cfRule type="cellIs" dxfId="109" priority="112" stopIfTrue="1" operator="between">
      <formula>0.1</formula>
      <formula>2.9</formula>
    </cfRule>
  </conditionalFormatting>
  <conditionalFormatting sqref="O71">
    <cfRule type="cellIs" dxfId="108" priority="107" stopIfTrue="1" operator="between">
      <formula>5</formula>
      <formula>10</formula>
    </cfRule>
    <cfRule type="cellIs" dxfId="107" priority="108" stopIfTrue="1" operator="between">
      <formula>3</formula>
      <formula>4.9</formula>
    </cfRule>
    <cfRule type="cellIs" dxfId="106" priority="109" stopIfTrue="1" operator="between">
      <formula>0.1</formula>
      <formula>2.9</formula>
    </cfRule>
  </conditionalFormatting>
  <conditionalFormatting sqref="O79">
    <cfRule type="containsText" dxfId="105" priority="105" stopIfTrue="1" operator="containsText" text="BAD">
      <formula>NOT(ISERROR(SEARCH("BAD",O79)))</formula>
    </cfRule>
    <cfRule type="containsText" dxfId="104" priority="106" stopIfTrue="1" operator="containsText" text="OK">
      <formula>NOT(ISERROR(SEARCH("OK",O79)))</formula>
    </cfRule>
  </conditionalFormatting>
  <conditionalFormatting sqref="O72">
    <cfRule type="cellIs" dxfId="103" priority="102" stopIfTrue="1" operator="between">
      <formula>5</formula>
      <formula>15</formula>
    </cfRule>
    <cfRule type="cellIs" dxfId="102" priority="103" stopIfTrue="1" operator="between">
      <formula>2.1</formula>
      <formula>4.9</formula>
    </cfRule>
    <cfRule type="cellIs" dxfId="101" priority="104" stopIfTrue="1" operator="between">
      <formula>0.1</formula>
      <formula>2</formula>
    </cfRule>
  </conditionalFormatting>
  <conditionalFormatting sqref="O76">
    <cfRule type="cellIs" dxfId="100" priority="99" stopIfTrue="1" operator="between">
      <formula>5</formula>
      <formula>7</formula>
    </cfRule>
    <cfRule type="cellIs" dxfId="99" priority="100" stopIfTrue="1" operator="between">
      <formula>3</formula>
      <formula>4</formula>
    </cfRule>
    <cfRule type="cellIs" dxfId="98" priority="101" stopIfTrue="1" operator="between">
      <formula>1</formula>
      <formula>2</formula>
    </cfRule>
  </conditionalFormatting>
  <conditionalFormatting sqref="O73:O74">
    <cfRule type="cellIs" dxfId="97" priority="96" stopIfTrue="1" operator="between">
      <formula>5</formula>
      <formula>15</formula>
    </cfRule>
    <cfRule type="cellIs" dxfId="96" priority="97" stopIfTrue="1" operator="between">
      <formula>2.1</formula>
      <formula>4.9</formula>
    </cfRule>
    <cfRule type="cellIs" dxfId="95" priority="98" stopIfTrue="1" operator="between">
      <formula>0.1</formula>
      <formula>2</formula>
    </cfRule>
  </conditionalFormatting>
  <conditionalFormatting sqref="O87">
    <cfRule type="containsText" dxfId="94" priority="92" stopIfTrue="1" operator="containsText" text="standby">
      <formula>NOT(ISERROR(SEARCH("standby",O87)))</formula>
    </cfRule>
    <cfRule type="containsText" dxfId="93" priority="93" stopIfTrue="1" operator="containsText" text="high">
      <formula>NOT(ISERROR(SEARCH("high",O87)))</formula>
    </cfRule>
    <cfRule type="containsText" dxfId="92" priority="94" stopIfTrue="1" operator="containsText" text="alarm">
      <formula>NOT(ISERROR(SEARCH("alarm",O87)))</formula>
    </cfRule>
    <cfRule type="containsText" dxfId="91" priority="95" stopIfTrue="1" operator="containsText" text="normal">
      <formula>NOT(ISERROR(SEARCH("normal",O87)))</formula>
    </cfRule>
  </conditionalFormatting>
  <conditionalFormatting sqref="O91:O93">
    <cfRule type="cellIs" dxfId="90" priority="89" stopIfTrue="1" operator="between">
      <formula>5</formula>
      <formula>15</formula>
    </cfRule>
    <cfRule type="cellIs" dxfId="89" priority="90" stopIfTrue="1" operator="between">
      <formula>2.1</formula>
      <formula>4.9</formula>
    </cfRule>
    <cfRule type="cellIs" dxfId="88" priority="91" stopIfTrue="1" operator="between">
      <formula>0.1</formula>
      <formula>2</formula>
    </cfRule>
  </conditionalFormatting>
  <conditionalFormatting sqref="O106">
    <cfRule type="containsText" dxfId="87" priority="85" stopIfTrue="1" operator="containsText" text="standby">
      <formula>NOT(ISERROR(SEARCH("standby",O106)))</formula>
    </cfRule>
    <cfRule type="containsText" dxfId="86" priority="86" stopIfTrue="1" operator="containsText" text="high">
      <formula>NOT(ISERROR(SEARCH("high",O106)))</formula>
    </cfRule>
    <cfRule type="containsText" dxfId="85" priority="87" stopIfTrue="1" operator="containsText" text="alarm">
      <formula>NOT(ISERROR(SEARCH("alarm",O106)))</formula>
    </cfRule>
    <cfRule type="containsText" dxfId="84" priority="88" stopIfTrue="1" operator="containsText" text="normal">
      <formula>NOT(ISERROR(SEARCH("normal",O106)))</formula>
    </cfRule>
  </conditionalFormatting>
  <conditionalFormatting sqref="O110:O112">
    <cfRule type="cellIs" dxfId="83" priority="82" stopIfTrue="1" operator="between">
      <formula>5</formula>
      <formula>15</formula>
    </cfRule>
    <cfRule type="cellIs" dxfId="82" priority="83" stopIfTrue="1" operator="between">
      <formula>2.1</formula>
      <formula>4.9</formula>
    </cfRule>
    <cfRule type="cellIs" dxfId="81" priority="84" stopIfTrue="1" operator="between">
      <formula>0.1</formula>
      <formula>2</formula>
    </cfRule>
  </conditionalFormatting>
  <conditionalFormatting sqref="Q48">
    <cfRule type="cellIs" dxfId="80" priority="79" stopIfTrue="1" operator="between">
      <formula>5</formula>
      <formula>10</formula>
    </cfRule>
    <cfRule type="cellIs" dxfId="79" priority="80" stopIfTrue="1" operator="between">
      <formula>3</formula>
      <formula>4.9</formula>
    </cfRule>
    <cfRule type="cellIs" dxfId="78" priority="81" stopIfTrue="1" operator="between">
      <formula>0.1</formula>
      <formula>2.9</formula>
    </cfRule>
  </conditionalFormatting>
  <conditionalFormatting sqref="Q53">
    <cfRule type="cellIs" dxfId="77" priority="76" stopIfTrue="1" operator="between">
      <formula>5</formula>
      <formula>15</formula>
    </cfRule>
    <cfRule type="cellIs" dxfId="76" priority="77" stopIfTrue="1" operator="between">
      <formula>2.1</formula>
      <formula>4.9</formula>
    </cfRule>
    <cfRule type="cellIs" dxfId="75" priority="78" stopIfTrue="1" operator="between">
      <formula>0.1</formula>
      <formula>2</formula>
    </cfRule>
  </conditionalFormatting>
  <conditionalFormatting sqref="Q52">
    <cfRule type="cellIs" dxfId="74" priority="73" stopIfTrue="1" operator="between">
      <formula>5</formula>
      <formula>10</formula>
    </cfRule>
    <cfRule type="cellIs" dxfId="73" priority="74" stopIfTrue="1" operator="between">
      <formula>3</formula>
      <formula>4.9</formula>
    </cfRule>
    <cfRule type="cellIs" dxfId="72" priority="75" stopIfTrue="1" operator="between">
      <formula>0.1</formula>
      <formula>2.9</formula>
    </cfRule>
  </conditionalFormatting>
  <conditionalFormatting sqref="Q57">
    <cfRule type="cellIs" dxfId="71" priority="70" stopIfTrue="1" operator="between">
      <formula>5</formula>
      <formula>7</formula>
    </cfRule>
    <cfRule type="cellIs" dxfId="70" priority="71" stopIfTrue="1" operator="between">
      <formula>3</formula>
      <formula>4</formula>
    </cfRule>
    <cfRule type="cellIs" dxfId="69" priority="72" stopIfTrue="1" operator="between">
      <formula>1</formula>
      <formula>2</formula>
    </cfRule>
  </conditionalFormatting>
  <conditionalFormatting sqref="Q54:Q55">
    <cfRule type="cellIs" dxfId="68" priority="67" stopIfTrue="1" operator="between">
      <formula>5</formula>
      <formula>15</formula>
    </cfRule>
    <cfRule type="cellIs" dxfId="67" priority="68" stopIfTrue="1" operator="between">
      <formula>2.1</formula>
      <formula>4.9</formula>
    </cfRule>
    <cfRule type="cellIs" dxfId="66" priority="69" stopIfTrue="1" operator="between">
      <formula>0.1</formula>
      <formula>2</formula>
    </cfRule>
  </conditionalFormatting>
  <conditionalFormatting sqref="K72:N74">
    <cfRule type="cellIs" dxfId="65" priority="64" stopIfTrue="1" operator="between">
      <formula>5</formula>
      <formula>15</formula>
    </cfRule>
    <cfRule type="cellIs" dxfId="64" priority="65" stopIfTrue="1" operator="between">
      <formula>2.1</formula>
      <formula>4.9</formula>
    </cfRule>
    <cfRule type="cellIs" dxfId="63" priority="66" stopIfTrue="1" operator="between">
      <formula>0.1</formula>
      <formula>2</formula>
    </cfRule>
  </conditionalFormatting>
  <conditionalFormatting sqref="L54:N55">
    <cfRule type="cellIs" dxfId="62" priority="61" stopIfTrue="1" operator="between">
      <formula>5</formula>
      <formula>15</formula>
    </cfRule>
    <cfRule type="cellIs" dxfId="61" priority="62" stopIfTrue="1" operator="between">
      <formula>2.1</formula>
      <formula>4.9</formula>
    </cfRule>
    <cfRule type="cellIs" dxfId="60" priority="63" stopIfTrue="1" operator="between">
      <formula>0.1</formula>
      <formula>2</formula>
    </cfRule>
  </conditionalFormatting>
  <conditionalFormatting sqref="K91:N93">
    <cfRule type="cellIs" dxfId="59" priority="58" stopIfTrue="1" operator="between">
      <formula>5</formula>
      <formula>15</formula>
    </cfRule>
    <cfRule type="cellIs" dxfId="58" priority="59" stopIfTrue="1" operator="between">
      <formula>2.1</formula>
      <formula>4.9</formula>
    </cfRule>
    <cfRule type="cellIs" dxfId="57" priority="60" stopIfTrue="1" operator="between">
      <formula>0.1</formula>
      <formula>2</formula>
    </cfRule>
  </conditionalFormatting>
  <conditionalFormatting sqref="K110:N112">
    <cfRule type="cellIs" dxfId="56" priority="55" stopIfTrue="1" operator="between">
      <formula>5</formula>
      <formula>15</formula>
    </cfRule>
    <cfRule type="cellIs" dxfId="55" priority="56" stopIfTrue="1" operator="between">
      <formula>2.1</formula>
      <formula>4.9</formula>
    </cfRule>
    <cfRule type="cellIs" dxfId="54" priority="57" stopIfTrue="1" operator="between">
      <formula>0.1</formula>
      <formula>2</formula>
    </cfRule>
  </conditionalFormatting>
  <conditionalFormatting sqref="L34:L36">
    <cfRule type="cellIs" dxfId="53" priority="52" stopIfTrue="1" operator="between">
      <formula>5</formula>
      <formula>15</formula>
    </cfRule>
    <cfRule type="cellIs" dxfId="52" priority="53" stopIfTrue="1" operator="between">
      <formula>2.1</formula>
      <formula>4.9</formula>
    </cfRule>
    <cfRule type="cellIs" dxfId="51" priority="54" stopIfTrue="1" operator="between">
      <formula>0.1</formula>
      <formula>2</formula>
    </cfRule>
  </conditionalFormatting>
  <conditionalFormatting sqref="K54:K55">
    <cfRule type="cellIs" dxfId="50" priority="49" stopIfTrue="1" operator="between">
      <formula>5</formula>
      <formula>15</formula>
    </cfRule>
    <cfRule type="cellIs" dxfId="49" priority="50" stopIfTrue="1" operator="between">
      <formula>2.1</formula>
      <formula>4.9</formula>
    </cfRule>
    <cfRule type="cellIs" dxfId="48" priority="51" stopIfTrue="1" operator="between">
      <formula>0.1</formula>
      <formula>2</formula>
    </cfRule>
  </conditionalFormatting>
  <conditionalFormatting sqref="O54:O55">
    <cfRule type="cellIs" dxfId="47" priority="46" stopIfTrue="1" operator="between">
      <formula>5</formula>
      <formula>15</formula>
    </cfRule>
    <cfRule type="cellIs" dxfId="46" priority="47" stopIfTrue="1" operator="between">
      <formula>2.1</formula>
      <formula>4.9</formula>
    </cfRule>
    <cfRule type="cellIs" dxfId="45" priority="48" stopIfTrue="1" operator="between">
      <formula>0.1</formula>
      <formula>2</formula>
    </cfRule>
  </conditionalFormatting>
  <conditionalFormatting sqref="Q10">
    <cfRule type="cellIs" dxfId="44" priority="43" stopIfTrue="1" operator="between">
      <formula>5</formula>
      <formula>10</formula>
    </cfRule>
    <cfRule type="cellIs" dxfId="43" priority="44" stopIfTrue="1" operator="between">
      <formula>3</formula>
      <formula>4.9</formula>
    </cfRule>
    <cfRule type="cellIs" dxfId="42" priority="45" stopIfTrue="1" operator="between">
      <formula>0.1</formula>
      <formula>2.9</formula>
    </cfRule>
  </conditionalFormatting>
  <conditionalFormatting sqref="Q14:Q17">
    <cfRule type="cellIs" dxfId="41" priority="40" stopIfTrue="1" operator="between">
      <formula>5</formula>
      <formula>10</formula>
    </cfRule>
    <cfRule type="cellIs" dxfId="40" priority="41" stopIfTrue="1" operator="between">
      <formula>3</formula>
      <formula>4.9</formula>
    </cfRule>
    <cfRule type="cellIs" dxfId="39" priority="42" stopIfTrue="1" operator="between">
      <formula>0.1</formula>
      <formula>2.9</formula>
    </cfRule>
  </conditionalFormatting>
  <conditionalFormatting sqref="Q19">
    <cfRule type="cellIs" dxfId="38" priority="37" stopIfTrue="1" operator="between">
      <formula>5</formula>
      <formula>7</formula>
    </cfRule>
    <cfRule type="cellIs" dxfId="37" priority="38" stopIfTrue="1" operator="between">
      <formula>3</formula>
      <formula>4</formula>
    </cfRule>
    <cfRule type="cellIs" dxfId="36" priority="39" stopIfTrue="1" operator="between">
      <formula>1</formula>
      <formula>2</formula>
    </cfRule>
  </conditionalFormatting>
  <conditionalFormatting sqref="Q22">
    <cfRule type="containsText" dxfId="35" priority="35" stopIfTrue="1" operator="containsText" text="BAD">
      <formula>NOT(ISERROR(SEARCH("BAD",Q22)))</formula>
    </cfRule>
    <cfRule type="containsText" dxfId="34" priority="36" stopIfTrue="1" operator="containsText" text="OK">
      <formula>NOT(ISERROR(SEARCH("OK",Q22)))</formula>
    </cfRule>
  </conditionalFormatting>
  <conditionalFormatting sqref="Q33">
    <cfRule type="cellIs" dxfId="33" priority="32" stopIfTrue="1" operator="between">
      <formula>5</formula>
      <formula>10</formula>
    </cfRule>
    <cfRule type="cellIs" dxfId="32" priority="33" stopIfTrue="1" operator="between">
      <formula>3</formula>
      <formula>4.9</formula>
    </cfRule>
    <cfRule type="cellIs" dxfId="31" priority="34" stopIfTrue="1" operator="between">
      <formula>0.1</formula>
      <formula>2.9</formula>
    </cfRule>
  </conditionalFormatting>
  <conditionalFormatting sqref="Q41">
    <cfRule type="containsText" dxfId="30" priority="30" stopIfTrue="1" operator="containsText" text="BAD">
      <formula>NOT(ISERROR(SEARCH("BAD",Q41)))</formula>
    </cfRule>
    <cfRule type="containsText" dxfId="29" priority="31" stopIfTrue="1" operator="containsText" text="OK">
      <formula>NOT(ISERROR(SEARCH("OK",Q41)))</formula>
    </cfRule>
  </conditionalFormatting>
  <conditionalFormatting sqref="Q34:Q36">
    <cfRule type="cellIs" dxfId="28" priority="27" stopIfTrue="1" operator="between">
      <formula>5</formula>
      <formula>15</formula>
    </cfRule>
    <cfRule type="cellIs" dxfId="27" priority="28" stopIfTrue="1" operator="between">
      <formula>2.1</formula>
      <formula>4.9</formula>
    </cfRule>
    <cfRule type="cellIs" dxfId="26" priority="29" stopIfTrue="1" operator="between">
      <formula>0.1</formula>
      <formula>2</formula>
    </cfRule>
  </conditionalFormatting>
  <conditionalFormatting sqref="Q29">
    <cfRule type="cellIs" dxfId="25" priority="24" stopIfTrue="1" operator="between">
      <formula>5</formula>
      <formula>10</formula>
    </cfRule>
    <cfRule type="cellIs" dxfId="24" priority="25" stopIfTrue="1" operator="between">
      <formula>3</formula>
      <formula>4.9</formula>
    </cfRule>
    <cfRule type="cellIs" dxfId="23" priority="26" stopIfTrue="1" operator="between">
      <formula>0.1</formula>
      <formula>2.9</formula>
    </cfRule>
  </conditionalFormatting>
  <conditionalFormatting sqref="Q38">
    <cfRule type="cellIs" dxfId="22" priority="21" stopIfTrue="1" operator="between">
      <formula>5</formula>
      <formula>7</formula>
    </cfRule>
    <cfRule type="cellIs" dxfId="21" priority="22" stopIfTrue="1" operator="between">
      <formula>3</formula>
      <formula>4</formula>
    </cfRule>
    <cfRule type="cellIs" dxfId="20" priority="23" stopIfTrue="1" operator="between">
      <formula>1</formula>
      <formula>2</formula>
    </cfRule>
  </conditionalFormatting>
  <conditionalFormatting sqref="R86">
    <cfRule type="cellIs" dxfId="19" priority="18" stopIfTrue="1" operator="between">
      <formula>5</formula>
      <formula>10</formula>
    </cfRule>
    <cfRule type="cellIs" dxfId="18" priority="19" stopIfTrue="1" operator="between">
      <formula>3</formula>
      <formula>4.9</formula>
    </cfRule>
    <cfRule type="cellIs" dxfId="17" priority="20" stopIfTrue="1" operator="between">
      <formula>0.1</formula>
      <formula>2.9</formula>
    </cfRule>
  </conditionalFormatting>
  <conditionalFormatting sqref="R90">
    <cfRule type="cellIs" dxfId="16" priority="15" stopIfTrue="1" operator="between">
      <formula>5</formula>
      <formula>10</formula>
    </cfRule>
    <cfRule type="cellIs" dxfId="15" priority="16" stopIfTrue="1" operator="between">
      <formula>3</formula>
      <formula>4.9</formula>
    </cfRule>
    <cfRule type="cellIs" dxfId="14" priority="17" stopIfTrue="1" operator="between">
      <formula>0.1</formula>
      <formula>2.9</formula>
    </cfRule>
  </conditionalFormatting>
  <conditionalFormatting sqref="R95">
    <cfRule type="cellIs" dxfId="13" priority="12" stopIfTrue="1" operator="between">
      <formula>5</formula>
      <formula>7</formula>
    </cfRule>
    <cfRule type="cellIs" dxfId="12" priority="13" stopIfTrue="1" operator="between">
      <formula>3</formula>
      <formula>4</formula>
    </cfRule>
    <cfRule type="cellIs" dxfId="11" priority="14" stopIfTrue="1" operator="between">
      <formula>1</formula>
      <formula>2</formula>
    </cfRule>
  </conditionalFormatting>
  <conditionalFormatting sqref="R98">
    <cfRule type="containsText" dxfId="10" priority="10" stopIfTrue="1" operator="containsText" text="BAD">
      <formula>NOT(ISERROR(SEARCH("BAD",R98)))</formula>
    </cfRule>
    <cfRule type="containsText" dxfId="9" priority="11" stopIfTrue="1" operator="containsText" text="OK">
      <formula>NOT(ISERROR(SEARCH("OK",R98)))</formula>
    </cfRule>
  </conditionalFormatting>
  <conditionalFormatting sqref="R91:R93">
    <cfRule type="cellIs" dxfId="8" priority="7" stopIfTrue="1" operator="between">
      <formula>5</formula>
      <formula>15</formula>
    </cfRule>
    <cfRule type="cellIs" dxfId="7" priority="8" stopIfTrue="1" operator="between">
      <formula>2.1</formula>
      <formula>4.9</formula>
    </cfRule>
    <cfRule type="cellIs" dxfId="6" priority="9" stopIfTrue="1" operator="between">
      <formula>0.1</formula>
      <formula>2</formula>
    </cfRule>
  </conditionalFormatting>
  <conditionalFormatting sqref="R94">
    <cfRule type="cellIs" dxfId="5" priority="4" stopIfTrue="1" operator="between">
      <formula>5</formula>
      <formula>10</formula>
    </cfRule>
    <cfRule type="cellIs" dxfId="4" priority="5" stopIfTrue="1" operator="between">
      <formula>3</formula>
      <formula>4.9</formula>
    </cfRule>
    <cfRule type="cellIs" dxfId="3" priority="6" stopIfTrue="1" operator="between">
      <formula>0.1</formula>
      <formula>2.9</formula>
    </cfRule>
  </conditionalFormatting>
  <conditionalFormatting sqref="R34">
    <cfRule type="cellIs" dxfId="2" priority="1" stopIfTrue="1" operator="between">
      <formula>5</formula>
      <formula>10</formula>
    </cfRule>
    <cfRule type="cellIs" dxfId="1" priority="2" stopIfTrue="1" operator="between">
      <formula>3</formula>
      <formula>4.9</formula>
    </cfRule>
    <cfRule type="cellIs" dxfId="0" priority="3" stopIfTrue="1" operator="between">
      <formula>0.1</formula>
      <formula>2.9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2026-01-14T10:48:47Z</dcterms:created>
  <dcterms:modified xsi:type="dcterms:W3CDTF">2026-01-14T10:49:13Z</dcterms:modified>
</cp:coreProperties>
</file>