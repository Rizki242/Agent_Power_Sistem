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pribadi\Download\"/>
    </mc:Choice>
  </mc:AlternateContent>
  <xr:revisionPtr revIDLastSave="0" documentId="13_ncr:1_{E29929E1-47EC-4976-98B9-45CDF4742832}" xr6:coauthVersionLast="47" xr6:coauthVersionMax="47" xr10:uidLastSave="{00000000-0000-0000-0000-000000000000}"/>
  <bookViews>
    <workbookView xWindow="-110" yWindow="-110" windowWidth="19420" windowHeight="10300" activeTab="1" xr2:uid="{00000000-000D-0000-FFFF-FFFF00000000}"/>
  </bookViews>
  <sheets>
    <sheet name="DASHBOARD" sheetId="1" r:id="rId1"/>
    <sheet name="SUMMARY" sheetId="2" r:id="rId2"/>
    <sheet name="REKOMENDASI" sheetId="3" r:id="rId3"/>
  </sheets>
  <externalReferences>
    <externalReference r:id="rId4"/>
  </externalReferences>
  <definedNames>
    <definedName name="_xlnm._FilterDatabase" localSheetId="2" hidden="1">REKOMENDASI!$A$92:$L$92</definedName>
    <definedName name="_xlnm.Print_Area" localSheetId="0">DASHBOARD!$A$1:$V$76</definedName>
    <definedName name="_xlnm.Print_Area" localSheetId="2">REKOMENDASI!$B$1:$L$120</definedName>
    <definedName name="_xlnm.Print_Area" localSheetId="1">SUMMARY!$A$1:$Y$102</definedName>
    <definedName name="_xlnm.Print_Titles" localSheetId="2">REKOMENDASI!$1:$8</definedName>
    <definedName name="_xlnm.Print_Titles" localSheetId="1">SUMMARY!$1:$6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7" i="3" l="1"/>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79" i="3"/>
  <c r="D78" i="3"/>
  <c r="D77" i="3"/>
  <c r="D76" i="3"/>
  <c r="D75" i="3"/>
  <c r="D74" i="3"/>
  <c r="D73" i="3"/>
  <c r="D72" i="3"/>
  <c r="D71" i="3"/>
  <c r="D70" i="3"/>
  <c r="D69" i="3"/>
  <c r="D68" i="3"/>
  <c r="D67" i="3"/>
  <c r="D66" i="3"/>
  <c r="D65" i="3"/>
  <c r="D64" i="3"/>
  <c r="D63" i="3"/>
  <c r="D62" i="3"/>
  <c r="D61" i="3"/>
  <c r="D60" i="3"/>
  <c r="D59" i="3"/>
  <c r="D58" i="3"/>
  <c r="D57" i="3"/>
  <c r="D54" i="3"/>
  <c r="D53" i="3"/>
  <c r="D50" i="3"/>
  <c r="D49" i="3"/>
  <c r="D48" i="3"/>
  <c r="D47" i="3"/>
  <c r="D46" i="3"/>
  <c r="D45" i="3"/>
  <c r="D44" i="3"/>
  <c r="D43" i="3"/>
  <c r="D42" i="3"/>
  <c r="D41" i="3"/>
  <c r="D40" i="3"/>
  <c r="D39" i="3"/>
  <c r="D38" i="3"/>
  <c r="D37" i="3"/>
  <c r="D36" i="3"/>
  <c r="D30" i="3"/>
  <c r="D29" i="3"/>
  <c r="D28" i="3"/>
  <c r="D27" i="3"/>
  <c r="D26" i="3"/>
  <c r="D25" i="3"/>
  <c r="D24" i="3"/>
  <c r="D23" i="3"/>
  <c r="D22" i="3"/>
  <c r="D21" i="3"/>
  <c r="D20" i="3"/>
  <c r="D19" i="3"/>
  <c r="D18" i="3"/>
  <c r="D17" i="3"/>
  <c r="D16" i="3"/>
  <c r="D15" i="3"/>
  <c r="D14" i="3"/>
  <c r="D13" i="3"/>
  <c r="D12" i="3"/>
  <c r="D11" i="3"/>
  <c r="D10" i="3"/>
  <c r="D9" i="3"/>
  <c r="W111" i="2"/>
  <c r="X111" i="2" s="1"/>
  <c r="C111" i="2"/>
  <c r="W110" i="2"/>
  <c r="X110" i="2" s="1"/>
  <c r="C110" i="2"/>
  <c r="W109" i="2"/>
  <c r="X109" i="2" s="1"/>
  <c r="C109" i="2"/>
  <c r="W108" i="2"/>
  <c r="X108" i="2" s="1"/>
  <c r="C108" i="2"/>
  <c r="W107" i="2"/>
  <c r="X107" i="2" s="1"/>
  <c r="C107" i="2"/>
  <c r="W106" i="2"/>
  <c r="X106" i="2" s="1"/>
  <c r="C106" i="2"/>
  <c r="W105" i="2"/>
  <c r="X105" i="2" s="1"/>
  <c r="C105" i="2"/>
  <c r="W104" i="2"/>
  <c r="X104" i="2" s="1"/>
  <c r="C104" i="2"/>
  <c r="W103" i="2"/>
  <c r="X103" i="2" s="1"/>
  <c r="C103" i="2"/>
  <c r="C101" i="2"/>
  <c r="W100" i="2"/>
  <c r="C100" i="2"/>
  <c r="W99" i="2"/>
  <c r="C99" i="2"/>
  <c r="W98" i="2"/>
  <c r="C98" i="2"/>
  <c r="W97" i="2"/>
  <c r="C97" i="2"/>
  <c r="W96" i="2"/>
  <c r="C96" i="2"/>
  <c r="C95" i="2"/>
  <c r="W94" i="2"/>
  <c r="C94" i="2"/>
  <c r="W93" i="2"/>
  <c r="C93" i="2"/>
  <c r="W92" i="2"/>
  <c r="C92" i="2"/>
  <c r="C91" i="2"/>
  <c r="C90" i="2"/>
  <c r="W89" i="2"/>
  <c r="C89" i="2"/>
  <c r="W88" i="2"/>
  <c r="C88" i="2"/>
  <c r="C87" i="2"/>
  <c r="W85" i="2"/>
  <c r="W84" i="2"/>
  <c r="W82" i="2"/>
  <c r="W80" i="2"/>
  <c r="W79" i="2"/>
  <c r="W78" i="2"/>
  <c r="C77" i="2"/>
  <c r="C76" i="2"/>
  <c r="W75" i="2"/>
  <c r="C75" i="2"/>
  <c r="W74" i="2"/>
  <c r="C74" i="2"/>
  <c r="W73" i="2"/>
  <c r="C73" i="2"/>
  <c r="W72" i="2"/>
  <c r="C72" i="2"/>
  <c r="W71" i="2"/>
  <c r="C71" i="2"/>
  <c r="C70" i="2"/>
  <c r="W69" i="2"/>
  <c r="C69" i="2"/>
  <c r="W68" i="2"/>
  <c r="C68" i="2"/>
  <c r="W67" i="2"/>
  <c r="C67" i="2"/>
  <c r="W66" i="2"/>
  <c r="C66" i="2"/>
  <c r="C65" i="2"/>
  <c r="C64" i="2"/>
  <c r="W63" i="2"/>
  <c r="C63" i="2"/>
  <c r="W62" i="2"/>
  <c r="C62" i="2"/>
  <c r="C61" i="2"/>
  <c r="W60" i="2"/>
  <c r="C60" i="2"/>
  <c r="W59" i="2"/>
  <c r="C59" i="2"/>
  <c r="W58" i="2"/>
  <c r="C58" i="2"/>
  <c r="C57" i="2"/>
  <c r="C56" i="2"/>
  <c r="C55" i="2"/>
  <c r="W53" i="2"/>
  <c r="C52" i="2"/>
  <c r="C51" i="2"/>
  <c r="W49" i="2"/>
  <c r="C49" i="2"/>
  <c r="W48" i="2"/>
  <c r="C48" i="2"/>
  <c r="W47" i="2"/>
  <c r="C47" i="2"/>
  <c r="C46" i="2"/>
  <c r="C45" i="2"/>
  <c r="W44" i="2"/>
  <c r="C44" i="2"/>
  <c r="C43" i="2"/>
  <c r="C42" i="2"/>
  <c r="C41" i="2"/>
  <c r="W40" i="2"/>
  <c r="C40" i="2"/>
  <c r="W39" i="2"/>
  <c r="C39" i="2"/>
  <c r="C38" i="2"/>
  <c r="C37" i="2"/>
  <c r="AA36" i="2"/>
  <c r="AA37" i="2" s="1"/>
  <c r="AA44" i="2" s="1"/>
  <c r="AA46" i="2" s="1"/>
  <c r="AA47" i="2" s="1"/>
  <c r="C36" i="2"/>
  <c r="W35" i="2"/>
  <c r="C35" i="2"/>
  <c r="C34" i="2"/>
  <c r="W33" i="2"/>
  <c r="W32" i="2"/>
  <c r="W30" i="2"/>
  <c r="W29" i="2"/>
  <c r="W28" i="2"/>
  <c r="C28" i="2"/>
  <c r="C27" i="2"/>
  <c r="W26" i="2"/>
  <c r="C26" i="2"/>
  <c r="W25" i="2"/>
  <c r="C25" i="2"/>
  <c r="W24" i="2"/>
  <c r="C24" i="2"/>
  <c r="W23" i="2"/>
  <c r="C23" i="2"/>
  <c r="W22" i="2"/>
  <c r="C22" i="2"/>
  <c r="W21" i="2"/>
  <c r="C21" i="2"/>
  <c r="W20" i="2"/>
  <c r="C20" i="2"/>
  <c r="C19" i="2"/>
  <c r="C18" i="2"/>
  <c r="C17" i="2"/>
  <c r="C16" i="2"/>
  <c r="C15" i="2"/>
  <c r="C14" i="2"/>
  <c r="W13" i="2"/>
  <c r="C13" i="2"/>
  <c r="W12" i="2"/>
  <c r="C12" i="2"/>
  <c r="C11" i="2"/>
  <c r="C10" i="2"/>
  <c r="AA9" i="2"/>
  <c r="AA10" i="2" s="1"/>
  <c r="AA17" i="2" s="1"/>
  <c r="AA19" i="2" s="1"/>
  <c r="AA20" i="2" s="1"/>
  <c r="C9" i="2"/>
  <c r="AM8" i="2"/>
  <c r="AN8" i="2" s="1"/>
  <c r="C8" i="2"/>
  <c r="C7" i="2"/>
  <c r="JA5" i="2"/>
  <c r="JB5" i="2" s="1"/>
  <c r="IM5" i="2"/>
  <c r="IN5" i="2" s="1"/>
  <c r="HY5" i="2"/>
  <c r="HZ5" i="2" s="1"/>
  <c r="HK5" i="2"/>
  <c r="HL5" i="2" s="1"/>
  <c r="GW5" i="2"/>
  <c r="GX5" i="2" s="1"/>
  <c r="GI5" i="2"/>
  <c r="GJ5" i="2" s="1"/>
  <c r="FU5" i="2"/>
  <c r="FV5" i="2" s="1"/>
  <c r="FG5" i="2"/>
  <c r="FH5" i="2" s="1"/>
  <c r="ES5" i="2"/>
  <c r="ET5" i="2" s="1"/>
  <c r="EE5" i="2"/>
  <c r="EF5" i="2" s="1"/>
  <c r="DQ5" i="2"/>
  <c r="DR5" i="2" s="1"/>
  <c r="CW5" i="2"/>
  <c r="CX5" i="2" s="1"/>
  <c r="CC5" i="2"/>
  <c r="CD5" i="2" s="1"/>
  <c r="BO5" i="2"/>
  <c r="BP5" i="2" s="1"/>
  <c r="BA5" i="2"/>
  <c r="BB5" i="2" s="1"/>
  <c r="AM5" i="2"/>
  <c r="AN5" i="2" s="1"/>
  <c r="C16" i="1"/>
  <c r="X33" i="2" l="1"/>
  <c r="X30" i="2"/>
  <c r="X48" i="2"/>
  <c r="X49" i="2"/>
  <c r="X84" i="2"/>
  <c r="X25" i="2"/>
  <c r="X62" i="2"/>
  <c r="X68" i="2"/>
  <c r="X67" i="2"/>
  <c r="X71" i="2"/>
  <c r="X73" i="2"/>
  <c r="X28" i="2"/>
  <c r="X96" i="2"/>
  <c r="X21" i="2"/>
  <c r="X59" i="2"/>
  <c r="X22" i="2"/>
  <c r="X32" i="2"/>
  <c r="X75" i="2"/>
  <c r="X63" i="2"/>
  <c r="X24" i="2"/>
  <c r="X39" i="2"/>
  <c r="X20" i="2"/>
  <c r="X53" i="2"/>
  <c r="X72" i="2"/>
  <c r="X92" i="2"/>
  <c r="X12" i="2"/>
  <c r="X58" i="2"/>
  <c r="X74" i="2"/>
  <c r="X80" i="2"/>
  <c r="X82" i="2"/>
  <c r="X88" i="2"/>
  <c r="X23" i="2"/>
  <c r="X35" i="2"/>
  <c r="X40" i="2"/>
  <c r="X47" i="2"/>
  <c r="X60" i="2"/>
  <c r="X66" i="2"/>
  <c r="X26" i="2"/>
  <c r="X85" i="2"/>
  <c r="X93" i="2"/>
  <c r="X97" i="2"/>
  <c r="W15" i="2"/>
  <c r="X29" i="2"/>
  <c r="W42" i="2"/>
  <c r="W51" i="2"/>
  <c r="W14" i="2"/>
  <c r="W16" i="2"/>
  <c r="W43" i="2"/>
  <c r="W54" i="2"/>
  <c r="W77" i="2"/>
  <c r="W90" i="2"/>
  <c r="W95" i="2"/>
  <c r="X13" i="2"/>
  <c r="X44" i="2"/>
  <c r="W8" i="2"/>
  <c r="W19" i="2"/>
  <c r="W10" i="2"/>
  <c r="W18" i="2"/>
  <c r="W52" i="2"/>
  <c r="W65" i="2"/>
  <c r="W70" i="2"/>
  <c r="W81" i="2"/>
  <c r="W101" i="2"/>
  <c r="W46" i="2"/>
  <c r="W11" i="2"/>
  <c r="W57" i="2"/>
  <c r="W76" i="2"/>
  <c r="X99" i="2"/>
  <c r="X79" i="2"/>
  <c r="X100" i="2"/>
  <c r="W31" i="2"/>
  <c r="W38" i="2"/>
  <c r="X69" i="2"/>
  <c r="X78" i="2"/>
  <c r="X89" i="2"/>
  <c r="X94" i="2"/>
  <c r="W37" i="2"/>
  <c r="W41" i="2"/>
  <c r="W56" i="2"/>
  <c r="W9" i="2"/>
  <c r="W17" i="2"/>
  <c r="W27" i="2"/>
  <c r="W36" i="2"/>
  <c r="W45" i="2"/>
  <c r="W50" i="2"/>
  <c r="W61" i="2"/>
  <c r="W64" i="2"/>
  <c r="W83" i="2"/>
  <c r="W91" i="2"/>
  <c r="X98" i="2"/>
  <c r="X61" i="2" l="1"/>
  <c r="X65" i="2"/>
  <c r="X76" i="2"/>
  <c r="X95" i="2"/>
  <c r="X42" i="2"/>
  <c r="X45" i="2"/>
  <c r="X38" i="2"/>
  <c r="X57" i="2"/>
  <c r="X18" i="2"/>
  <c r="X90" i="2"/>
  <c r="F12" i="1" s="1"/>
  <c r="X83" i="2"/>
  <c r="X9" i="2"/>
  <c r="X64" i="2"/>
  <c r="X56" i="2"/>
  <c r="X51" i="2"/>
  <c r="X50" i="2"/>
  <c r="X37" i="2"/>
  <c r="X52" i="2"/>
  <c r="X36" i="2"/>
  <c r="E10" i="1" s="1"/>
  <c r="X31" i="2"/>
  <c r="X11" i="2"/>
  <c r="X10" i="2"/>
  <c r="X77" i="2"/>
  <c r="X81" i="2"/>
  <c r="X16" i="2"/>
  <c r="X70" i="2"/>
  <c r="X14" i="2"/>
  <c r="X41" i="2"/>
  <c r="X27" i="2"/>
  <c r="X46" i="2"/>
  <c r="X19" i="2"/>
  <c r="X54" i="2"/>
  <c r="X15" i="2"/>
  <c r="X91" i="2"/>
  <c r="X17" i="2"/>
  <c r="X101" i="2"/>
  <c r="X8" i="2"/>
  <c r="X43" i="2"/>
  <c r="F10" i="1" l="1"/>
  <c r="H12" i="1"/>
  <c r="G9" i="1"/>
  <c r="F9" i="1"/>
  <c r="D9" i="1"/>
  <c r="H9" i="1"/>
  <c r="E9" i="1"/>
  <c r="H10" i="1"/>
  <c r="E12" i="1"/>
  <c r="G10" i="1"/>
  <c r="D12" i="1"/>
  <c r="H11" i="1"/>
  <c r="E11" i="1"/>
  <c r="D11" i="1"/>
  <c r="G11" i="1"/>
  <c r="F11" i="1"/>
  <c r="G12" i="1"/>
  <c r="D10" i="1"/>
  <c r="H13" i="1" l="1"/>
  <c r="D13" i="1"/>
  <c r="E13" i="1"/>
  <c r="F13" i="1"/>
  <c r="G13" i="1"/>
  <c r="H14" i="1" l="1"/>
  <c r="D14" i="1"/>
  <c r="G14" i="1"/>
  <c r="F14" i="1"/>
  <c r="E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N5" authorId="0" shapeId="0" xr:uid="{00000000-0006-0000-0100-000001000000}">
      <text>
        <r>
          <rPr>
            <b/>
            <sz val="9"/>
            <color indexed="81"/>
            <rFont val="Tahoma"/>
            <family val="2"/>
          </rPr>
          <t>User:</t>
        </r>
        <r>
          <rPr>
            <sz val="9"/>
            <color indexed="81"/>
            <rFont val="Tahoma"/>
            <family val="2"/>
          </rPr>
          <t xml:space="preserve">
beban : 15 MW 
Demper : 30 %
arus : 33,8  A </t>
        </r>
      </text>
    </comment>
    <comment ref="BB5" authorId="0" shapeId="0" xr:uid="{00000000-0006-0000-0100-000002000000}">
      <text>
        <r>
          <rPr>
            <b/>
            <sz val="9"/>
            <color indexed="81"/>
            <rFont val="Tahoma"/>
            <family val="2"/>
          </rPr>
          <t xml:space="preserve">Hermawan :
</t>
        </r>
        <r>
          <rPr>
            <sz val="9"/>
            <color indexed="81"/>
            <rFont val="Tahoma"/>
            <family val="2"/>
          </rPr>
          <t>Beban : 15 MW
Damper : 42 %
Arus : 26,7 A</t>
        </r>
      </text>
    </comment>
    <comment ref="BP5" authorId="0" shapeId="0" xr:uid="{00000000-0006-0000-0100-000003000000}">
      <text>
        <r>
          <rPr>
            <b/>
            <sz val="9"/>
            <color indexed="81"/>
            <rFont val="Tahoma"/>
            <family val="2"/>
          </rPr>
          <t xml:space="preserve">Hermawan 
</t>
        </r>
        <r>
          <rPr>
            <sz val="9"/>
            <color indexed="81"/>
            <rFont val="Tahoma"/>
            <family val="2"/>
          </rPr>
          <t>Beban : 15 MW 
Damper : 29 %
Arus : 37,8 A</t>
        </r>
      </text>
    </comment>
    <comment ref="CD5" authorId="0" shapeId="0" xr:uid="{00000000-0006-0000-0100-000004000000}">
      <text>
        <r>
          <rPr>
            <b/>
            <sz val="9"/>
            <color indexed="81"/>
            <rFont val="Tahoma"/>
            <family val="2"/>
          </rPr>
          <t xml:space="preserve">Hermawan 
</t>
        </r>
        <r>
          <rPr>
            <sz val="9"/>
            <color indexed="81"/>
            <rFont val="Tahoma"/>
            <family val="2"/>
          </rPr>
          <t>Beban 15 MW MW
Damper : 24  %
Arus : 39,7  A</t>
        </r>
      </text>
    </comment>
    <comment ref="CX5" authorId="0" shapeId="0" xr:uid="{00000000-0006-0000-0100-000005000000}">
      <text>
        <r>
          <rPr>
            <b/>
            <sz val="9"/>
            <color indexed="81"/>
            <rFont val="Tahoma"/>
            <family val="2"/>
          </rPr>
          <t>User:</t>
        </r>
        <r>
          <rPr>
            <sz val="9"/>
            <color indexed="81"/>
            <rFont val="Tahoma"/>
            <family val="2"/>
          </rPr>
          <t xml:space="preserve">
Beban 15 Mw
Arus : 66,9  A</t>
        </r>
      </text>
    </comment>
    <comment ref="EF5" authorId="0" shapeId="0" xr:uid="{00000000-0006-0000-0100-000006000000}">
      <text>
        <r>
          <rPr>
            <sz val="9"/>
            <color indexed="81"/>
            <rFont val="Tahoma"/>
            <family val="2"/>
          </rPr>
          <t>Hermawan :
beban : 15 MW</t>
        </r>
      </text>
    </comment>
    <comment ref="ET5" authorId="0" shapeId="0" xr:uid="{00000000-0006-0000-0100-000007000000}">
      <text>
        <r>
          <rPr>
            <b/>
            <sz val="9"/>
            <color indexed="81"/>
            <rFont val="Tahoma"/>
            <family val="2"/>
          </rPr>
          <t xml:space="preserve">Hermawan :
</t>
        </r>
        <r>
          <rPr>
            <sz val="9"/>
            <color indexed="81"/>
            <rFont val="Tahoma"/>
            <family val="2"/>
          </rPr>
          <t>Beban</t>
        </r>
        <r>
          <rPr>
            <b/>
            <sz val="9"/>
            <color indexed="81"/>
            <rFont val="Tahoma"/>
            <family val="2"/>
          </rPr>
          <t xml:space="preserve"> : 25,5</t>
        </r>
        <r>
          <rPr>
            <sz val="9"/>
            <color indexed="81"/>
            <rFont val="Tahoma"/>
            <family val="2"/>
          </rPr>
          <t xml:space="preserve"> MW
Arus : 61,7  A
</t>
        </r>
      </text>
    </comment>
    <comment ref="FH5" authorId="0" shapeId="0" xr:uid="{00000000-0006-0000-0100-000008000000}">
      <text>
        <r>
          <rPr>
            <b/>
            <sz val="9"/>
            <color indexed="81"/>
            <rFont val="Tahoma"/>
            <family val="2"/>
          </rPr>
          <t xml:space="preserve">Hermawan :
</t>
        </r>
        <r>
          <rPr>
            <sz val="9"/>
            <color indexed="81"/>
            <rFont val="Tahoma"/>
            <family val="2"/>
          </rPr>
          <t>Beban</t>
        </r>
        <r>
          <rPr>
            <b/>
            <sz val="9"/>
            <color indexed="81"/>
            <rFont val="Tahoma"/>
            <family val="2"/>
          </rPr>
          <t xml:space="preserve"> : 25</t>
        </r>
        <r>
          <rPr>
            <sz val="9"/>
            <color indexed="81"/>
            <rFont val="Tahoma"/>
            <family val="2"/>
          </rPr>
          <t xml:space="preserve">  MW
Arus : 55,1 A
</t>
        </r>
      </text>
    </comment>
    <comment ref="GJ5" authorId="0" shapeId="0" xr:uid="{00000000-0006-0000-0100-000009000000}">
      <text>
        <r>
          <rPr>
            <b/>
            <sz val="9"/>
            <color indexed="81"/>
            <rFont val="Tahoma"/>
            <family val="2"/>
          </rPr>
          <t>Hermawan :</t>
        </r>
        <r>
          <rPr>
            <sz val="9"/>
            <color indexed="81"/>
            <rFont val="Tahoma"/>
            <family val="2"/>
          </rPr>
          <t xml:space="preserve">
Beban : 15 MW
Arus : 52,3  A</t>
        </r>
      </text>
    </comment>
    <comment ref="HL5" authorId="0" shapeId="0" xr:uid="{00000000-0006-0000-0100-00000A000000}">
      <text>
        <r>
          <rPr>
            <b/>
            <sz val="9"/>
            <color indexed="81"/>
            <rFont val="Tahoma"/>
            <family val="2"/>
          </rPr>
          <t>User:</t>
        </r>
        <r>
          <rPr>
            <sz val="9"/>
            <color indexed="81"/>
            <rFont val="Tahoma"/>
            <family val="2"/>
          </rPr>
          <t xml:space="preserve">
beban :  MW
rpm : 
arus  : 
flow : 
flow coupling :  % </t>
        </r>
      </text>
    </comment>
    <comment ref="IN5" authorId="0" shapeId="0" xr:uid="{00000000-0006-0000-0100-00000B000000}">
      <text>
        <r>
          <rPr>
            <b/>
            <sz val="9"/>
            <color indexed="81"/>
            <rFont val="Tahoma"/>
            <family val="2"/>
          </rPr>
          <t>User:</t>
        </r>
        <r>
          <rPr>
            <sz val="9"/>
            <color indexed="81"/>
            <rFont val="Tahoma"/>
            <family val="2"/>
          </rPr>
          <t xml:space="preserve">
BEBAN :  MW 
CURRENT : 71,9 A </t>
        </r>
      </text>
    </comment>
    <comment ref="JB5" authorId="0" shapeId="0" xr:uid="{00000000-0006-0000-0100-00000C000000}">
      <text>
        <r>
          <rPr>
            <b/>
            <sz val="9"/>
            <color indexed="81"/>
            <rFont val="Tahoma"/>
            <family val="2"/>
          </rPr>
          <t>User:</t>
        </r>
        <r>
          <rPr>
            <sz val="9"/>
            <color indexed="81"/>
            <rFont val="Tahoma"/>
            <family val="2"/>
          </rPr>
          <t xml:space="preserve">
BEBAN :  MW 
CURRENT : 74,7 A </t>
        </r>
      </text>
    </comment>
  </commentList>
</comments>
</file>

<file path=xl/sharedStrings.xml><?xml version="1.0" encoding="utf-8"?>
<sst xmlns="http://schemas.openxmlformats.org/spreadsheetml/2006/main" count="1412" uniqueCount="233">
  <si>
    <t>PT. PLN INDONESIA POWER</t>
  </si>
  <si>
    <t xml:space="preserve">No. Dok </t>
  </si>
  <si>
    <t>: FORM.JRG.F.05.001</t>
  </si>
  <si>
    <t>UNIT BISNIS PEMBANGKITAN JERANJANG</t>
  </si>
  <si>
    <t xml:space="preserve">Tgl Terbit </t>
  </si>
  <si>
    <t>: 1 Sep 2016</t>
  </si>
  <si>
    <t>BIDANG ENJINERING</t>
  </si>
  <si>
    <t xml:space="preserve">Rev </t>
  </si>
  <si>
    <t>: 00</t>
  </si>
  <si>
    <t>LAPORAN PDM TEKNOLOGI VIBRASI</t>
  </si>
  <si>
    <t xml:space="preserve">Hal </t>
  </si>
  <si>
    <t>:</t>
  </si>
  <si>
    <t>HASIL PENGUKURAN PADA EQUIPMENT BULAN JANUARI 2026</t>
  </si>
  <si>
    <t>UNIT</t>
  </si>
  <si>
    <t>LEVEL VIBRASI</t>
  </si>
  <si>
    <t>LEVEL A</t>
  </si>
  <si>
    <t>LEVEL B</t>
  </si>
  <si>
    <t>LEVEL C</t>
  </si>
  <si>
    <t>LEVEL D</t>
  </si>
  <si>
    <t>STANDBY</t>
  </si>
  <si>
    <t xml:space="preserve">KETERANGAN </t>
  </si>
  <si>
    <t>UNIT 1</t>
  </si>
  <si>
    <t>A</t>
  </si>
  <si>
    <t>Sangat halus (New machine condition)</t>
  </si>
  <si>
    <t>UNIT 2</t>
  </si>
  <si>
    <t>B</t>
  </si>
  <si>
    <t>Diperbolehkan beroperasi dalam jangka waktu lama  yang tak terbatas (Unlimited long-term operation allowable)</t>
  </si>
  <si>
    <t>UNIT 3</t>
  </si>
  <si>
    <t>C</t>
  </si>
  <si>
    <t>Diperbolehkan beroperasi dalam jangka waktu singkat (Short-term operation allowable)</t>
  </si>
  <si>
    <t>COAL HANDLING</t>
  </si>
  <si>
    <t>D</t>
  </si>
  <si>
    <t>Bila dioperasikan mengakibatkna kerusakan yang lebih parah (Vibration causes damage)</t>
  </si>
  <si>
    <t xml:space="preserve">TOTAL </t>
  </si>
  <si>
    <t>E</t>
  </si>
  <si>
    <t>Peralatan Stand BY</t>
  </si>
  <si>
    <t>PERSENTASE (%)</t>
  </si>
  <si>
    <t>INPUT NO</t>
  </si>
  <si>
    <t>KET</t>
  </si>
  <si>
    <t>NO</t>
  </si>
  <si>
    <t>EQUIPMENT</t>
  </si>
  <si>
    <t>CLASS / GROUP</t>
  </si>
  <si>
    <t>POSISI</t>
  </si>
  <si>
    <t>VIB 
MAX</t>
  </si>
  <si>
    <t>STATUS</t>
  </si>
  <si>
    <t>1V</t>
  </si>
  <si>
    <t>1H</t>
  </si>
  <si>
    <t>1A</t>
  </si>
  <si>
    <t>2V</t>
  </si>
  <si>
    <t>2H</t>
  </si>
  <si>
    <t>2A</t>
  </si>
  <si>
    <t>3V</t>
  </si>
  <si>
    <t>3H</t>
  </si>
  <si>
    <t>3A</t>
  </si>
  <si>
    <t>4V</t>
  </si>
  <si>
    <t>4H</t>
  </si>
  <si>
    <t>4A</t>
  </si>
  <si>
    <t>5V</t>
  </si>
  <si>
    <t>5H</t>
  </si>
  <si>
    <t>5A</t>
  </si>
  <si>
    <t>6V</t>
  </si>
  <si>
    <t>6H</t>
  </si>
  <si>
    <t>6A</t>
  </si>
  <si>
    <t>Maret</t>
  </si>
  <si>
    <t>GROUP 1</t>
  </si>
  <si>
    <t>NA</t>
  </si>
  <si>
    <t>GROUP 2</t>
  </si>
  <si>
    <t>AC OIL PUMP UNIT 1</t>
  </si>
  <si>
    <t>DC OIL PUMP UNIT 1</t>
  </si>
  <si>
    <t>DIESEL FIRE FIGHTING UNIT 1</t>
  </si>
  <si>
    <t>ELECTRIC FIRE FIGHTING UNIT 1</t>
  </si>
  <si>
    <t>JOCKEY FIGHTING UNIT 1</t>
  </si>
  <si>
    <t>N/A</t>
  </si>
  <si>
    <t>Motor CCCWP 2C</t>
  </si>
  <si>
    <t>AC OIL PUMP UNIT 2</t>
  </si>
  <si>
    <t>DC OIL PUMP UNIT 2</t>
  </si>
  <si>
    <t>April</t>
  </si>
  <si>
    <t>Mei</t>
  </si>
  <si>
    <t>Juni</t>
  </si>
  <si>
    <t>Juli</t>
  </si>
  <si>
    <t>Agustus</t>
  </si>
  <si>
    <t>September</t>
  </si>
  <si>
    <t>Oktober</t>
  </si>
  <si>
    <t>GANGGUAN</t>
  </si>
  <si>
    <t>Fire Fighting Jockey Pump 1</t>
  </si>
  <si>
    <t>TIDAK SAFETY UNTUK DI AMBIL</t>
  </si>
  <si>
    <t>Fire Fighting Jockey Pump 2</t>
  </si>
  <si>
    <t>November</t>
  </si>
  <si>
    <t>Fire Fighting Pump With Motor </t>
  </si>
  <si>
    <t>Fire Fighting Pump With Diesel</t>
  </si>
  <si>
    <t>Desember</t>
  </si>
  <si>
    <t>AC Oil Pump Unit 3</t>
  </si>
  <si>
    <t>DC Oil Pump Unit 3</t>
  </si>
  <si>
    <t>Jacking Oil Pump 3A</t>
  </si>
  <si>
    <t>Jacking Oil Pump 3B</t>
  </si>
  <si>
    <t>No. Dok : FORM.JRG.F.05.001</t>
  </si>
  <si>
    <t>Tgl Terbit : 1 Sep 2016</t>
  </si>
  <si>
    <t>Rev : 00</t>
  </si>
  <si>
    <t>Hal :</t>
  </si>
  <si>
    <t>HASIL PENGUKURAN PADA EQUIPMENT BULAN JULI 2018</t>
  </si>
  <si>
    <t>EXECUTIVE SUMMARY</t>
  </si>
  <si>
    <t>PENGUKURAN  BULAN SEBELUMNYA</t>
  </si>
  <si>
    <t xml:space="preserve">PENGUKURAN BULAN JANUARI </t>
  </si>
  <si>
    <t>ANALISA</t>
  </si>
  <si>
    <t>REKOMENDASI</t>
  </si>
  <si>
    <t>Week</t>
  </si>
  <si>
    <t>Tanggal</t>
  </si>
  <si>
    <t>Analisa</t>
  </si>
  <si>
    <t>Rekomendasi</t>
  </si>
  <si>
    <t>ACTION HAR</t>
  </si>
  <si>
    <t>KETERANGAN</t>
  </si>
  <si>
    <t>VIB MAX</t>
  </si>
  <si>
    <t>W1</t>
  </si>
  <si>
    <t>W3</t>
  </si>
  <si>
    <t>W2</t>
  </si>
  <si>
    <t>W4</t>
  </si>
  <si>
    <t>LJ30-PDM-VIB-0026-1V</t>
  </si>
  <si>
    <t>DC OIPL PUMP UNIT 1</t>
  </si>
  <si>
    <t>LJ30LAY10AA010-001</t>
  </si>
  <si>
    <t>Motor CCCWP 2B</t>
  </si>
  <si>
    <t>DC OIPL PUMP UNIT 2</t>
  </si>
  <si>
    <t>1v</t>
  </si>
  <si>
    <t>NORMAL</t>
  </si>
  <si>
    <t xml:space="preserve">Secara overall nilai vibrasi IDF 1A masuk level NORMAL (level A) dengan keterangan kondisi sangat halus (new machine condition), berdasarkan ISO 10816-3 group 1 rigid. Nilai vibrasi overall tertinggi 1,39 mm/s pada bearing 2 arah horisontal
</t>
  </si>
  <si>
    <t xml:space="preserve">- Lakukan monitoring vibrasi secara rutin dan berkala
</t>
  </si>
  <si>
    <t xml:space="preserve">Secara overall nilai vibrasi IDF 1B masuk level NORMAL (level A) dengan keterangan kondisi sangat halus (new machine condition), berdasarkan ISO 10816-3 group 1 rigid. Nilai vibrasi overall tertinggi 1,96 mm/s pada bearing 6 arah horisontal
</t>
  </si>
  <si>
    <t>PREWARNING</t>
  </si>
  <si>
    <t xml:space="preserve">Secara overall nilai vibrasi PAF 1A masuk level PREWARNING (level B)  dengan keterangan diperbolehkan beroperasi dalam jangka waktu lama, berdasarkan ISO 10816-3 group 1 rigid. Nilai vibrasi overall tertinggi 2,99 mm/s pada bearing 4 arah vertikal
</t>
  </si>
  <si>
    <t xml:space="preserve">Secara overall nilai vibrasi PAF 1B masuk level NORMAL (level A) dengan keterangan kondisi sangat halus (new machine condition), berdasarkan berdasarkan ISO 10816-3 group 1 rigid. Nilai vibrasi overall tertinggi 1,59 mm/s pada bearing 4 arah horisontal
</t>
  </si>
  <si>
    <t>- Lakukan monitoring vibrasi secara rutin dan berkala</t>
  </si>
  <si>
    <t xml:space="preserve">Secara overall nilai vibrasi SAF 1A masuk level NORMAL (level A) dengan keterangan kondisi sangat halus (new machine condition), berdasarkan ISO 10816-3 group 1 rigid.  Nilai vibrasi overall tertinggi 2,06 mm/s pada bearing 1 arah horisontal
</t>
  </si>
  <si>
    <t>ALARM</t>
  </si>
  <si>
    <t xml:space="preserve">Secara overall nilai vibrasi SAF 1B masuk level ALARM (level C) dengan keterajika dioperasikan akan mengakibatkan kerusakan yang lebih parah,  berdasarkan ISO 10816-3 group 1 rigid. Nilai vibrasi overall tertinggi 7,31 mm/s pada bearing 2 arah horisontal
dari pola spectrum muncul indikasi unbalance dan structure loosness, sudah di terbitkan TE dengan no 01.TE/CBM/UBPJRJ/2026 dan SR CD JRJ26/2026102780, agar dapat dijadikan dasar untuk eksekusi dan merubah kondisi Asset wellness
</t>
  </si>
  <si>
    <t>Lakukan Penjadwalan atau perencaan Perbaikan saat Unit Stop
Solo run motor
Pengecekan dan cleaning blade fan
Pengecekan kondisi balance weight 
Pengecekan kondisi damper
Pengujian kekerasan pondasi menggunakan Hummer test (bandingan eksisting dengan yang baru)
Post Maintenance Test</t>
  </si>
  <si>
    <t xml:space="preserve">Secara overaal nilai vibrasi turbine dan generator unit 1 masuk level NORMAL (level A) dengan keterangan kondisi sangat halus (new machine condition), berdasarkan standart ISO 10816-2  Nilai vibrasi overall tertinggi 3,53 mm/s pada bearing 2 arah vertikal
</t>
  </si>
  <si>
    <t>- Monitoring parameter operasi (vibrasi dan temperatur)</t>
  </si>
  <si>
    <t xml:space="preserve">Secara overall nilai vibrasi CEP 1A masuk level NORMAL (level A) dengan keterangan kondisi sangat halus (new machine condition), berdasarkan berdasarkan ISO 10816-3 group 2 rigid. Nilai vibrasi overall tertinggi 0,77 mm/spada bearing 1 arah horisontal
</t>
  </si>
  <si>
    <t xml:space="preserve">- monitoring parameter operasi
- Lakukan monitoring vibrasi secara rutin dan berkala
</t>
  </si>
  <si>
    <t>STAND BY</t>
  </si>
  <si>
    <t>-</t>
  </si>
  <si>
    <t xml:space="preserve">Secara overall nilai vibrasi vacuum pump 1A masuk level PREWARNING (level B) dengan keterangan diperbolehkan beroperasi dalam jangka waktu singkat, berdasarkan ISO 10816-3 group 2 rigid. Nilai vibrasi overall tertinggi 1,43 mm/s pada bearing 4 arah vertikal
</t>
  </si>
  <si>
    <t xml:space="preserve">- monitoring parameter operasi
</t>
  </si>
  <si>
    <t xml:space="preserve">Secara overall nilai vibrasi vacuum pump 1B masuk level PREWARNING (level B) dengan keterangan diperbolehkan beroperasi dalam jangka waktu lama, berdasarkan ISO 10816-3 group 2 rigid. Nilai vibrasi overall tertinggi 1,61 mm/s pada bearing 4 arah horisontal
</t>
  </si>
  <si>
    <t>- monitoring parameter operasi
- inject grease 5x pada bearing 3</t>
  </si>
  <si>
    <t xml:space="preserve">Secara overall nilai vibrasi BFP 1B masuk level PREWARNING (level B)  dengan keterangan diperbolehkan beroperasi dalam jangka waktu lama, berdasarkan berdasarkan ISO 10816-3 group 1 rigid. Nilai vibrasi overall tertinggi 4,17 mm/s pada bearing 5 arah horisontal
</t>
  </si>
  <si>
    <t xml:space="preserve">Secara overall nilai vibrasi C3WP 1A masuk level PREWARNING (level B) dengan keterangan diperbolehkan beroperasi dalam jangka waktu lama, berdasarkan ISO 10816-3 group 2 rigid. Nilai vibrasi overall tertinggi 2,51 mm/s pada bearing 1 arah horisontal
</t>
  </si>
  <si>
    <t>- monitoring parameter operasi
- Penguatan pondasi</t>
  </si>
  <si>
    <t xml:space="preserve">Secara overall nilai vibrasi C3WP 1B masuk level PREWARNING (level B) dengan keterangan diperbolehkan beroperasi dalam jangka waktu lama, berdasarkan ISO 10816-3 group 2 rigid. Nilai vibrasi overall tertinggi 1,61 mm/s pada bearing 1 arah horisontal
</t>
  </si>
  <si>
    <t>- monitoring parameter operasi</t>
  </si>
  <si>
    <t xml:space="preserve">Secara overall nilai vibrasi CWP 1A masuk level NORMAL (level A) dengan keterangan kondisi sangat halus (new machine condition), berdasarkan ISO 10816-3 group 1 rigid. Nilai vibrasi overall tertinggi 1,86 mm/s pada bearing 1 arah horisontal
</t>
  </si>
  <si>
    <t>Secara overall nilai vibrasi CWP 1B masuk level NORMAL (level A) dengan keterangan kondisi sangat halus (new machine condition), berdasarkan ISO 10816-3 group 1 rigid. Nilai vibrasi overall tertinggi 1,05 mm/s pada bearing 1 arah horisontal</t>
  </si>
  <si>
    <t xml:space="preserve">Secara overall nilai vibrasi BWRO 1A masuk level PREWARNING (level B) dengan keterangan diperbolehkan beroperasi dalam jangka waktu lama, berdasarkan ISO 10816-3 group 2 rigid. Nilai vibrasi overall tertinggi 1,79 pada bearing 1 arah vertikal
</t>
  </si>
  <si>
    <t xml:space="preserve">Secara overall nilai vibrasi BWRO 1B masuk level PREWARNING (level B) dengan keterangan diperbolehkan beroperasi dalam jangka waktu lama, berdasarkan ISO 10816-3 group 2 rigid. Nilai vibrasi overall tertinggi 1,85 mm/s pada bearing 1 arah horisontal 
</t>
  </si>
  <si>
    <t xml:space="preserve">Secara overall nilai vibrasi SWRO 1 masuk level NORMAL (level A) dengan keterangan kondisi sangat halus (new machine condition), berdasarkan ISO 10816-3 group 2 rigid. Nilai vibrasi overall tertinggi 1,19 mm/s pada bearing 2 arah horisontal
</t>
  </si>
  <si>
    <t xml:space="preserve">Secara overall nilai vibrasi SWRO 1B masuk level NORMAL (level A) dengan keterangan kondisi sangat halus (new machine condition), berdasarkan ISO 10816-3 group 2 rigid. Nilai vibrasi overall tertinggi 1,37 pada bearing 2 arah horisontal
</t>
  </si>
  <si>
    <t xml:space="preserve">Secara overall nilai vibrasi AC Oil Pump Unit 1 masuk level NORMAL (level A) dengan keterangan kondisi sangat halus (new machine condition),  berdasarkan ISO 10816-3 group 2 rigid. Nilai vibrasi overall tertinggi 1,07 mm/s pada bearing 1 arah horisontal
</t>
  </si>
  <si>
    <t xml:space="preserve">Secara overall nilai vibrasi DC Oil Pump Unit 1 level REWARNING (level B) dengan keterangan diperbolehkan beroperasi dalam jangka waktu lama, berdasarkan ISO 10816-3 group 2 rigid. Nilai vibrasi overall tertinggi 1,51 mm/s pada bearing 3 arah horisontal
</t>
  </si>
  <si>
    <t xml:space="preserve">Secara overaal nilai vibrasi DIESEL FIRE FIGHTING UNIT 1 masuk level PREWARNING (level B) dengan keterangan boleh dioperasikan dalam jangka waktu lama, berdasarkan standart ISO 10816-3  group 2 rigid. Nilai vibrasi overall tertinggi 10,4 mm/s pada bearing 2 arah vertikal
</t>
  </si>
  <si>
    <t xml:space="preserve">- Pemantauan parameter operasi current dan temperatur
</t>
  </si>
  <si>
    <t xml:space="preserve">Secara overaal nilai vibrasi FIRE FIGHTING PUMP WITH MOTOR Unit 3  masuk level PREWARNING (level B) dengan keterangan diperbolehkan beroperasi dalam jangka waktu lama, berdasarkan standart ISO 10816-3  group 2 rigid. Nilai vibrasi overall tertinggi 2,10 mm/s pada bearing  2 arah vertikal
</t>
  </si>
  <si>
    <t xml:space="preserve">- Pemantauan parameter operasi current dan temperatur
</t>
  </si>
  <si>
    <t xml:space="preserve">Secara overaal nilai vibrasi JACKING OIL PUMP 1A masuk level PREWARNING (level B) dengan keterangan diperbolehkan beroperasi dalam jangka waktu lama, berdasarkan standart ISO 10816-3  group 2 rigid. Nilai vibrasi overall tertinggi 1,41 mm/s pada bearing 1 arah horisontal
</t>
  </si>
  <si>
    <t xml:space="preserve">Secara overall nilai vibrasi IDF 1 unit 2 masuk level PREWARNING (level B) dan diperbolehkan beroperasi dalam jangka waktu lama yang tak terbatas, ISO 10816-3 group 1 rigid. Nilai vibrasi overall tertinggi 2,32 mm/s pada bearing 1 arah horisontal
</t>
  </si>
  <si>
    <t xml:space="preserve">Secara overall nilai vibrasi IDF 2 unit 2 masuk leve PREWARNING (level B) dan diperbolehkan beroperasi dalam jangka waktu lama yang tak terbatas, berdasarkan ISO 10816-3 group 1 rigid. Nilai vibrasi overall tertinggi 2,34 mm/s pada bearing 3 arah axial
</t>
  </si>
  <si>
    <t xml:space="preserve">Secara overall nilai vibrasi PAF 1 unit 2 masuk level PREWARNING (level B) dan diperbolehkan beroperasi dalam jangka waktu lama yang tak terbatas, berdasarkan ISO 10816-3 group 1 rigid. Nilai vibrasi overall tertinggi 2,32 mm/s pada bearing 4 arah horisontal
</t>
  </si>
  <si>
    <t>- Monitoring parameter operasi, arus, bukaan damper, flow</t>
  </si>
  <si>
    <t xml:space="preserve">Secara overall nilai vibrasi PAF 2 unit 2 masuk level PREWARNING (level B) dan diperbolehkan beroperasi dalam jangka waktu lama yang tak terbatas, berdasarkan berdasarkan ISO 10816-3 group 1 rigid. Nilai vibrasi overall tertinggi 2,95 mm/s pada bearing 1 arah horisontal
</t>
  </si>
  <si>
    <t xml:space="preserve">- Lakukan monitoring vibrasi secara rutin dan berkala
</t>
  </si>
  <si>
    <t xml:space="preserve">Secara overall nilai vibrasi SAF 1 masuk level PREWARNING (level B) dan diperbolehkan beroperasi dalam jangka waktu lama yang tak terbatas,  berdasarkan ISO 10816-3 group 1 rigid.  Nilai vibrasi overall tertinggi 3,34 mm/s pada bearing 1 arah axial
</t>
  </si>
  <si>
    <t xml:space="preserve">Secara overall nilai vibrasi SAF 2 masuk level PREWARNING (level B) dan diperbolehkan beroperasi dalam jangka waktu lama yang tak terbatas, berdasarkan ISO 10816-3 group 1 rigid. Nilai vibrasi overall tertinggi 2,59 mm/s pada bearing 2 arah horisontal
</t>
  </si>
  <si>
    <t xml:space="preserve">Secara overaal nilai vibrasi turbine dan generator unit 2 masuk level PREWARNING (level B) dan diperbolehkan beroperasi dalam jangka waktu lama yang tak terbatas, berdasarkan standart ISO 10816-2  Nilai vibrasi overall tertinggi 4,57 mm/s pada bearing 4 arah axial
</t>
  </si>
  <si>
    <t xml:space="preserve">Secara overall nilai vibrasi CEP 1 masuk level NORMAL (level A) dengan keterangan kondisi sangat halus (new machine condition), berdasarkan ISO 10816-3 group 2 rigid. Nilai vibrasi overall tertinggi 1,03 mm/s pada bearing 2 arah axial
</t>
  </si>
  <si>
    <t>- monitoring parameter operasi
- Lakukan monitoring vibrasi secara rutin dan berkala</t>
  </si>
  <si>
    <t>WARNING</t>
  </si>
  <si>
    <t>Secara overall nilai vibrasi CEP 2 masuk level WARNING (level C) dengan keterangan diperbolehkan beroperasi dalam jangka waktu singkat, berdasarkan ISO 10816-3 group 2 rigid. Nilai vibrasi overall tertinggi 3,75 mm/s pada bearing 1 arah horisontal
Note : after pengencangan dudukan motor 
pending pekerjaan Saat FI, load test saat FI masih rework indikasi structure looseness</t>
  </si>
  <si>
    <t>- Lakukan monitoring vibrasi secara rutin dan berkala
- Penguatan struture
- Balancing</t>
  </si>
  <si>
    <t xml:space="preserve">Secara overall nilai vibrasi vacuum pump 1 masuk level PREWARNING (level B) dan diperbolehkan beroperasi dalam jangka waktu lama yang tak terbatas, berdasarkan ISO 10816-3 group 2 rigid. Nilai vibrasi overall tertinggi 1,99 mm/s pada bearing 4 arah horisontal
</t>
  </si>
  <si>
    <t xml:space="preserve">- monitoring parameter operasi
- inject grease 5x pada bearing 3 dan 4
</t>
  </si>
  <si>
    <t xml:space="preserve">Secara overall nilai vibrasi vacuum pump 2 masuk level PREWARNING (level B) dan diperbolehkan beroperasi dalam jangka waktu lama yang tak terbatas, berdasarkan ISO 10816-3 group 2 rigid. Nilai vibrasi overall tertinggi 2,79 mm/s pada bearing 4 arah horisontal
</t>
  </si>
  <si>
    <t xml:space="preserve">Secara overall nilai vibrasi BFP 2 unit 2 masuk level NORMAL (level A) dengan keterangan kondisi sangat halus (new machine condition), berdasarkan ISO 10816-3 group 1 rigid. Nilai vibrasi overall tertinggi 1,51 mm/s pada bearing 2 arah axial
</t>
  </si>
  <si>
    <t xml:space="preserve">Secara overall nilai vibrasi C3WP 2 masuk level NORMAL (level A) dengan keterangan kondisi sangat halus (new machine condition), berdasarkan ISO 10816-3 group 2 rigid. Nilai vibrasi overall tertinggi 1,00 mm/s pada bearing 1 arah horisontal
note : after penggantian motor spare
</t>
  </si>
  <si>
    <t xml:space="preserve">Secara overall nilai vibrasi C3WP 2C masuk level PREWARNING (level B) dan diperbolehkan beroperasi dalam jangka waktu lama yang tak terbatas, berdasarkan ISO 10816-3 group 2 rigid. Nilai vibrasi overall tertinggi 1,52 mm/s pada bearing 1 arah horisontal
</t>
  </si>
  <si>
    <t xml:space="preserve">Secara overall nilai vibrasi CWP 1 masuk levelNORMAL (level A) dengan keterangan kondisi sangat halus (new machine condition), berdasarkan ISO 10816-3 group 1 rigid. Nilai vibrasi overall tertinggi 1,64 mm/s pada bearing 1 arah vertikal
</t>
  </si>
  <si>
    <t>Secara overall nilai vibrasi CWP 2 masuk level NORMAL (level A) dengan keterangan kondisi sangat halus (new machine condition), berdasarkan ISO 10816-3 group 1 rigid. Nilai vibrasi overall tertinggi 1,4 mm/s pada bearing 2 vertikal</t>
  </si>
  <si>
    <t xml:space="preserve">Secara overall nilai vibrasi AC Oil Pump Unit 2 masuk level PREWARNING (level B) dan diperbolehkan beroperasi dalam jangka waktu lama yang tak terbatas, berdasarkan ISO 10816-3 group 2 rigid. Nilai vibrasi overall tertinggi 2,74 mm/s pada bearing 3 arah horisontal
</t>
  </si>
  <si>
    <t xml:space="preserve">Secara overall nilai vibrasi DC Oil Pump Unit 2  masuk level PREWARNING (level B) dan diperbolehkan beroperasi dalam jangka waktu lama yang tak terbatas, berdasarkan ISO 10816-3 group 2 rigid. Nilai vibrasi overall tertinggi 1,88 mm/s pada bearing 3 arah horisontal
</t>
  </si>
  <si>
    <t xml:space="preserve">Secara overall nilai vibrasi IDF 3A masuk level NORMAL (level A) dengan keterangan kondisi sangat halus (new machine condition), berdasarkan ISO 10816-3 group 1 rigid. Nilai vibrasi overall tertinggi 1,13 mm/s pada bearing 4 arah horisontal
</t>
  </si>
  <si>
    <t xml:space="preserve">Secara overall nilai vibrasi IDF 3B masuk level NORMAL (level A) dengan keterangan kondisi sangat halus (new machine condition), berdasarkan ISO 10816-3 group 1 rigid. Nilai vibrasi overall tertinggi 0,68 mm/s pada bearing 4 arah horisontal
</t>
  </si>
  <si>
    <t xml:space="preserve">Secara overall nilai vibrasi PAF Unit 3 masuk level PREWARNING (level B) dengan keterangan boleh dioperasikan dalam jangka waktu lama, berdasarkan berdasarkan ISO 10816-3 group 1 rigid. Nilai vibrasi overall tertinggi 2,35 mm/s pada bearing 4 arah horisontal
</t>
  </si>
  <si>
    <t xml:space="preserve">'Secara overall nilai vibrasi SAF Unit 3 masuk level PREWARNING (level B) dengan keterangan diperbolehkan beroperasi dalam jangka waktu lama, berdasarkan ISO 10816-3 group 1 rigid. Nilai vibrasi overall tertinggi 2,83 mm/s pada bearing 4 arah horisontal
</t>
  </si>
  <si>
    <t xml:space="preserve">Secara overall nilai vibrasi RAF 3B masuk level PREWARNING (level B) dengan keterangan boleh dioperasikan dalam jangka waktu lama, berdasarkan ISO 10816-3 group 1 rigid.  Nilai vibrasi overall tertinggi 3,20 mm/s pada bearing 3 arah horisontal
</t>
  </si>
  <si>
    <t>-'Pemantauan parameter operasi current dan temperatur</t>
  </si>
  <si>
    <t xml:space="preserve">Secara overaal nilai vibrasi turbine dan generator Unit 3 masuk level  NORMAL (level A) dengan keterangan kondisi sangat halus (new machine condition), berdasarkan standart ISO 10816-2. Nilai vibrasi overall tertinggi 2,78 mm/s pada bearing 3 arah axial
</t>
  </si>
  <si>
    <t xml:space="preserve">- Pemantauan parameter operasi vibrasi dan temperatur
</t>
  </si>
  <si>
    <t xml:space="preserve">Secara overaal nilai vibrasi CEP 3A masuk level PREWARNING (level B) dengan keterangan boleh dioperasikan dalam jangka waktu lama, berdasarkan standart ISO 10816-3  group 2 rigid. Nilai vibrasi overall tertinggi 2,01 mm/s pada bearing 1 arah horisontal
</t>
  </si>
  <si>
    <t xml:space="preserve">- Pemantauan Parameter Operasi Temperatur dan current
</t>
  </si>
  <si>
    <t xml:space="preserve">Secara overall nilai vibrasi CEP 3B masuk level  PREWARNING (level B) dengan keterangan diperbolehkan beroperasi dalam jangka waktu lama, berdasarkan standart ISO 10816-3  group 2 rigid. Nilai vibrasi overall tertinggi 2,71 mm/s pada bearing 2 arah axial
</t>
  </si>
  <si>
    <t xml:space="preserve">Secara overaal nilai vibrasi CEP 3C masuk level PREWARNING (level B) dengan keterangan diperbolehkan beroperasi dalam jangka waktu singkat, berdasarkan standart ISO 10816-3  group 2 rigid. Nilai vibrasi overall tertinggi 1,75 mm/s pada bearing 2 arah horisontal
</t>
  </si>
  <si>
    <t xml:space="preserve">Secara overaal nilai vibrasi WATER JET PUMP 3A masuk level PREWARNING (level B) dengan keterangan boleh dioperasikan dalam jangka waktu lama, berdasarkan standart ISO 10816-3  group 2 rigid. Nilai vibrasi overall tertinggi 1,33 mm/s pada bearing 1 arah horisontal
</t>
  </si>
  <si>
    <t>Secara overall nilai vibrasi BFP 1 masuk level NORMAL (level A) dengan keterangan kondisi sangat halus (new machine condition), berdasarkan standart ISO 10816-3  group 1 rigid. Nilai vibrasi overall tertinggi 1,94 mm/s pada bearing 3 arah horisontal
# Note : Historikal nilai overall vibrasi pada bearing 3 di range 5 - 6.8 mm/s dari awal monitoring (tahun 2015 - 2021)</t>
  </si>
  <si>
    <t xml:space="preserve">Secara overaal nilai vibrasi CCWP 3A masuk level PREWARNING (level B) dengan keterangan diperbolehkan beroperasi dalam jangka waktu lama, berdasarkan standart ISO 10816-3  group 2 rigid. Nilai vibrasi overall tertinggi 2,47 pada bearing 2 arah horisontal
</t>
  </si>
  <si>
    <t xml:space="preserve">Secara overaal nilai vibrasi CCWP 3B masuk level PREWARNING (level B) dengan keterangan boleh diperbolehkan beroperasi dalam jangka waktu lama, berdasarkan standart ISO 10816-3  group 2 rigid. Nilai vibrasi overall tertinggi 2,15 mm/s pada bearing 2 arah horisontal
</t>
  </si>
  <si>
    <t xml:space="preserve">Secara overaal nilai vibrasi CWP 3A masuk level PREWARNING (level B) dengan keterangan diperbolehkan beroperasi dalam jangka waktu lama, berdasarkan standart ISO 10816-3  group 1 rigid. Nilai vibrasi overall tertinggi 3,68 mm/s pada bearing 1 arah vertikal
</t>
  </si>
  <si>
    <t xml:space="preserve">Secara overall nilai vibrasi CWP 3B masuk level PREWARNING (level B) dengan keterangan boleh diperbolehkan beroperasi dalam jangka waktu lama, berdasarkan standart ISO 10816-3  group 1 rigid. Nilai vibrasi overall tertinggi 2,76 mm/s pada bearing 1 arah vertikal
</t>
  </si>
  <si>
    <t xml:space="preserve">Secara overaal nilai vibrasi BWRO 3A masuk level PREWARNING (level B) dengan keterangan boleh dioperasikan dalam jangka waktu lama, standart ISO 10816-3  group 2 rigid. Nilai vibrasi overall tertinggi 2,09 mm/s pada bearing 1 arah horisontal
</t>
  </si>
  <si>
    <t>- cartridge filter tidak ready</t>
  </si>
  <si>
    <t>- Pengadaan dan lakukan penggantian cartridge</t>
  </si>
  <si>
    <t xml:space="preserve">- </t>
  </si>
  <si>
    <t xml:space="preserve">Secara overaal nilai vibrasi JOCKEY PUMP 3A masuk level NORMAL (level A) dengan keterangan kondisi sangat halus (new machine condition),  standart ISO 10816-3  group 2 rigid. Nilai vibrasi overall tertinggi 0,95 mm/s pada bearing 1 arah vertikal
</t>
  </si>
  <si>
    <t xml:space="preserve">Secara overaal nilai vibrasi JOCKEY PUMP 3B masuk level  NORMAL (level A) dengan keterangan kondisi sangat halus (new machine condition), standart ISO 10816-3  group 2 rigid. Nilai vibrasi overall tertinggi 1,02 mm/s pada bearing 1 arah vertikal
</t>
  </si>
  <si>
    <t xml:space="preserve">Secara overaal nilai vibrasi FIRE FIGHTING PUMP WITH MOTOR Unit 3  masuk level PREWARNING (level B) dengan keterangan diperbolehkan beroperasi dalam jangka waktu lama, berdasarkan standart ISO 10816-3  group 2 rigid. Nilai vibrasi overall tertinggi 1,52 mm/s pada bearing  4 arah horisontal
</t>
  </si>
  <si>
    <t>Secara overaal nilai vibrasi  FIRE FIGHTING PUMP WITH DIESEL Unit 3 masuk level WARNING (level C) dengan keterangan boleh dioperasikan dalam jangka waktu singkat berdasarkan standart ISO 10816-3  group 2 rigid. Nilai vibrasi overall tertinggi 14 mm/s pada bearing 1 arah horisontal
note pengoperasian belum sesuai pressure kerja</t>
  </si>
  <si>
    <t>Secara overaal nilai vibrasi AC OIL PUMP UNIT 3 masuk level ALARM (level C) dengan keterangan jika dioperasikan akan mengakibatkan kerusakan yang lebih parah berdasarkan standart ISO 10816-3  group 2 rigid. Nilai vibrasi overall tertinggi 6,44 mm/s pada bearing 4 arah horisontal.
Jika diinterpolasikan antara spectrum pengukuran dan mobius muncul indikasi gear mesh</t>
  </si>
  <si>
    <t xml:space="preserve">- Pemantauan parameter operasi current dan temperatur
- Pengecekan kondisi gear
- pengecekan clearance antar gear
- Realignment
</t>
  </si>
  <si>
    <t>HERMAWAN</t>
  </si>
  <si>
    <t xml:space="preserve">Secara overall nilai vibrasi BC 4.1 masuk level PREWARNING (level B) dengan keterangan diperbolehkan beroperasi dalam jangka waktu lama, berdasarkan ISO 10816-3 group 2 flexible. Nilai vibrasi overall tertinggi 2,61 mm/s pada bearing 2 horiontal </t>
  </si>
  <si>
    <t xml:space="preserve">- Greasing secara berkala sesuai prosedur manual book
</t>
  </si>
  <si>
    <t>Secara overall nilai vibrasi BC 4.2 masuk level NORMAL (level A) dengan keterangan kondisi sangat halus (new machine condition), berdasarkan ISO 10816-3 group 2 flexible. Nilai vibrasi overall tertinggi 1,39 mm/s pada bearing 5 arah axial
After Penguatan Structure</t>
  </si>
  <si>
    <t>- Pastikan perlatan aman saat akan di operasikan</t>
  </si>
  <si>
    <t xml:space="preserve">Secara overall nilai vibrasi BC 5.1 masuk level NORMAL (level A) dengan keterangan kondisi sangat halus (new machine condition), berdasarkan ISO 10816-3 group 2 flexible. Nilai vibrasi overall tertinggi 2,23 mm/s pada bearing 3 arah axial
</t>
  </si>
  <si>
    <t>Secara overall nilai vibrasi BC 5.2 masuk level NORMAL (level A) dengan keterangan kondisi sangat halus (new machine condition), berdasarkan ISO 10816-3 group 2 flexible. Nilai vibrasi overall tertinggi 2,22 mm/s pada bearing 3 arah axial</t>
  </si>
  <si>
    <t xml:space="preserve">Secara overall nilai vibrasi BC 7.1 masuk level  PREWARNING (level B) dengan keterangan diperbolehkan beroperasi dalam jangka lama,  berdasarkan ISO 10816-3 group 2 flexible. Nilai vibrasi overall tertinggi 3,04 mm/s pada bearing 3 arah vertikal
</t>
  </si>
  <si>
    <t xml:space="preserve">Secara overall nilai vibrasi BC 7.2 masuk level ALARM (level D) dengan keterangan jika dioperasikan akan mengakibatkan kerusakan yang lebih parah, berdasarkan ISO 10816-3 group 2 flexible. Nilai vibrasi overall tertinggi 8,81 mm/s pada bearing 2 arah  vertikal
Jika dilihat dari spectrum hasil pengukuran dengan mobius muncul indikasi rotating looseness , sudah di terbitkan TE dengan no 02.TE/CBM/UBPJRJ/2026 dan SR CD dengan no JRJ26/2026113269
</t>
  </si>
  <si>
    <t>- Pastikan perlatan aman saat akan di operasikan
Solo Run Before dan After perbaikan
Penggantian bearing motor
Pengecekan clearance housing bearing motor
Pengecekan atau realignment
Pengencangan baut structure (Pengencangan baut)
Post Maintenance Test</t>
  </si>
  <si>
    <t xml:space="preserve">Secara overall nilai vibrasi BC 8.1 masuk level PREWARNING (level B) dengan keterangan diperbolehkan beroperasi dalam jangka lama,  berdasarkan ISO 10816-3 group 2 flexible. Nilai vibrasi overall tertinggi 3,56 mm/s pada bearing 1 arah horisontal
</t>
  </si>
  <si>
    <t xml:space="preserve">- Pastikan perlatan aman saat akan di operasikan
</t>
  </si>
  <si>
    <t xml:space="preserve">Secara overall nilai vibrasi BC 8.2 masuk level PREWARNING (level B) dengan keterangan diperbolehkan beroperasi dalam jangka waktu lama, berdasarkan ISO 10816-3 group 2 flexible Nilai vibrasi overall tertinggi 3,14 mm/s pada bearing 1 arah vertikal
</t>
  </si>
  <si>
    <t xml:space="preserve">Secara overall nilai vibrasi BC 10.1 masuk level PREWARNING (level B) dengan keterangan diperbolehkan beroperasi dalam jangka lama, berdasarkan berdasarkan ISO 10816-3 group 2 flexible. Nilai vibrasi overall tertinggi 3,96 pada bearing 1 arah horisontal
</t>
  </si>
  <si>
    <t xml:space="preserve">Secara overall nilai vibrasi BC 10.2 masuk level PREWARNING (level B) dengan keterangan diperbolehkan beroperasi dalam jangka waktu lama, berdasarkan ISO 10816-3 group 2 flexible Nilai vibrasi overall tertinggi  2,59 mm/s bearing 1 arah vertikal
</t>
  </si>
  <si>
    <t xml:space="preserve">Secara overall nilai vibrasi Rolling Screen 1 masuk level ALARM (level D) dengan keterangan jika dioperasikan akan mengakibatkan kerusakan yang lebih parah berdasarkan Baseline dan sister asset. Nilai vibrasi overall tertinggi 8,21 mm/s pada bearing 1 arah vertikal
</t>
  </si>
  <si>
    <t xml:space="preserve">Secara overall nilai vibrasi Roller Screen 2 masuk level PREWARNING (level B) dengan keterangan diperbolehkan beroperasi dalam jangka waktu lama, berdasarkan Baseline dan sister asset. Nilai vibrasi overall tertinggi 6,77 mm/s pada bearing 1 arah vertikal
</t>
  </si>
  <si>
    <t xml:space="preserve">Secara overall nilai vibrasi crusser 1 masuk level ALARM (level D) dengan keterangan jika dioperasikan akan mengakibatkan kerusakan yang lebih parah berdasarkan Baseline dan sister asset. Nilai vibrasi overall tertinggi 9,47 mm/s pada bearing 4 arah axial
</t>
  </si>
  <si>
    <t xml:space="preserve">Secara overall nilai vibrasi crusser 2 masuk level PREWARNING (level B) dengan keterangan diperbolehkan beroperasi dalam jangka waktu lama, berdasarkan Baseline dan sister asset. Nilai vibrasi overall tertinggi 5,73 mm/s pada bearing 3 arah horisontal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</si>
</sst>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6"/>
      <color theme="1"/>
      <name val="Arial"/>
      <family val="2"/>
    </font>
    <font>
      <sz val="11"/>
      <color indexed="8"/>
      <name val="Arial"/>
      <family val="2"/>
    </font>
    <font>
      <b/>
      <sz val="11"/>
      <color indexed="8"/>
      <name val="Arial"/>
      <family val="2"/>
    </font>
    <font>
      <b/>
      <sz val="14"/>
      <color indexed="8"/>
      <name val="Arial"/>
      <family val="2"/>
    </font>
    <font>
      <sz val="11"/>
      <color theme="0"/>
      <name val="Arial"/>
      <family val="2"/>
    </font>
    <font>
      <sz val="11"/>
      <color rgb="FFFF0000"/>
      <name val="Arial"/>
      <family val="2"/>
    </font>
    <font>
      <sz val="10"/>
      <color theme="1"/>
      <name val="Calibri"/>
      <family val="2"/>
      <scheme val="minor"/>
    </font>
    <font>
      <sz val="10"/>
      <color theme="1"/>
      <name val="Arial"/>
      <family val="2"/>
    </font>
    <font>
      <b/>
      <sz val="10"/>
      <color theme="1"/>
      <name val="Arial"/>
      <family val="2"/>
    </font>
    <font>
      <sz val="10"/>
      <color theme="0"/>
      <name val="Calibri"/>
      <family val="2"/>
      <scheme val="minor"/>
    </font>
    <font>
      <sz val="10"/>
      <name val="Arial"/>
      <family val="2"/>
    </font>
    <font>
      <sz val="10"/>
      <color rgb="FFFF0000"/>
      <name val="Arial"/>
      <family val="2"/>
    </font>
    <font>
      <b/>
      <sz val="9"/>
      <color indexed="81"/>
      <name val="Tahoma"/>
      <family val="2"/>
    </font>
    <font>
      <sz val="9"/>
      <color indexed="81"/>
      <name val="Tahoma"/>
      <family val="2"/>
    </font>
    <font>
      <sz val="12"/>
      <color theme="1"/>
      <name val="Arial"/>
      <family val="2"/>
    </font>
    <font>
      <u/>
      <sz val="11"/>
      <color theme="10"/>
      <name val="Calibri"/>
      <family val="2"/>
      <scheme val="minor"/>
    </font>
    <font>
      <sz val="10"/>
      <color theme="1"/>
      <name val="Calibri"/>
      <family val="2"/>
    </font>
  </fonts>
  <fills count="15">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4" tint="0.39997558519241921"/>
        <bgColor indexed="64"/>
      </patternFill>
    </fill>
  </fills>
  <borders count="3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9" fillId="0" borderId="0" applyNumberFormat="0" applyFill="0" applyBorder="0" applyAlignment="0" applyProtection="0"/>
  </cellStyleXfs>
  <cellXfs count="152">
    <xf numFmtId="0" fontId="0" fillId="0" borderId="0" xfId="0"/>
    <xf numFmtId="0" fontId="2" fillId="2" borderId="4" xfId="0" applyFont="1" applyFill="1" applyBorder="1" applyAlignment="1">
      <alignment vertical="center"/>
    </xf>
    <xf numFmtId="0" fontId="2" fillId="2" borderId="5" xfId="0" applyFont="1" applyFill="1" applyBorder="1" applyAlignment="1">
      <alignment vertical="center"/>
    </xf>
    <xf numFmtId="0" fontId="2" fillId="2" borderId="6" xfId="0" applyFont="1" applyFill="1" applyBorder="1" applyAlignment="1">
      <alignment vertical="center"/>
    </xf>
    <xf numFmtId="0" fontId="2" fillId="2" borderId="0" xfId="0" applyFont="1" applyFill="1" applyAlignment="1">
      <alignment vertical="center"/>
    </xf>
    <xf numFmtId="0" fontId="5" fillId="2" borderId="0" xfId="0" applyFont="1" applyFill="1" applyAlignment="1">
      <alignment vertical="center"/>
    </xf>
    <xf numFmtId="0" fontId="6" fillId="2" borderId="0" xfId="0" applyFont="1" applyFill="1" applyAlignment="1">
      <alignment horizontal="center" vertical="center"/>
    </xf>
    <xf numFmtId="0" fontId="5" fillId="2" borderId="3"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6" fillId="3" borderId="20" xfId="0" applyFont="1" applyFill="1" applyBorder="1" applyAlignment="1">
      <alignment horizontal="center" vertical="center"/>
    </xf>
    <xf numFmtId="0" fontId="6" fillId="4" borderId="21" xfId="0" applyFont="1" applyFill="1" applyBorder="1" applyAlignment="1">
      <alignment horizontal="center" vertical="center"/>
    </xf>
    <xf numFmtId="0" fontId="6" fillId="5" borderId="21" xfId="0" applyFont="1" applyFill="1" applyBorder="1" applyAlignment="1">
      <alignment horizontal="center" vertical="center"/>
    </xf>
    <xf numFmtId="0" fontId="6" fillId="6" borderId="21" xfId="0" applyFont="1" applyFill="1" applyBorder="1" applyAlignment="1">
      <alignment horizontal="center" vertical="center"/>
    </xf>
    <xf numFmtId="0" fontId="6" fillId="7" borderId="22" xfId="0" applyFont="1" applyFill="1" applyBorder="1" applyAlignment="1">
      <alignment horizontal="center" vertical="center"/>
    </xf>
    <xf numFmtId="0" fontId="5" fillId="3" borderId="23" xfId="0" applyFont="1" applyFill="1" applyBorder="1" applyAlignment="1">
      <alignment horizontal="center" vertical="center"/>
    </xf>
    <xf numFmtId="0" fontId="5" fillId="4" borderId="23" xfId="0" applyFont="1" applyFill="1" applyBorder="1" applyAlignment="1">
      <alignment horizontal="center" vertical="center"/>
    </xf>
    <xf numFmtId="0" fontId="6" fillId="4" borderId="25" xfId="0" applyFont="1" applyFill="1" applyBorder="1" applyAlignment="1">
      <alignment horizontal="center" vertical="center"/>
    </xf>
    <xf numFmtId="0" fontId="6" fillId="5" borderId="25" xfId="0" applyFont="1" applyFill="1" applyBorder="1" applyAlignment="1">
      <alignment horizontal="center" vertical="center"/>
    </xf>
    <xf numFmtId="0" fontId="6" fillId="6" borderId="25" xfId="0" applyFont="1" applyFill="1" applyBorder="1" applyAlignment="1">
      <alignment horizontal="center" vertical="center"/>
    </xf>
    <xf numFmtId="0" fontId="6" fillId="7" borderId="26" xfId="0" applyFont="1" applyFill="1" applyBorder="1" applyAlignment="1">
      <alignment horizontal="center" vertical="center"/>
    </xf>
    <xf numFmtId="0" fontId="5" fillId="5" borderId="23" xfId="0" applyFont="1" applyFill="1" applyBorder="1" applyAlignment="1">
      <alignment horizontal="center" vertical="center"/>
    </xf>
    <xf numFmtId="0" fontId="5" fillId="6" borderId="23" xfId="0" applyFont="1" applyFill="1" applyBorder="1" applyAlignment="1">
      <alignment horizontal="center" vertical="center"/>
    </xf>
    <xf numFmtId="0" fontId="7" fillId="3" borderId="27" xfId="0" applyFont="1" applyFill="1" applyBorder="1" applyAlignment="1">
      <alignment horizontal="center" vertical="center"/>
    </xf>
    <xf numFmtId="0" fontId="7" fillId="4" borderId="25" xfId="0" applyFont="1" applyFill="1" applyBorder="1" applyAlignment="1">
      <alignment horizontal="center" vertical="center"/>
    </xf>
    <xf numFmtId="0" fontId="7" fillId="5" borderId="25" xfId="0" applyFont="1" applyFill="1" applyBorder="1" applyAlignment="1">
      <alignment horizontal="center" vertical="center"/>
    </xf>
    <xf numFmtId="0" fontId="7" fillId="6" borderId="25" xfId="0" applyFont="1" applyFill="1" applyBorder="1" applyAlignment="1">
      <alignment horizontal="center" vertical="center"/>
    </xf>
    <xf numFmtId="0" fontId="7" fillId="8" borderId="26" xfId="0" applyFont="1" applyFill="1" applyBorder="1" applyAlignment="1">
      <alignment horizontal="center" vertical="center"/>
    </xf>
    <xf numFmtId="0" fontId="5" fillId="7" borderId="23" xfId="0" applyFont="1" applyFill="1" applyBorder="1" applyAlignment="1">
      <alignment horizontal="center" vertical="center"/>
    </xf>
    <xf numFmtId="9" fontId="7" fillId="3" borderId="13" xfId="1" applyFont="1" applyFill="1" applyBorder="1" applyAlignment="1">
      <alignment horizontal="center" vertical="center"/>
    </xf>
    <xf numFmtId="9" fontId="7" fillId="4" borderId="23" xfId="1" applyFont="1" applyFill="1" applyBorder="1" applyAlignment="1">
      <alignment horizontal="center" vertical="center"/>
    </xf>
    <xf numFmtId="9" fontId="7" fillId="5" borderId="28" xfId="1" applyFont="1" applyFill="1" applyBorder="1" applyAlignment="1">
      <alignment horizontal="center" vertical="center"/>
    </xf>
    <xf numFmtId="9" fontId="7" fillId="6" borderId="23" xfId="1" applyFont="1" applyFill="1" applyBorder="1" applyAlignment="1">
      <alignment horizontal="center" vertical="center"/>
    </xf>
    <xf numFmtId="9" fontId="7" fillId="7" borderId="23" xfId="1" applyFont="1" applyFill="1" applyBorder="1" applyAlignment="1">
      <alignment horizontal="center" vertical="center"/>
    </xf>
    <xf numFmtId="0" fontId="8" fillId="2" borderId="0" xfId="0" applyFont="1" applyFill="1" applyAlignment="1">
      <alignment vertical="center"/>
    </xf>
    <xf numFmtId="0" fontId="9" fillId="2" borderId="0" xfId="0" applyFont="1" applyFill="1" applyAlignment="1">
      <alignment vertical="center"/>
    </xf>
    <xf numFmtId="0" fontId="10" fillId="2" borderId="0" xfId="0" applyFont="1" applyFill="1"/>
    <xf numFmtId="0" fontId="10" fillId="2" borderId="0" xfId="0" applyFont="1" applyFill="1" applyAlignment="1">
      <alignment horizontal="center" vertical="center"/>
    </xf>
    <xf numFmtId="0" fontId="10" fillId="2" borderId="8" xfId="0" applyFont="1" applyFill="1" applyBorder="1"/>
    <xf numFmtId="0" fontId="10" fillId="2" borderId="29" xfId="0" applyFont="1" applyFill="1" applyBorder="1" applyAlignment="1">
      <alignment horizontal="center" vertical="center"/>
    </xf>
    <xf numFmtId="0" fontId="11" fillId="2" borderId="7" xfId="0" applyFont="1" applyFill="1" applyBorder="1" applyAlignment="1">
      <alignment horizontal="right"/>
    </xf>
    <xf numFmtId="0" fontId="2" fillId="9" borderId="29" xfId="0" applyFont="1" applyFill="1" applyBorder="1" applyAlignment="1">
      <alignment horizontal="center" vertical="center"/>
    </xf>
    <xf numFmtId="0" fontId="2" fillId="10" borderId="29" xfId="0" applyFont="1" applyFill="1" applyBorder="1" applyAlignment="1">
      <alignment horizontal="center" vertical="center"/>
    </xf>
    <xf numFmtId="0" fontId="2" fillId="11" borderId="29" xfId="0" applyFont="1" applyFill="1" applyBorder="1" applyAlignment="1">
      <alignment horizontal="center" vertical="center"/>
    </xf>
    <xf numFmtId="0" fontId="2" fillId="9" borderId="0" xfId="0" applyFont="1" applyFill="1" applyAlignment="1">
      <alignment horizontal="center" vertical="center"/>
    </xf>
    <xf numFmtId="0" fontId="2" fillId="2" borderId="29" xfId="0" applyFont="1" applyFill="1" applyBorder="1" applyAlignment="1">
      <alignment horizontal="center" vertical="center"/>
    </xf>
    <xf numFmtId="0" fontId="12" fillId="2" borderId="29" xfId="0" applyFont="1" applyFill="1" applyBorder="1" applyAlignment="1">
      <alignment horizontal="center" vertical="center"/>
    </xf>
    <xf numFmtId="0" fontId="13" fillId="2" borderId="0" xfId="0" applyFont="1" applyFill="1" applyAlignment="1">
      <alignment horizontal="center" vertical="center"/>
    </xf>
    <xf numFmtId="0" fontId="10" fillId="2" borderId="7" xfId="0" applyFont="1" applyFill="1" applyBorder="1"/>
    <xf numFmtId="0" fontId="12" fillId="12" borderId="30" xfId="0" applyFont="1" applyFill="1" applyBorder="1" applyAlignment="1">
      <alignment horizontal="center" vertical="center" wrapText="1"/>
    </xf>
    <xf numFmtId="0" fontId="12" fillId="12" borderId="30"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29" xfId="0" applyFont="1" applyFill="1" applyBorder="1" applyAlignment="1">
      <alignment horizontal="left" vertical="center"/>
    </xf>
    <xf numFmtId="0" fontId="11" fillId="2" borderId="29" xfId="0" applyFont="1" applyFill="1" applyBorder="1" applyAlignment="1">
      <alignment vertical="center"/>
    </xf>
    <xf numFmtId="0" fontId="11" fillId="2" borderId="29" xfId="0" applyFont="1" applyFill="1" applyBorder="1" applyAlignment="1">
      <alignment horizontal="center" vertical="center" wrapText="1"/>
    </xf>
    <xf numFmtId="0" fontId="14" fillId="0" borderId="29" xfId="0" applyFont="1" applyBorder="1" applyAlignment="1">
      <alignment horizontal="center" vertical="center" wrapText="1"/>
    </xf>
    <xf numFmtId="2" fontId="2" fillId="13" borderId="29" xfId="0" applyNumberFormat="1" applyFont="1" applyFill="1" applyBorder="1" applyAlignment="1">
      <alignment horizontal="center" vertical="center"/>
    </xf>
    <xf numFmtId="0" fontId="2" fillId="13" borderId="29" xfId="0" applyFont="1" applyFill="1" applyBorder="1" applyAlignment="1">
      <alignment horizontal="center" vertical="center"/>
    </xf>
    <xf numFmtId="0" fontId="15" fillId="0" borderId="29" xfId="0" applyFont="1" applyBorder="1" applyAlignment="1">
      <alignment horizontal="center" vertical="center" wrapText="1"/>
    </xf>
    <xf numFmtId="0" fontId="12" fillId="12" borderId="29" xfId="0" applyFont="1" applyFill="1" applyBorder="1" applyAlignment="1">
      <alignment horizontal="center" vertical="center" wrapText="1"/>
    </xf>
    <xf numFmtId="0" fontId="12" fillId="12" borderId="29" xfId="0" applyFont="1" applyFill="1" applyBorder="1" applyAlignment="1">
      <alignment horizontal="center" vertical="center"/>
    </xf>
    <xf numFmtId="0" fontId="10" fillId="2" borderId="7" xfId="0" applyFont="1" applyFill="1" applyBorder="1" applyAlignment="1">
      <alignment horizontal="right"/>
    </xf>
    <xf numFmtId="0" fontId="10" fillId="2" borderId="0" xfId="0" quotePrefix="1" applyFont="1" applyFill="1" applyAlignment="1">
      <alignment horizontal="center" vertical="center"/>
    </xf>
    <xf numFmtId="0" fontId="10" fillId="0" borderId="0" xfId="0" applyFont="1" applyAlignment="1">
      <alignment horizontal="center" vertical="center"/>
    </xf>
    <xf numFmtId="0" fontId="10" fillId="2" borderId="9" xfId="0" applyFont="1" applyFill="1" applyBorder="1"/>
    <xf numFmtId="0" fontId="11" fillId="2" borderId="5" xfId="0" applyFont="1" applyFill="1" applyBorder="1" applyAlignment="1">
      <alignment horizontal="center" vertical="center" wrapText="1"/>
    </xf>
    <xf numFmtId="0" fontId="11" fillId="2" borderId="5" xfId="0" applyFont="1" applyFill="1" applyBorder="1" applyAlignment="1">
      <alignment horizontal="left" vertical="center"/>
    </xf>
    <xf numFmtId="0" fontId="11" fillId="2" borderId="5" xfId="0" applyFont="1" applyFill="1" applyBorder="1" applyAlignment="1">
      <alignment vertical="center"/>
    </xf>
    <xf numFmtId="0" fontId="11" fillId="2" borderId="5" xfId="0" applyFont="1" applyFill="1" applyBorder="1" applyAlignment="1">
      <alignment horizontal="center" vertical="center"/>
    </xf>
    <xf numFmtId="0" fontId="15" fillId="0" borderId="5" xfId="0" applyFont="1" applyBorder="1" applyAlignment="1">
      <alignment horizontal="center" vertical="center" wrapText="1"/>
    </xf>
    <xf numFmtId="0" fontId="10" fillId="2" borderId="11" xfId="0" applyFont="1" applyFill="1" applyBorder="1"/>
    <xf numFmtId="0" fontId="11" fillId="12" borderId="29" xfId="0" applyFont="1" applyFill="1" applyBorder="1" applyAlignment="1">
      <alignment horizontal="center" vertical="center" wrapText="1"/>
    </xf>
    <xf numFmtId="0" fontId="11" fillId="12" borderId="29" xfId="0" applyFont="1" applyFill="1" applyBorder="1" applyAlignment="1">
      <alignment vertical="center"/>
    </xf>
    <xf numFmtId="0" fontId="11" fillId="12" borderId="29" xfId="0" applyFont="1" applyFill="1" applyBorder="1" applyAlignment="1">
      <alignment horizontal="center" vertical="center"/>
    </xf>
    <xf numFmtId="0" fontId="10" fillId="3" borderId="0" xfId="0" applyFont="1" applyFill="1" applyAlignment="1">
      <alignment horizontal="center" vertical="center"/>
    </xf>
    <xf numFmtId="0" fontId="10" fillId="3" borderId="0" xfId="0" applyFont="1" applyFill="1" applyAlignment="1">
      <alignment vertical="center"/>
    </xf>
    <xf numFmtId="0" fontId="10" fillId="2" borderId="10" xfId="0" applyFont="1" applyFill="1" applyBorder="1"/>
    <xf numFmtId="0" fontId="10" fillId="2" borderId="10" xfId="0" applyFont="1" applyFill="1" applyBorder="1" applyAlignment="1">
      <alignment horizontal="center"/>
    </xf>
    <xf numFmtId="0" fontId="10" fillId="2" borderId="10" xfId="0" applyFont="1" applyFill="1" applyBorder="1" applyAlignment="1">
      <alignment horizontal="center" vertical="center"/>
    </xf>
    <xf numFmtId="0" fontId="10" fillId="2" borderId="0" xfId="0" applyFont="1" applyFill="1" applyAlignment="1">
      <alignment horizontal="center"/>
    </xf>
    <xf numFmtId="0" fontId="2" fillId="2" borderId="0" xfId="0" applyFont="1" applyFill="1"/>
    <xf numFmtId="0" fontId="2" fillId="2" borderId="0" xfId="0" applyFont="1" applyFill="1" applyAlignment="1">
      <alignment horizontal="center" vertical="center"/>
    </xf>
    <xf numFmtId="0" fontId="4" fillId="2" borderId="0" xfId="0" applyFont="1" applyFill="1" applyAlignment="1">
      <alignment horizontal="center" vertical="center"/>
    </xf>
    <xf numFmtId="0" fontId="18" fillId="2" borderId="7" xfId="0" applyFont="1" applyFill="1" applyBorder="1" applyAlignment="1">
      <alignment horizontal="left" vertical="center" wrapText="1"/>
    </xf>
    <xf numFmtId="0" fontId="18" fillId="2" borderId="0" xfId="0" applyFont="1" applyFill="1" applyAlignment="1">
      <alignment horizontal="left" vertical="center" wrapText="1"/>
    </xf>
    <xf numFmtId="0" fontId="18" fillId="2" borderId="0" xfId="0" applyFont="1" applyFill="1" applyAlignment="1">
      <alignment horizontal="center" vertical="center" wrapText="1"/>
    </xf>
    <xf numFmtId="0" fontId="2" fillId="2" borderId="8" xfId="0" applyFont="1" applyFill="1" applyBorder="1"/>
    <xf numFmtId="0" fontId="2" fillId="2" borderId="7" xfId="0" applyFont="1" applyFill="1" applyBorder="1" applyAlignment="1">
      <alignment horizontal="right"/>
    </xf>
    <xf numFmtId="0" fontId="2" fillId="2" borderId="8" xfId="0" applyFont="1" applyFill="1" applyBorder="1" applyAlignment="1">
      <alignment horizontal="center" vertical="center"/>
    </xf>
    <xf numFmtId="0" fontId="12" fillId="2" borderId="29" xfId="0" applyFont="1" applyFill="1" applyBorder="1" applyAlignment="1">
      <alignment horizontal="center" vertical="center" wrapText="1"/>
    </xf>
    <xf numFmtId="0" fontId="12" fillId="12" borderId="32" xfId="0" applyFont="1" applyFill="1" applyBorder="1" applyAlignment="1">
      <alignment horizontal="center" vertical="center" wrapText="1"/>
    </xf>
    <xf numFmtId="0" fontId="2" fillId="2" borderId="7" xfId="0" applyFont="1" applyFill="1" applyBorder="1"/>
    <xf numFmtId="0" fontId="2" fillId="2" borderId="29" xfId="0" applyFont="1" applyFill="1" applyBorder="1"/>
    <xf numFmtId="0" fontId="11" fillId="2" borderId="33" xfId="0" applyFont="1" applyFill="1" applyBorder="1" applyAlignment="1">
      <alignment horizontal="center" vertical="center"/>
    </xf>
    <xf numFmtId="0" fontId="19" fillId="2" borderId="29" xfId="2" applyFill="1" applyBorder="1" applyAlignment="1">
      <alignment horizontal="left" vertical="center"/>
    </xf>
    <xf numFmtId="0" fontId="11" fillId="2" borderId="29" xfId="0" quotePrefix="1" applyFont="1" applyFill="1" applyBorder="1" applyAlignment="1">
      <alignment horizontal="left" vertical="top" wrapText="1"/>
    </xf>
    <xf numFmtId="0" fontId="20" fillId="0" borderId="29" xfId="0" applyFont="1" applyBorder="1" applyAlignment="1">
      <alignment horizontal="left" vertical="center" wrapText="1"/>
    </xf>
    <xf numFmtId="2" fontId="11" fillId="2" borderId="29" xfId="0" applyNumberFormat="1" applyFont="1" applyFill="1" applyBorder="1" applyAlignment="1">
      <alignment horizontal="center" vertical="center"/>
    </xf>
    <xf numFmtId="0" fontId="2" fillId="2" borderId="8" xfId="0" quotePrefix="1" applyFont="1" applyFill="1" applyBorder="1"/>
    <xf numFmtId="0" fontId="0" fillId="14" borderId="21" xfId="0" applyFill="1" applyBorder="1"/>
    <xf numFmtId="0" fontId="11" fillId="2" borderId="33" xfId="0" applyFont="1" applyFill="1" applyBorder="1" applyAlignment="1">
      <alignment horizontal="center" vertical="center" wrapText="1"/>
    </xf>
    <xf numFmtId="0" fontId="11" fillId="0" borderId="29" xfId="0" applyFont="1" applyBorder="1" applyAlignment="1">
      <alignment horizontal="center" vertical="center" wrapText="1"/>
    </xf>
    <xf numFmtId="0" fontId="19" fillId="2" borderId="29" xfId="2" applyFill="1" applyBorder="1" applyAlignment="1">
      <alignment horizontal="left" vertical="center" wrapText="1"/>
    </xf>
    <xf numFmtId="0" fontId="11" fillId="12" borderId="32" xfId="0" applyFont="1" applyFill="1" applyBorder="1" applyAlignment="1">
      <alignment horizontal="center" vertical="center" wrapText="1"/>
    </xf>
    <xf numFmtId="0" fontId="19" fillId="12" borderId="29" xfId="2" applyFill="1" applyBorder="1" applyAlignment="1">
      <alignment horizontal="center" vertical="center"/>
    </xf>
    <xf numFmtId="0" fontId="11" fillId="12" borderId="29" xfId="0" applyFont="1" applyFill="1" applyBorder="1"/>
    <xf numFmtId="0" fontId="11" fillId="12" borderId="29" xfId="0" applyFont="1" applyFill="1" applyBorder="1" applyAlignment="1">
      <alignment horizontal="center"/>
    </xf>
    <xf numFmtId="0" fontId="11" fillId="2" borderId="29" xfId="0" applyFont="1" applyFill="1" applyBorder="1"/>
    <xf numFmtId="0" fontId="11" fillId="2" borderId="29" xfId="0" applyFont="1" applyFill="1" applyBorder="1" applyAlignment="1">
      <alignment horizontal="center"/>
    </xf>
    <xf numFmtId="0" fontId="2" fillId="2" borderId="9" xfId="0" applyFont="1" applyFill="1" applyBorder="1"/>
    <xf numFmtId="0" fontId="11" fillId="2" borderId="10" xfId="0" applyFont="1" applyFill="1" applyBorder="1"/>
    <xf numFmtId="0" fontId="11" fillId="2" borderId="10" xfId="0" applyFont="1" applyFill="1" applyBorder="1" applyAlignment="1">
      <alignment horizontal="center" vertical="center"/>
    </xf>
    <xf numFmtId="0" fontId="11" fillId="2" borderId="10" xfId="0" applyFont="1" applyFill="1" applyBorder="1" applyAlignment="1">
      <alignment horizontal="center"/>
    </xf>
    <xf numFmtId="0" fontId="2" fillId="2" borderId="11" xfId="0" applyFont="1" applyFill="1" applyBorder="1"/>
    <xf numFmtId="0" fontId="2" fillId="2" borderId="0" xfId="0" applyFont="1" applyFill="1" applyAlignment="1">
      <alignment horizont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5" fillId="2" borderId="24" xfId="0" applyFont="1" applyFill="1" applyBorder="1" applyAlignment="1">
      <alignment horizontal="left" vertical="center"/>
    </xf>
    <xf numFmtId="0" fontId="5" fillId="2" borderId="0" xfId="0" applyFont="1" applyFill="1" applyAlignment="1">
      <alignment horizontal="left" vertical="center"/>
    </xf>
    <xf numFmtId="0" fontId="5" fillId="2" borderId="24" xfId="0" applyFont="1" applyFill="1" applyBorder="1" applyAlignment="1">
      <alignment horizontal="left" vertical="center" wrapText="1"/>
    </xf>
    <xf numFmtId="0" fontId="5" fillId="2" borderId="0" xfId="0" applyFont="1" applyFill="1" applyAlignment="1">
      <alignment horizontal="left" vertical="center" wrapText="1"/>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4" fillId="2" borderId="29" xfId="0" applyFont="1" applyFill="1" applyBorder="1" applyAlignment="1">
      <alignment horizontal="center" vertical="center"/>
    </xf>
    <xf numFmtId="0" fontId="12" fillId="2" borderId="29" xfId="0" applyFont="1" applyFill="1" applyBorder="1" applyAlignment="1">
      <alignment horizontal="center" vertical="center" wrapText="1"/>
    </xf>
    <xf numFmtId="0" fontId="12" fillId="2" borderId="29" xfId="0" applyFont="1" applyFill="1" applyBorder="1" applyAlignment="1">
      <alignment horizontal="center" vertical="center"/>
    </xf>
    <xf numFmtId="0" fontId="2" fillId="2" borderId="29" xfId="0" applyFont="1" applyFill="1" applyBorder="1" applyAlignment="1">
      <alignment horizontal="lef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29"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29" xfId="0" applyFont="1" applyFill="1" applyBorder="1" applyAlignment="1">
      <alignment horizontal="center" vertical="center" wrapText="1"/>
    </xf>
  </cellXfs>
  <cellStyles count="3">
    <cellStyle name="Hyperlink" xfId="2" builtinId="8"/>
    <cellStyle name="Normal" xfId="0" builtinId="0"/>
    <cellStyle name="Percent" xfId="1" builtinId="5"/>
  </cellStyles>
  <dxfs count="187">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F0"/>
        </patternFill>
      </fill>
    </dxf>
    <dxf>
      <fill>
        <patternFill>
          <bgColor rgb="FFFFC00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F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F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F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r>
              <a:rPr lang="en-US"/>
              <a:t>STATUS PERALATAN PLTU JERANJANG</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175297861933501E-2"/>
          <c:y val="0.1411757463696601"/>
          <c:w val="0.82139163306667673"/>
          <c:h val="0.76396726207960619"/>
        </c:manualLayout>
      </c:layout>
      <c:pie3DChart>
        <c:varyColors val="1"/>
        <c:ser>
          <c:idx val="0"/>
          <c:order val="0"/>
          <c:tx>
            <c:strRef>
              <c:f>DASHBOARD!$D$7</c:f>
              <c:strCache>
                <c:ptCount val="1"/>
                <c:pt idx="0">
                  <c:v>LEVEL VIBRASI</c:v>
                </c:pt>
              </c:strCache>
            </c:strRef>
          </c:tx>
          <c:dPt>
            <c:idx val="0"/>
            <c:bubble3D val="0"/>
            <c:explosion val="25"/>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851-4E65-A217-9809E3B6DA1F}"/>
              </c:ext>
            </c:extLst>
          </c:dPt>
          <c:dPt>
            <c:idx val="1"/>
            <c:bubble3D val="0"/>
            <c:explosion val="25"/>
            <c:spPr>
              <a:solidFill>
                <a:srgbClr val="00B0F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851-4E65-A217-9809E3B6DA1F}"/>
              </c:ext>
            </c:extLst>
          </c:dPt>
          <c:dPt>
            <c:idx val="2"/>
            <c:bubble3D val="0"/>
            <c:explosion val="25"/>
            <c:spPr>
              <a:solidFill>
                <a:srgbClr val="FFC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851-4E65-A217-9809E3B6DA1F}"/>
              </c:ext>
            </c:extLst>
          </c:dPt>
          <c:dPt>
            <c:idx val="3"/>
            <c:bubble3D val="0"/>
            <c:explosion val="25"/>
            <c:spPr>
              <a:solidFill>
                <a:srgbClr val="FF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851-4E65-A217-9809E3B6DA1F}"/>
              </c:ext>
            </c:extLst>
          </c:dPt>
          <c:dPt>
            <c:idx val="4"/>
            <c:bubble3D val="0"/>
            <c:explosion val="25"/>
            <c:spPr>
              <a:solidFill>
                <a:schemeClr val="bg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851-4E65-A217-9809E3B6DA1F}"/>
              </c:ext>
            </c:extLst>
          </c:dPt>
          <c:dLbls>
            <c:dLbl>
              <c:idx val="2"/>
              <c:layout>
                <c:manualLayout>
                  <c:x val="-5.3656552454395129E-2"/>
                  <c:y val="0.217780567566537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51-4E65-A217-9809E3B6DA1F}"/>
                </c:ext>
              </c:extLst>
            </c:dLbl>
            <c:dLbl>
              <c:idx val="3"/>
              <c:layout>
                <c:manualLayout>
                  <c:x val="-0.10846503107299793"/>
                  <c:y val="4.425220303530769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851-4E65-A217-9809E3B6DA1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DASHBOARD!$D$8:$H$8</c:f>
              <c:strCache>
                <c:ptCount val="5"/>
                <c:pt idx="0">
                  <c:v>LEVEL A</c:v>
                </c:pt>
                <c:pt idx="1">
                  <c:v>LEVEL B</c:v>
                </c:pt>
                <c:pt idx="2">
                  <c:v>LEVEL C</c:v>
                </c:pt>
                <c:pt idx="3">
                  <c:v>LEVEL D</c:v>
                </c:pt>
                <c:pt idx="4">
                  <c:v>STANDBY</c:v>
                </c:pt>
              </c:strCache>
            </c:strRef>
          </c:cat>
          <c:val>
            <c:numRef>
              <c:f>DASHBOARD!$D$13:$H$13</c:f>
              <c:numCache>
                <c:formatCode>General</c:formatCode>
                <c:ptCount val="5"/>
                <c:pt idx="0">
                  <c:v>20</c:v>
                </c:pt>
                <c:pt idx="1">
                  <c:v>35</c:v>
                </c:pt>
                <c:pt idx="2">
                  <c:v>2</c:v>
                </c:pt>
                <c:pt idx="3">
                  <c:v>4</c:v>
                </c:pt>
                <c:pt idx="4">
                  <c:v>19</c:v>
                </c:pt>
              </c:numCache>
            </c:numRef>
          </c:val>
          <c:extLst>
            <c:ext xmlns:c16="http://schemas.microsoft.com/office/drawing/2014/chart" uri="{C3380CC4-5D6E-409C-BE32-E72D297353CC}">
              <c16:uniqueId val="{0000000A-A851-4E65-A217-9809E3B6DA1F}"/>
            </c:ext>
          </c:extLst>
        </c:ser>
        <c:dLbls>
          <c:dLblPos val="inEnd"/>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4057854903327089"/>
          <c:y val="0.22619264124812694"/>
          <c:w val="0.13877144433714586"/>
          <c:h val="0.627351396870983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200"/>
      </a:pPr>
      <a:endParaRPr lang="en-US"/>
    </a:p>
  </c:txPr>
  <c:printSettings>
    <c:headerFooter/>
    <c:pageMargins b="0.750000000000001" l="0.70000000000000095" r="0.70000000000000095" t="0.750000000000001"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STATUS PERALATAN UNIT 2</a:t>
            </a:r>
          </a:p>
        </c:rich>
      </c:tx>
      <c:overlay val="0"/>
    </c:title>
    <c:autoTitleDeleted val="0"/>
    <c:view3D>
      <c:rotX val="15"/>
      <c:rotY val="20"/>
      <c:rAngAx val="0"/>
    </c:view3D>
    <c:floor>
      <c:thickness val="0"/>
    </c:floor>
    <c:sideWall>
      <c:thickness val="0"/>
    </c:sideWall>
    <c:backWall>
      <c:thickness val="0"/>
    </c:backWall>
    <c:plotArea>
      <c:layout/>
      <c:bar3DChart>
        <c:barDir val="col"/>
        <c:grouping val="clustered"/>
        <c:varyColors val="0"/>
        <c:ser>
          <c:idx val="0"/>
          <c:order val="0"/>
          <c:tx>
            <c:strRef>
              <c:f>DASHBOARD!$B$10</c:f>
              <c:strCache>
                <c:ptCount val="1"/>
                <c:pt idx="0">
                  <c:v>UNIT 2</c:v>
                </c:pt>
              </c:strCache>
            </c:strRef>
          </c:tx>
          <c:invertIfNegative val="0"/>
          <c:dPt>
            <c:idx val="0"/>
            <c:invertIfNegative val="0"/>
            <c:bubble3D val="0"/>
            <c:spPr>
              <a:solidFill>
                <a:srgbClr val="00B050"/>
              </a:solidFill>
            </c:spPr>
            <c:extLst>
              <c:ext xmlns:c16="http://schemas.microsoft.com/office/drawing/2014/chart" uri="{C3380CC4-5D6E-409C-BE32-E72D297353CC}">
                <c16:uniqueId val="{00000001-77F5-4BE4-BD39-5104CA9AC7F9}"/>
              </c:ext>
            </c:extLst>
          </c:dPt>
          <c:dPt>
            <c:idx val="1"/>
            <c:invertIfNegative val="0"/>
            <c:bubble3D val="0"/>
            <c:spPr>
              <a:solidFill>
                <a:srgbClr val="00B0F0"/>
              </a:solidFill>
              <a:ln>
                <a:gradFill>
                  <a:gsLst>
                    <a:gs pos="0">
                      <a:srgbClr val="FFFF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tLst>
              <c:ext xmlns:c16="http://schemas.microsoft.com/office/drawing/2014/chart" uri="{C3380CC4-5D6E-409C-BE32-E72D297353CC}">
                <c16:uniqueId val="{00000003-77F5-4BE4-BD39-5104CA9AC7F9}"/>
              </c:ext>
            </c:extLst>
          </c:dPt>
          <c:dPt>
            <c:idx val="2"/>
            <c:invertIfNegative val="0"/>
            <c:bubble3D val="0"/>
            <c:spPr>
              <a:solidFill>
                <a:srgbClr val="FFC000"/>
              </a:solidFill>
            </c:spPr>
            <c:extLst>
              <c:ext xmlns:c16="http://schemas.microsoft.com/office/drawing/2014/chart" uri="{C3380CC4-5D6E-409C-BE32-E72D297353CC}">
                <c16:uniqueId val="{00000005-77F5-4BE4-BD39-5104CA9AC7F9}"/>
              </c:ext>
            </c:extLst>
          </c:dPt>
          <c:dPt>
            <c:idx val="3"/>
            <c:invertIfNegative val="0"/>
            <c:bubble3D val="0"/>
            <c:spPr>
              <a:solidFill>
                <a:srgbClr val="FF0000"/>
              </a:solidFill>
            </c:spPr>
            <c:extLst>
              <c:ext xmlns:c16="http://schemas.microsoft.com/office/drawing/2014/chart" uri="{C3380CC4-5D6E-409C-BE32-E72D297353CC}">
                <c16:uniqueId val="{00000007-77F5-4BE4-BD39-5104CA9AC7F9}"/>
              </c:ext>
            </c:extLst>
          </c:dPt>
          <c:dPt>
            <c:idx val="4"/>
            <c:invertIfNegative val="0"/>
            <c:bubble3D val="0"/>
            <c:spPr>
              <a:solidFill>
                <a:schemeClr val="bg1">
                  <a:lumMod val="50000"/>
                </a:schemeClr>
              </a:solidFill>
            </c:spPr>
            <c:extLst>
              <c:ext xmlns:c16="http://schemas.microsoft.com/office/drawing/2014/chart" uri="{C3380CC4-5D6E-409C-BE32-E72D297353CC}">
                <c16:uniqueId val="{00000009-77F5-4BE4-BD39-5104CA9AC7F9}"/>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DASHBOARD!$D$8:$H$8</c:f>
              <c:strCache>
                <c:ptCount val="5"/>
                <c:pt idx="0">
                  <c:v>LEVEL A</c:v>
                </c:pt>
                <c:pt idx="1">
                  <c:v>LEVEL B</c:v>
                </c:pt>
                <c:pt idx="2">
                  <c:v>LEVEL C</c:v>
                </c:pt>
                <c:pt idx="3">
                  <c:v>LEVEL D</c:v>
                </c:pt>
                <c:pt idx="4">
                  <c:v>STANDBY</c:v>
                </c:pt>
              </c:strCache>
            </c:strRef>
          </c:cat>
          <c:val>
            <c:numRef>
              <c:f>DASHBOARD!$D$10:$H$10</c:f>
              <c:numCache>
                <c:formatCode>General</c:formatCode>
                <c:ptCount val="5"/>
                <c:pt idx="0">
                  <c:v>3</c:v>
                </c:pt>
                <c:pt idx="1">
                  <c:v>10</c:v>
                </c:pt>
                <c:pt idx="2">
                  <c:v>1</c:v>
                </c:pt>
                <c:pt idx="3">
                  <c:v>0</c:v>
                </c:pt>
                <c:pt idx="4">
                  <c:v>4</c:v>
                </c:pt>
              </c:numCache>
            </c:numRef>
          </c:val>
          <c:extLst>
            <c:ext xmlns:c16="http://schemas.microsoft.com/office/drawing/2014/chart" uri="{C3380CC4-5D6E-409C-BE32-E72D297353CC}">
              <c16:uniqueId val="{0000000A-77F5-4BE4-BD39-5104CA9AC7F9}"/>
            </c:ext>
          </c:extLst>
        </c:ser>
        <c:dLbls>
          <c:showLegendKey val="0"/>
          <c:showVal val="0"/>
          <c:showCatName val="0"/>
          <c:showSerName val="0"/>
          <c:showPercent val="0"/>
          <c:showBubbleSize val="0"/>
        </c:dLbls>
        <c:gapWidth val="100"/>
        <c:shape val="box"/>
        <c:axId val="243904656"/>
        <c:axId val="243237520"/>
        <c:axId val="0"/>
      </c:bar3DChart>
      <c:catAx>
        <c:axId val="243904656"/>
        <c:scaling>
          <c:orientation val="minMax"/>
        </c:scaling>
        <c:delete val="0"/>
        <c:axPos val="b"/>
        <c:numFmt formatCode="General" sourceLinked="1"/>
        <c:majorTickMark val="out"/>
        <c:minorTickMark val="none"/>
        <c:tickLblPos val="nextTo"/>
        <c:txPr>
          <a:bodyPr rot="0" vert="horz"/>
          <a:lstStyle/>
          <a:p>
            <a:pPr>
              <a:defRPr/>
            </a:pPr>
            <a:endParaRPr lang="en-US"/>
          </a:p>
        </c:txPr>
        <c:crossAx val="243237520"/>
        <c:crosses val="autoZero"/>
        <c:auto val="1"/>
        <c:lblAlgn val="ctr"/>
        <c:lblOffset val="100"/>
        <c:noMultiLvlLbl val="0"/>
      </c:catAx>
      <c:valAx>
        <c:axId val="243237520"/>
        <c:scaling>
          <c:orientation val="minMax"/>
        </c:scaling>
        <c:delete val="0"/>
        <c:axPos val="l"/>
        <c:majorGridlines/>
        <c:numFmt formatCode="General" sourceLinked="1"/>
        <c:majorTickMark val="out"/>
        <c:minorTickMark val="none"/>
        <c:tickLblPos val="nextTo"/>
        <c:txPr>
          <a:bodyPr rot="0" vert="horz"/>
          <a:lstStyle/>
          <a:p>
            <a:pPr>
              <a:defRPr/>
            </a:pPr>
            <a:endParaRPr lang="en-US"/>
          </a:p>
        </c:txPr>
        <c:crossAx val="243904656"/>
        <c:crosses val="autoZero"/>
        <c:crossBetween val="between"/>
      </c:valAx>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16200000" scaled="1"/>
          <a:tileRect/>
        </a:gradFill>
      </c:spPr>
    </c:plotArea>
    <c:plotVisOnly val="1"/>
    <c:dispBlanksAs val="gap"/>
    <c:showDLblsOverMax val="0"/>
  </c:chart>
  <c:spPr>
    <a:solidFill>
      <a:schemeClr val="bg1">
        <a:lumMod val="95000"/>
      </a:schemeClr>
    </a:solidFill>
  </c:spPr>
  <c:txPr>
    <a:bodyPr/>
    <a:lstStyle/>
    <a:p>
      <a:pPr>
        <a:defRPr sz="1200"/>
      </a:pPr>
      <a:endParaRPr lang="en-US"/>
    </a:p>
  </c:txPr>
  <c:printSettings>
    <c:headerFooter/>
    <c:pageMargins b="0.75000000000000078" l="0.70000000000000062" r="0.70000000000000062" t="0.75000000000000078" header="0.30000000000000032" footer="0.3000000000000003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STATUS PERALATAN COAL HANDLING</a:t>
            </a:r>
          </a:p>
        </c:rich>
      </c:tx>
      <c:overlay val="0"/>
    </c:title>
    <c:autoTitleDeleted val="0"/>
    <c:view3D>
      <c:rotX val="15"/>
      <c:rotY val="20"/>
      <c:rAngAx val="0"/>
    </c:view3D>
    <c:floor>
      <c:thickness val="0"/>
    </c:floor>
    <c:sideWall>
      <c:thickness val="0"/>
    </c:sideWall>
    <c:backWall>
      <c:thickness val="0"/>
    </c:backWall>
    <c:plotArea>
      <c:layout/>
      <c:bar3DChart>
        <c:barDir val="col"/>
        <c:grouping val="standard"/>
        <c:varyColors val="0"/>
        <c:ser>
          <c:idx val="0"/>
          <c:order val="0"/>
          <c:tx>
            <c:strRef>
              <c:f>DASHBOARD!$B$12</c:f>
              <c:strCache>
                <c:ptCount val="1"/>
                <c:pt idx="0">
                  <c:v>COAL HANDLING</c:v>
                </c:pt>
              </c:strCache>
            </c:strRef>
          </c:tx>
          <c:invertIfNegative val="0"/>
          <c:dPt>
            <c:idx val="0"/>
            <c:invertIfNegative val="0"/>
            <c:bubble3D val="0"/>
            <c:spPr>
              <a:solidFill>
                <a:srgbClr val="00B050"/>
              </a:solidFill>
            </c:spPr>
            <c:extLst>
              <c:ext xmlns:c16="http://schemas.microsoft.com/office/drawing/2014/chart" uri="{C3380CC4-5D6E-409C-BE32-E72D297353CC}">
                <c16:uniqueId val="{00000001-F12F-46FA-A62E-181AF651E7CB}"/>
              </c:ext>
            </c:extLst>
          </c:dPt>
          <c:dPt>
            <c:idx val="1"/>
            <c:invertIfNegative val="0"/>
            <c:bubble3D val="0"/>
            <c:spPr>
              <a:solidFill>
                <a:srgbClr val="00B0F0"/>
              </a:solidFill>
              <a:ln>
                <a:gradFill>
                  <a:gsLst>
                    <a:gs pos="0">
                      <a:srgbClr val="FFFF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tLst>
              <c:ext xmlns:c16="http://schemas.microsoft.com/office/drawing/2014/chart" uri="{C3380CC4-5D6E-409C-BE32-E72D297353CC}">
                <c16:uniqueId val="{00000003-F12F-46FA-A62E-181AF651E7CB}"/>
              </c:ext>
            </c:extLst>
          </c:dPt>
          <c:dPt>
            <c:idx val="2"/>
            <c:invertIfNegative val="0"/>
            <c:bubble3D val="0"/>
            <c:spPr>
              <a:solidFill>
                <a:srgbClr val="FFC000"/>
              </a:solidFill>
            </c:spPr>
            <c:extLst>
              <c:ext xmlns:c16="http://schemas.microsoft.com/office/drawing/2014/chart" uri="{C3380CC4-5D6E-409C-BE32-E72D297353CC}">
                <c16:uniqueId val="{00000005-F12F-46FA-A62E-181AF651E7CB}"/>
              </c:ext>
            </c:extLst>
          </c:dPt>
          <c:dPt>
            <c:idx val="3"/>
            <c:invertIfNegative val="0"/>
            <c:bubble3D val="0"/>
            <c:spPr>
              <a:solidFill>
                <a:srgbClr val="FF0000"/>
              </a:solidFill>
            </c:spPr>
            <c:extLst>
              <c:ext xmlns:c16="http://schemas.microsoft.com/office/drawing/2014/chart" uri="{C3380CC4-5D6E-409C-BE32-E72D297353CC}">
                <c16:uniqueId val="{00000007-F12F-46FA-A62E-181AF651E7CB}"/>
              </c:ext>
            </c:extLst>
          </c:dPt>
          <c:dPt>
            <c:idx val="4"/>
            <c:invertIfNegative val="0"/>
            <c:bubble3D val="0"/>
            <c:spPr>
              <a:solidFill>
                <a:schemeClr val="bg1">
                  <a:lumMod val="50000"/>
                </a:schemeClr>
              </a:solidFill>
            </c:spPr>
            <c:extLst>
              <c:ext xmlns:c16="http://schemas.microsoft.com/office/drawing/2014/chart" uri="{C3380CC4-5D6E-409C-BE32-E72D297353CC}">
                <c16:uniqueId val="{00000009-F12F-46FA-A62E-181AF651E7CB}"/>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DASHBOARD!$D$8:$H$8</c:f>
              <c:strCache>
                <c:ptCount val="5"/>
                <c:pt idx="0">
                  <c:v>LEVEL A</c:v>
                </c:pt>
                <c:pt idx="1">
                  <c:v>LEVEL B</c:v>
                </c:pt>
                <c:pt idx="2">
                  <c:v>LEVEL C</c:v>
                </c:pt>
                <c:pt idx="3">
                  <c:v>LEVEL D</c:v>
                </c:pt>
                <c:pt idx="4">
                  <c:v>STANDBY</c:v>
                </c:pt>
              </c:strCache>
            </c:strRef>
          </c:cat>
          <c:val>
            <c:numRef>
              <c:f>DASHBOARD!$D$12:$H$12</c:f>
              <c:numCache>
                <c:formatCode>General</c:formatCode>
                <c:ptCount val="5"/>
                <c:pt idx="0">
                  <c:v>3</c:v>
                </c:pt>
                <c:pt idx="1">
                  <c:v>7</c:v>
                </c:pt>
                <c:pt idx="2">
                  <c:v>1</c:v>
                </c:pt>
                <c:pt idx="3">
                  <c:v>3</c:v>
                </c:pt>
                <c:pt idx="4">
                  <c:v>0</c:v>
                </c:pt>
              </c:numCache>
            </c:numRef>
          </c:val>
          <c:extLst>
            <c:ext xmlns:c16="http://schemas.microsoft.com/office/drawing/2014/chart" uri="{C3380CC4-5D6E-409C-BE32-E72D297353CC}">
              <c16:uniqueId val="{0000000A-F12F-46FA-A62E-181AF651E7CB}"/>
            </c:ext>
          </c:extLst>
        </c:ser>
        <c:dLbls>
          <c:showLegendKey val="0"/>
          <c:showVal val="0"/>
          <c:showCatName val="0"/>
          <c:showSerName val="0"/>
          <c:showPercent val="0"/>
          <c:showBubbleSize val="0"/>
        </c:dLbls>
        <c:gapWidth val="100"/>
        <c:shape val="box"/>
        <c:axId val="245073848"/>
        <c:axId val="245074232"/>
        <c:axId val="245074616"/>
      </c:bar3DChart>
      <c:catAx>
        <c:axId val="245073848"/>
        <c:scaling>
          <c:orientation val="minMax"/>
        </c:scaling>
        <c:delete val="0"/>
        <c:axPos val="b"/>
        <c:numFmt formatCode="General" sourceLinked="1"/>
        <c:majorTickMark val="out"/>
        <c:minorTickMark val="none"/>
        <c:tickLblPos val="nextTo"/>
        <c:txPr>
          <a:bodyPr rot="0" vert="horz"/>
          <a:lstStyle/>
          <a:p>
            <a:pPr>
              <a:defRPr/>
            </a:pPr>
            <a:endParaRPr lang="en-US"/>
          </a:p>
        </c:txPr>
        <c:crossAx val="245074232"/>
        <c:crosses val="autoZero"/>
        <c:auto val="1"/>
        <c:lblAlgn val="ctr"/>
        <c:lblOffset val="100"/>
        <c:noMultiLvlLbl val="0"/>
      </c:catAx>
      <c:valAx>
        <c:axId val="245074232"/>
        <c:scaling>
          <c:orientation val="minMax"/>
        </c:scaling>
        <c:delete val="0"/>
        <c:axPos val="l"/>
        <c:majorGridlines/>
        <c:numFmt formatCode="General" sourceLinked="1"/>
        <c:majorTickMark val="out"/>
        <c:minorTickMark val="none"/>
        <c:tickLblPos val="nextTo"/>
        <c:txPr>
          <a:bodyPr rot="0" vert="horz"/>
          <a:lstStyle/>
          <a:p>
            <a:pPr>
              <a:defRPr/>
            </a:pPr>
            <a:endParaRPr lang="en-US"/>
          </a:p>
        </c:txPr>
        <c:crossAx val="245073848"/>
        <c:crosses val="autoZero"/>
        <c:crossBetween val="between"/>
      </c:valAx>
      <c:serAx>
        <c:axId val="245074616"/>
        <c:scaling>
          <c:orientation val="minMax"/>
        </c:scaling>
        <c:delete val="0"/>
        <c:axPos val="b"/>
        <c:majorTickMark val="out"/>
        <c:minorTickMark val="none"/>
        <c:tickLblPos val="nextTo"/>
        <c:crossAx val="245074232"/>
        <c:crosses val="autoZero"/>
      </c:serAx>
      <c:spPr>
        <a:gradFill flip="none" rotWithShape="1">
          <a:gsLst>
            <a:gs pos="100000">
              <a:schemeClr val="bg1">
                <a:lumMod val="85000"/>
                <a:shade val="30000"/>
                <a:satMod val="115000"/>
              </a:schemeClr>
            </a:gs>
            <a:gs pos="100000">
              <a:schemeClr val="bg1">
                <a:lumMod val="85000"/>
                <a:shade val="67500"/>
                <a:satMod val="115000"/>
              </a:schemeClr>
            </a:gs>
            <a:gs pos="99000">
              <a:schemeClr val="bg1">
                <a:lumMod val="85000"/>
                <a:shade val="100000"/>
                <a:satMod val="115000"/>
              </a:schemeClr>
            </a:gs>
          </a:gsLst>
          <a:lin ang="18900000" scaled="1"/>
          <a:tileRect/>
        </a:gradFill>
      </c:spPr>
    </c:plotArea>
    <c:plotVisOnly val="1"/>
    <c:dispBlanksAs val="gap"/>
    <c:showDLblsOverMax val="0"/>
  </c:chart>
  <c:spPr>
    <a:solidFill>
      <a:schemeClr val="bg1">
        <a:lumMod val="85000"/>
      </a:schemeClr>
    </a:solidFill>
  </c:spPr>
  <c:txPr>
    <a:bodyPr/>
    <a:lstStyle/>
    <a:p>
      <a:pPr>
        <a:defRPr sz="1200"/>
      </a:pPr>
      <a:endParaRPr lang="en-US"/>
    </a:p>
  </c:txPr>
  <c:printSettings>
    <c:headerFooter/>
    <c:pageMargins b="0.75000000000000078" l="0.70000000000000062" r="0.70000000000000062" t="0.750000000000000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STATUS PERALATAN UNIT 1</a:t>
            </a:r>
          </a:p>
        </c:rich>
      </c:tx>
      <c:overlay val="0"/>
    </c:title>
    <c:autoTitleDeleted val="0"/>
    <c:view3D>
      <c:rotX val="15"/>
      <c:rotY val="20"/>
      <c:rAngAx val="0"/>
    </c:view3D>
    <c:floor>
      <c:thickness val="0"/>
    </c:floor>
    <c:sideWall>
      <c:thickness val="0"/>
    </c:sideWall>
    <c:backWall>
      <c:thickness val="0"/>
    </c:backWall>
    <c:plotArea>
      <c:layout/>
      <c:bar3DChart>
        <c:barDir val="col"/>
        <c:grouping val="clustered"/>
        <c:varyColors val="0"/>
        <c:ser>
          <c:idx val="0"/>
          <c:order val="0"/>
          <c:tx>
            <c:strRef>
              <c:f>DASHBOARD!$B$9</c:f>
              <c:strCache>
                <c:ptCount val="1"/>
                <c:pt idx="0">
                  <c:v>UNIT 1</c:v>
                </c:pt>
              </c:strCache>
            </c:strRef>
          </c:tx>
          <c:invertIfNegative val="0"/>
          <c:dPt>
            <c:idx val="0"/>
            <c:invertIfNegative val="0"/>
            <c:bubble3D val="0"/>
            <c:spPr>
              <a:solidFill>
                <a:srgbClr val="00B050"/>
              </a:solidFill>
            </c:spPr>
            <c:extLst>
              <c:ext xmlns:c16="http://schemas.microsoft.com/office/drawing/2014/chart" uri="{C3380CC4-5D6E-409C-BE32-E72D297353CC}">
                <c16:uniqueId val="{00000001-453E-40CD-9745-AB99E97EB0DC}"/>
              </c:ext>
            </c:extLst>
          </c:dPt>
          <c:dPt>
            <c:idx val="1"/>
            <c:invertIfNegative val="0"/>
            <c:bubble3D val="0"/>
            <c:spPr>
              <a:solidFill>
                <a:srgbClr val="00B0F0"/>
              </a:solidFill>
              <a:ln>
                <a:gradFill>
                  <a:gsLst>
                    <a:gs pos="0">
                      <a:srgbClr val="FFFF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tLst>
              <c:ext xmlns:c16="http://schemas.microsoft.com/office/drawing/2014/chart" uri="{C3380CC4-5D6E-409C-BE32-E72D297353CC}">
                <c16:uniqueId val="{00000003-453E-40CD-9745-AB99E97EB0DC}"/>
              </c:ext>
            </c:extLst>
          </c:dPt>
          <c:dPt>
            <c:idx val="2"/>
            <c:invertIfNegative val="0"/>
            <c:bubble3D val="0"/>
            <c:spPr>
              <a:solidFill>
                <a:srgbClr val="FFC000"/>
              </a:solidFill>
            </c:spPr>
            <c:extLst>
              <c:ext xmlns:c16="http://schemas.microsoft.com/office/drawing/2014/chart" uri="{C3380CC4-5D6E-409C-BE32-E72D297353CC}">
                <c16:uniqueId val="{00000005-453E-40CD-9745-AB99E97EB0DC}"/>
              </c:ext>
            </c:extLst>
          </c:dPt>
          <c:dPt>
            <c:idx val="3"/>
            <c:invertIfNegative val="0"/>
            <c:bubble3D val="0"/>
            <c:spPr>
              <a:solidFill>
                <a:srgbClr val="FF0000"/>
              </a:solidFill>
            </c:spPr>
            <c:extLst>
              <c:ext xmlns:c16="http://schemas.microsoft.com/office/drawing/2014/chart" uri="{C3380CC4-5D6E-409C-BE32-E72D297353CC}">
                <c16:uniqueId val="{00000007-453E-40CD-9745-AB99E97EB0DC}"/>
              </c:ext>
            </c:extLst>
          </c:dPt>
          <c:dPt>
            <c:idx val="4"/>
            <c:invertIfNegative val="0"/>
            <c:bubble3D val="0"/>
            <c:spPr>
              <a:solidFill>
                <a:schemeClr val="bg1">
                  <a:lumMod val="50000"/>
                </a:schemeClr>
              </a:solidFill>
            </c:spPr>
            <c:extLst>
              <c:ext xmlns:c16="http://schemas.microsoft.com/office/drawing/2014/chart" uri="{C3380CC4-5D6E-409C-BE32-E72D297353CC}">
                <c16:uniqueId val="{00000009-453E-40CD-9745-AB99E97EB0DC}"/>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DASHBOARD!$D$8:$H$8</c:f>
              <c:strCache>
                <c:ptCount val="5"/>
                <c:pt idx="0">
                  <c:v>LEVEL A</c:v>
                </c:pt>
                <c:pt idx="1">
                  <c:v>LEVEL B</c:v>
                </c:pt>
                <c:pt idx="2">
                  <c:v>LEVEL C</c:v>
                </c:pt>
                <c:pt idx="3">
                  <c:v>LEVEL D</c:v>
                </c:pt>
                <c:pt idx="4">
                  <c:v>STANDBY</c:v>
                </c:pt>
              </c:strCache>
            </c:strRef>
          </c:cat>
          <c:val>
            <c:numRef>
              <c:f>DASHBOARD!$D$9:$H$9</c:f>
              <c:numCache>
                <c:formatCode>General</c:formatCode>
                <c:ptCount val="5"/>
                <c:pt idx="0">
                  <c:v>8</c:v>
                </c:pt>
                <c:pt idx="1">
                  <c:v>10</c:v>
                </c:pt>
                <c:pt idx="2">
                  <c:v>0</c:v>
                </c:pt>
                <c:pt idx="3">
                  <c:v>1</c:v>
                </c:pt>
                <c:pt idx="4">
                  <c:v>7</c:v>
                </c:pt>
              </c:numCache>
            </c:numRef>
          </c:val>
          <c:extLst>
            <c:ext xmlns:c16="http://schemas.microsoft.com/office/drawing/2014/chart" uri="{C3380CC4-5D6E-409C-BE32-E72D297353CC}">
              <c16:uniqueId val="{0000000A-453E-40CD-9745-AB99E97EB0DC}"/>
            </c:ext>
          </c:extLst>
        </c:ser>
        <c:dLbls>
          <c:showLegendKey val="0"/>
          <c:showVal val="0"/>
          <c:showCatName val="0"/>
          <c:showSerName val="0"/>
          <c:showPercent val="0"/>
          <c:showBubbleSize val="0"/>
        </c:dLbls>
        <c:gapWidth val="100"/>
        <c:shape val="box"/>
        <c:axId val="245231536"/>
        <c:axId val="245352256"/>
        <c:axId val="0"/>
      </c:bar3DChart>
      <c:catAx>
        <c:axId val="245231536"/>
        <c:scaling>
          <c:orientation val="minMax"/>
        </c:scaling>
        <c:delete val="0"/>
        <c:axPos val="b"/>
        <c:numFmt formatCode="General" sourceLinked="1"/>
        <c:majorTickMark val="out"/>
        <c:minorTickMark val="none"/>
        <c:tickLblPos val="nextTo"/>
        <c:txPr>
          <a:bodyPr rot="0" vert="horz"/>
          <a:lstStyle/>
          <a:p>
            <a:pPr>
              <a:defRPr/>
            </a:pPr>
            <a:endParaRPr lang="en-US"/>
          </a:p>
        </c:txPr>
        <c:crossAx val="245352256"/>
        <c:crosses val="autoZero"/>
        <c:auto val="1"/>
        <c:lblAlgn val="ctr"/>
        <c:lblOffset val="100"/>
        <c:noMultiLvlLbl val="0"/>
      </c:catAx>
      <c:valAx>
        <c:axId val="245352256"/>
        <c:scaling>
          <c:orientation val="minMax"/>
        </c:scaling>
        <c:delete val="0"/>
        <c:axPos val="l"/>
        <c:majorGridlines/>
        <c:numFmt formatCode="General" sourceLinked="1"/>
        <c:majorTickMark val="out"/>
        <c:minorTickMark val="none"/>
        <c:tickLblPos val="nextTo"/>
        <c:txPr>
          <a:bodyPr rot="0" vert="horz"/>
          <a:lstStyle/>
          <a:p>
            <a:pPr>
              <a:defRPr/>
            </a:pPr>
            <a:endParaRPr lang="en-US"/>
          </a:p>
        </c:txPr>
        <c:crossAx val="245231536"/>
        <c:crosses val="autoZero"/>
        <c:crossBetween val="between"/>
      </c:valAx>
      <c:spPr>
        <a:gradFill flip="none" rotWithShape="1">
          <a:gsLst>
            <a:gs pos="0">
              <a:schemeClr val="bg1">
                <a:lumMod val="95000"/>
                <a:shade val="30000"/>
                <a:satMod val="115000"/>
              </a:schemeClr>
            </a:gs>
            <a:gs pos="33000">
              <a:schemeClr val="bg1">
                <a:lumMod val="95000"/>
                <a:shade val="67500"/>
                <a:satMod val="115000"/>
              </a:schemeClr>
            </a:gs>
            <a:gs pos="94000">
              <a:schemeClr val="bg1">
                <a:lumMod val="95000"/>
                <a:shade val="100000"/>
                <a:satMod val="115000"/>
              </a:schemeClr>
            </a:gs>
          </a:gsLst>
          <a:lin ang="16200000" scaled="1"/>
          <a:tileRect/>
        </a:gradFill>
      </c:spPr>
    </c:plotArea>
    <c:plotVisOnly val="1"/>
    <c:dispBlanksAs val="gap"/>
    <c:showDLblsOverMax val="0"/>
  </c:chart>
  <c:spPr>
    <a:solidFill>
      <a:schemeClr val="bg1">
        <a:lumMod val="95000"/>
      </a:schemeClr>
    </a:solidFill>
  </c:spPr>
  <c:txPr>
    <a:bodyPr/>
    <a:lstStyle/>
    <a:p>
      <a:pPr>
        <a:defRPr sz="1200"/>
      </a:pPr>
      <a:endParaRPr lang="en-US"/>
    </a:p>
  </c:txPr>
  <c:printSettings>
    <c:headerFooter/>
    <c:pageMargins b="0.75000000000000078" l="0.70000000000000062" r="0.70000000000000062" t="0.75000000000000078" header="0.30000000000000032" footer="0.30000000000000032"/>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STATUS EQUIPMENT</a:t>
            </a:r>
            <a:r>
              <a:rPr lang="en-US" baseline="0"/>
              <a:t> BERDASARKAN VIBRASI</a:t>
            </a:r>
          </a:p>
          <a:p>
            <a:pPr>
              <a:defRPr/>
            </a:pPr>
            <a:r>
              <a:rPr lang="en-US" baseline="0"/>
              <a:t>PLTU JERANJANG OMU</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DASHBOARD!$D$8</c:f>
              <c:strCache>
                <c:ptCount val="1"/>
                <c:pt idx="0">
                  <c:v>LEVEL A</c:v>
                </c:pt>
              </c:strCache>
            </c:strRef>
          </c:tx>
          <c:spPr>
            <a:solidFill>
              <a:srgbClr val="00FF00"/>
            </a:solidFill>
            <a:ln w="9525" cap="flat" cmpd="sng" algn="ctr">
              <a:solidFill>
                <a:schemeClr val="bg1"/>
              </a:solidFill>
              <a:round/>
            </a:ln>
            <a:effectLst>
              <a:outerShdw blurRad="40000" dist="20000" dir="5400000" rotWithShape="0">
                <a:srgbClr val="000000">
                  <a:alpha val="38000"/>
                </a:srgbClr>
              </a:outerShdw>
            </a:effectLst>
            <a:sp3d contourW="9525">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DASHBOARD!$B$9:$C$12</c:f>
              <c:strCache>
                <c:ptCount val="4"/>
                <c:pt idx="0">
                  <c:v>UNIT 1</c:v>
                </c:pt>
                <c:pt idx="1">
                  <c:v>UNIT 2</c:v>
                </c:pt>
                <c:pt idx="2">
                  <c:v>UNIT 3</c:v>
                </c:pt>
                <c:pt idx="3">
                  <c:v>COAL HANDLING</c:v>
                </c:pt>
              </c:strCache>
            </c:strRef>
          </c:cat>
          <c:val>
            <c:numRef>
              <c:f>DASHBOARD!$D$9:$D$12</c:f>
              <c:numCache>
                <c:formatCode>General</c:formatCode>
                <c:ptCount val="4"/>
                <c:pt idx="0">
                  <c:v>8</c:v>
                </c:pt>
                <c:pt idx="1">
                  <c:v>3</c:v>
                </c:pt>
                <c:pt idx="2">
                  <c:v>6</c:v>
                </c:pt>
                <c:pt idx="3">
                  <c:v>3</c:v>
                </c:pt>
              </c:numCache>
            </c:numRef>
          </c:val>
          <c:extLst>
            <c:ext xmlns:c16="http://schemas.microsoft.com/office/drawing/2014/chart" uri="{C3380CC4-5D6E-409C-BE32-E72D297353CC}">
              <c16:uniqueId val="{00000000-F57E-4AB1-9F14-B3BFFC5DA6DB}"/>
            </c:ext>
          </c:extLst>
        </c:ser>
        <c:ser>
          <c:idx val="1"/>
          <c:order val="1"/>
          <c:tx>
            <c:strRef>
              <c:f>DASHBOARD!$E$8</c:f>
              <c:strCache>
                <c:ptCount val="1"/>
                <c:pt idx="0">
                  <c:v>LEVEL B</c:v>
                </c:pt>
              </c:strCache>
            </c:strRef>
          </c:tx>
          <c:spPr>
            <a:solidFill>
              <a:srgbClr val="00B0F0"/>
            </a:solidFill>
            <a:ln w="9525" cap="flat" cmpd="sng" algn="ctr">
              <a:solidFill>
                <a:schemeClr val="bg1"/>
              </a:solidFill>
              <a:round/>
            </a:ln>
            <a:effectLst>
              <a:outerShdw blurRad="40000" dist="20000" dir="5400000" rotWithShape="0">
                <a:srgbClr val="000000">
                  <a:alpha val="38000"/>
                </a:srgbClr>
              </a:outerShdw>
            </a:effectLst>
            <a:sp3d contourW="9525">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DASHBOARD!$B$9:$C$12</c:f>
              <c:strCache>
                <c:ptCount val="4"/>
                <c:pt idx="0">
                  <c:v>UNIT 1</c:v>
                </c:pt>
                <c:pt idx="1">
                  <c:v>UNIT 2</c:v>
                </c:pt>
                <c:pt idx="2">
                  <c:v>UNIT 3</c:v>
                </c:pt>
                <c:pt idx="3">
                  <c:v>COAL HANDLING</c:v>
                </c:pt>
              </c:strCache>
            </c:strRef>
          </c:cat>
          <c:val>
            <c:numRef>
              <c:f>DASHBOARD!$E$9:$E$12</c:f>
              <c:numCache>
                <c:formatCode>General</c:formatCode>
                <c:ptCount val="4"/>
                <c:pt idx="0">
                  <c:v>10</c:v>
                </c:pt>
                <c:pt idx="1">
                  <c:v>10</c:v>
                </c:pt>
                <c:pt idx="2">
                  <c:v>8</c:v>
                </c:pt>
                <c:pt idx="3">
                  <c:v>7</c:v>
                </c:pt>
              </c:numCache>
            </c:numRef>
          </c:val>
          <c:extLst>
            <c:ext xmlns:c16="http://schemas.microsoft.com/office/drawing/2014/chart" uri="{C3380CC4-5D6E-409C-BE32-E72D297353CC}">
              <c16:uniqueId val="{00000001-F57E-4AB1-9F14-B3BFFC5DA6DB}"/>
            </c:ext>
          </c:extLst>
        </c:ser>
        <c:ser>
          <c:idx val="2"/>
          <c:order val="2"/>
          <c:tx>
            <c:strRef>
              <c:f>DASHBOARD!$F$8</c:f>
              <c:strCache>
                <c:ptCount val="1"/>
                <c:pt idx="0">
                  <c:v>LEVEL C</c:v>
                </c:pt>
              </c:strCache>
            </c:strRef>
          </c:tx>
          <c:spPr>
            <a:solidFill>
              <a:srgbClr val="FFC000"/>
            </a:solidFill>
            <a:ln w="9525" cap="flat" cmpd="sng" algn="ctr">
              <a:solidFill>
                <a:schemeClr val="bg1"/>
              </a:solidFill>
              <a:round/>
            </a:ln>
            <a:effectLst>
              <a:outerShdw blurRad="40000" dist="20000" dir="5400000" rotWithShape="0">
                <a:srgbClr val="000000">
                  <a:alpha val="38000"/>
                </a:srgbClr>
              </a:outerShdw>
            </a:effectLst>
            <a:sp3d contourW="9525">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DASHBOARD!$B$9:$C$12</c:f>
              <c:strCache>
                <c:ptCount val="4"/>
                <c:pt idx="0">
                  <c:v>UNIT 1</c:v>
                </c:pt>
                <c:pt idx="1">
                  <c:v>UNIT 2</c:v>
                </c:pt>
                <c:pt idx="2">
                  <c:v>UNIT 3</c:v>
                </c:pt>
                <c:pt idx="3">
                  <c:v>COAL HANDLING</c:v>
                </c:pt>
              </c:strCache>
            </c:strRef>
          </c:cat>
          <c:val>
            <c:numRef>
              <c:f>DASHBOARD!$F$9:$F$12</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02-F57E-4AB1-9F14-B3BFFC5DA6DB}"/>
            </c:ext>
          </c:extLst>
        </c:ser>
        <c:ser>
          <c:idx val="3"/>
          <c:order val="3"/>
          <c:tx>
            <c:strRef>
              <c:f>DASHBOARD!$G$8</c:f>
              <c:strCache>
                <c:ptCount val="1"/>
                <c:pt idx="0">
                  <c:v>LEVEL D</c:v>
                </c:pt>
              </c:strCache>
            </c:strRef>
          </c:tx>
          <c:spPr>
            <a:solidFill>
              <a:srgbClr val="FF0000"/>
            </a:solidFill>
            <a:ln w="9525" cap="flat" cmpd="sng" algn="ctr">
              <a:solidFill>
                <a:schemeClr val="bg1"/>
              </a:solidFill>
              <a:round/>
            </a:ln>
            <a:effectLst>
              <a:outerShdw blurRad="40000" dist="20000" dir="5400000" rotWithShape="0">
                <a:srgbClr val="000000">
                  <a:alpha val="38000"/>
                </a:srgbClr>
              </a:outerShdw>
            </a:effectLst>
            <a:sp3d contourW="9525">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DASHBOARD!$B$9:$C$12</c:f>
              <c:strCache>
                <c:ptCount val="4"/>
                <c:pt idx="0">
                  <c:v>UNIT 1</c:v>
                </c:pt>
                <c:pt idx="1">
                  <c:v>UNIT 2</c:v>
                </c:pt>
                <c:pt idx="2">
                  <c:v>UNIT 3</c:v>
                </c:pt>
                <c:pt idx="3">
                  <c:v>COAL HANDLING</c:v>
                </c:pt>
              </c:strCache>
            </c:strRef>
          </c:cat>
          <c:val>
            <c:numRef>
              <c:f>DASHBOARD!$G$9:$G$12</c:f>
              <c:numCache>
                <c:formatCode>General</c:formatCode>
                <c:ptCount val="4"/>
                <c:pt idx="0">
                  <c:v>1</c:v>
                </c:pt>
                <c:pt idx="1">
                  <c:v>0</c:v>
                </c:pt>
                <c:pt idx="2">
                  <c:v>0</c:v>
                </c:pt>
                <c:pt idx="3">
                  <c:v>3</c:v>
                </c:pt>
              </c:numCache>
            </c:numRef>
          </c:val>
          <c:extLst>
            <c:ext xmlns:c16="http://schemas.microsoft.com/office/drawing/2014/chart" uri="{C3380CC4-5D6E-409C-BE32-E72D297353CC}">
              <c16:uniqueId val="{00000003-F57E-4AB1-9F14-B3BFFC5DA6DB}"/>
            </c:ext>
          </c:extLst>
        </c:ser>
        <c:ser>
          <c:idx val="4"/>
          <c:order val="4"/>
          <c:tx>
            <c:strRef>
              <c:f>DASHBOARD!$H$8</c:f>
              <c:strCache>
                <c:ptCount val="1"/>
                <c:pt idx="0">
                  <c:v>STANDBY</c:v>
                </c:pt>
              </c:strCache>
            </c:strRef>
          </c:tx>
          <c:spPr>
            <a:solidFill>
              <a:schemeClr val="bg1">
                <a:lumMod val="75000"/>
              </a:schemeClr>
            </a:solidFill>
            <a:ln w="9525" cap="flat" cmpd="sng" algn="ctr">
              <a:solidFill>
                <a:schemeClr val="bg1"/>
              </a:solidFill>
              <a:round/>
            </a:ln>
            <a:effectLst>
              <a:outerShdw blurRad="40000" dist="20000" dir="5400000" rotWithShape="0">
                <a:srgbClr val="000000">
                  <a:alpha val="38000"/>
                </a:srgbClr>
              </a:outerShdw>
            </a:effectLst>
            <a:sp3d contourW="9525">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DASHBOARD!$B$9:$C$12</c:f>
              <c:strCache>
                <c:ptCount val="4"/>
                <c:pt idx="0">
                  <c:v>UNIT 1</c:v>
                </c:pt>
                <c:pt idx="1">
                  <c:v>UNIT 2</c:v>
                </c:pt>
                <c:pt idx="2">
                  <c:v>UNIT 3</c:v>
                </c:pt>
                <c:pt idx="3">
                  <c:v>COAL HANDLING</c:v>
                </c:pt>
              </c:strCache>
            </c:strRef>
          </c:cat>
          <c:val>
            <c:numRef>
              <c:f>DASHBOARD!$H$9:$H$12</c:f>
              <c:numCache>
                <c:formatCode>General</c:formatCode>
                <c:ptCount val="4"/>
                <c:pt idx="0">
                  <c:v>7</c:v>
                </c:pt>
                <c:pt idx="1">
                  <c:v>4</c:v>
                </c:pt>
                <c:pt idx="2">
                  <c:v>8</c:v>
                </c:pt>
                <c:pt idx="3">
                  <c:v>0</c:v>
                </c:pt>
              </c:numCache>
            </c:numRef>
          </c:val>
          <c:extLst>
            <c:ext xmlns:c16="http://schemas.microsoft.com/office/drawing/2014/chart" uri="{C3380CC4-5D6E-409C-BE32-E72D297353CC}">
              <c16:uniqueId val="{00000004-F57E-4AB1-9F14-B3BFFC5DA6DB}"/>
            </c:ext>
          </c:extLst>
        </c:ser>
        <c:dLbls>
          <c:showLegendKey val="0"/>
          <c:showVal val="1"/>
          <c:showCatName val="0"/>
          <c:showSerName val="0"/>
          <c:showPercent val="0"/>
          <c:showBubbleSize val="0"/>
        </c:dLbls>
        <c:gapWidth val="150"/>
        <c:shape val="box"/>
        <c:axId val="1864092448"/>
        <c:axId val="2095908624"/>
        <c:axId val="0"/>
      </c:bar3DChart>
      <c:catAx>
        <c:axId val="186409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95908624"/>
        <c:crosses val="autoZero"/>
        <c:auto val="1"/>
        <c:lblAlgn val="ctr"/>
        <c:lblOffset val="100"/>
        <c:noMultiLvlLbl val="0"/>
      </c:catAx>
      <c:valAx>
        <c:axId val="209590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64092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algn="l" rotWithShape="0">
        <a:srgbClr val="FFFF00">
          <a:alpha val="40000"/>
        </a:srgbClr>
      </a:outerShd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STATUS PERALATAN UNIT 3</a:t>
            </a:r>
          </a:p>
        </c:rich>
      </c:tx>
      <c:overlay val="0"/>
    </c:title>
    <c:autoTitleDeleted val="0"/>
    <c:view3D>
      <c:rotX val="15"/>
      <c:rotY val="20"/>
      <c:rAngAx val="0"/>
    </c:view3D>
    <c:floor>
      <c:thickness val="0"/>
    </c:floor>
    <c:sideWall>
      <c:thickness val="0"/>
    </c:sideWall>
    <c:backWall>
      <c:thickness val="0"/>
    </c:backWall>
    <c:plotArea>
      <c:layout/>
      <c:bar3DChart>
        <c:barDir val="col"/>
        <c:grouping val="clustered"/>
        <c:varyColors val="0"/>
        <c:ser>
          <c:idx val="0"/>
          <c:order val="0"/>
          <c:tx>
            <c:strRef>
              <c:f>DASHBOARD!$B$11</c:f>
              <c:strCache>
                <c:ptCount val="1"/>
                <c:pt idx="0">
                  <c:v>UNIT 3</c:v>
                </c:pt>
              </c:strCache>
            </c:strRef>
          </c:tx>
          <c:invertIfNegative val="0"/>
          <c:dPt>
            <c:idx val="0"/>
            <c:invertIfNegative val="0"/>
            <c:bubble3D val="0"/>
            <c:spPr>
              <a:solidFill>
                <a:srgbClr val="00B050"/>
              </a:solidFill>
            </c:spPr>
            <c:extLst>
              <c:ext xmlns:c16="http://schemas.microsoft.com/office/drawing/2014/chart" uri="{C3380CC4-5D6E-409C-BE32-E72D297353CC}">
                <c16:uniqueId val="{00000001-E5CB-42B0-81EC-6747D9CC5B7F}"/>
              </c:ext>
            </c:extLst>
          </c:dPt>
          <c:dPt>
            <c:idx val="1"/>
            <c:invertIfNegative val="0"/>
            <c:bubble3D val="0"/>
            <c:spPr>
              <a:solidFill>
                <a:srgbClr val="00B0F0"/>
              </a:solidFill>
              <a:ln>
                <a:gradFill>
                  <a:gsLst>
                    <a:gs pos="0">
                      <a:srgbClr val="FFFF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tLst>
              <c:ext xmlns:c16="http://schemas.microsoft.com/office/drawing/2014/chart" uri="{C3380CC4-5D6E-409C-BE32-E72D297353CC}">
                <c16:uniqueId val="{00000003-E5CB-42B0-81EC-6747D9CC5B7F}"/>
              </c:ext>
            </c:extLst>
          </c:dPt>
          <c:dPt>
            <c:idx val="2"/>
            <c:invertIfNegative val="0"/>
            <c:bubble3D val="0"/>
            <c:spPr>
              <a:solidFill>
                <a:srgbClr val="FFC000"/>
              </a:solidFill>
            </c:spPr>
            <c:extLst>
              <c:ext xmlns:c16="http://schemas.microsoft.com/office/drawing/2014/chart" uri="{C3380CC4-5D6E-409C-BE32-E72D297353CC}">
                <c16:uniqueId val="{00000005-E5CB-42B0-81EC-6747D9CC5B7F}"/>
              </c:ext>
            </c:extLst>
          </c:dPt>
          <c:dPt>
            <c:idx val="3"/>
            <c:invertIfNegative val="0"/>
            <c:bubble3D val="0"/>
            <c:spPr>
              <a:solidFill>
                <a:srgbClr val="FF0000"/>
              </a:solidFill>
            </c:spPr>
            <c:extLst>
              <c:ext xmlns:c16="http://schemas.microsoft.com/office/drawing/2014/chart" uri="{C3380CC4-5D6E-409C-BE32-E72D297353CC}">
                <c16:uniqueId val="{00000007-E5CB-42B0-81EC-6747D9CC5B7F}"/>
              </c:ext>
            </c:extLst>
          </c:dPt>
          <c:dPt>
            <c:idx val="4"/>
            <c:invertIfNegative val="0"/>
            <c:bubble3D val="0"/>
            <c:spPr>
              <a:solidFill>
                <a:schemeClr val="bg1">
                  <a:lumMod val="50000"/>
                </a:schemeClr>
              </a:solidFill>
            </c:spPr>
            <c:extLst>
              <c:ext xmlns:c16="http://schemas.microsoft.com/office/drawing/2014/chart" uri="{C3380CC4-5D6E-409C-BE32-E72D297353CC}">
                <c16:uniqueId val="{00000009-E5CB-42B0-81EC-6747D9CC5B7F}"/>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DASHBOARD!$D$8:$H$8</c:f>
              <c:strCache>
                <c:ptCount val="5"/>
                <c:pt idx="0">
                  <c:v>LEVEL A</c:v>
                </c:pt>
                <c:pt idx="1">
                  <c:v>LEVEL B</c:v>
                </c:pt>
                <c:pt idx="2">
                  <c:v>LEVEL C</c:v>
                </c:pt>
                <c:pt idx="3">
                  <c:v>LEVEL D</c:v>
                </c:pt>
                <c:pt idx="4">
                  <c:v>STANDBY</c:v>
                </c:pt>
              </c:strCache>
            </c:strRef>
          </c:cat>
          <c:val>
            <c:numRef>
              <c:f>DASHBOARD!$D$11:$H$11</c:f>
              <c:numCache>
                <c:formatCode>General</c:formatCode>
                <c:ptCount val="5"/>
                <c:pt idx="0">
                  <c:v>6</c:v>
                </c:pt>
                <c:pt idx="1">
                  <c:v>8</c:v>
                </c:pt>
                <c:pt idx="2">
                  <c:v>0</c:v>
                </c:pt>
                <c:pt idx="3">
                  <c:v>0</c:v>
                </c:pt>
                <c:pt idx="4">
                  <c:v>8</c:v>
                </c:pt>
              </c:numCache>
            </c:numRef>
          </c:val>
          <c:extLst>
            <c:ext xmlns:c16="http://schemas.microsoft.com/office/drawing/2014/chart" uri="{C3380CC4-5D6E-409C-BE32-E72D297353CC}">
              <c16:uniqueId val="{0000000A-E5CB-42B0-81EC-6747D9CC5B7F}"/>
            </c:ext>
          </c:extLst>
        </c:ser>
        <c:dLbls>
          <c:showLegendKey val="0"/>
          <c:showVal val="0"/>
          <c:showCatName val="0"/>
          <c:showSerName val="0"/>
          <c:showPercent val="0"/>
          <c:showBubbleSize val="0"/>
        </c:dLbls>
        <c:gapWidth val="100"/>
        <c:shape val="box"/>
        <c:axId val="243904656"/>
        <c:axId val="243237520"/>
        <c:axId val="0"/>
      </c:bar3DChart>
      <c:catAx>
        <c:axId val="243904656"/>
        <c:scaling>
          <c:orientation val="minMax"/>
        </c:scaling>
        <c:delete val="0"/>
        <c:axPos val="b"/>
        <c:numFmt formatCode="General" sourceLinked="1"/>
        <c:majorTickMark val="out"/>
        <c:minorTickMark val="none"/>
        <c:tickLblPos val="nextTo"/>
        <c:txPr>
          <a:bodyPr rot="0" vert="horz"/>
          <a:lstStyle/>
          <a:p>
            <a:pPr>
              <a:defRPr/>
            </a:pPr>
            <a:endParaRPr lang="en-US"/>
          </a:p>
        </c:txPr>
        <c:crossAx val="243237520"/>
        <c:crosses val="autoZero"/>
        <c:auto val="1"/>
        <c:lblAlgn val="ctr"/>
        <c:lblOffset val="100"/>
        <c:noMultiLvlLbl val="0"/>
      </c:catAx>
      <c:valAx>
        <c:axId val="243237520"/>
        <c:scaling>
          <c:orientation val="minMax"/>
        </c:scaling>
        <c:delete val="0"/>
        <c:axPos val="l"/>
        <c:majorGridlines/>
        <c:numFmt formatCode="General" sourceLinked="1"/>
        <c:majorTickMark val="out"/>
        <c:minorTickMark val="none"/>
        <c:tickLblPos val="nextTo"/>
        <c:txPr>
          <a:bodyPr rot="0" vert="horz"/>
          <a:lstStyle/>
          <a:p>
            <a:pPr>
              <a:defRPr/>
            </a:pPr>
            <a:endParaRPr lang="en-US"/>
          </a:p>
        </c:txPr>
        <c:crossAx val="243904656"/>
        <c:crosses val="autoZero"/>
        <c:crossBetween val="between"/>
      </c:valAx>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16200000" scaled="1"/>
          <a:tileRect/>
        </a:gradFill>
      </c:spPr>
    </c:plotArea>
    <c:plotVisOnly val="1"/>
    <c:dispBlanksAs val="gap"/>
    <c:showDLblsOverMax val="0"/>
  </c:chart>
  <c:spPr>
    <a:solidFill>
      <a:schemeClr val="bg1">
        <a:lumMod val="95000"/>
      </a:schemeClr>
    </a:solidFill>
  </c:spPr>
  <c:txPr>
    <a:bodyPr/>
    <a:lstStyle/>
    <a:p>
      <a:pPr>
        <a:defRPr sz="1200"/>
      </a:pPr>
      <a:endParaRPr lang="en-US"/>
    </a:p>
  </c:txPr>
  <c:printSettings>
    <c:headerFooter/>
    <c:pageMargins b="0.75000000000000078" l="0.70000000000000062" r="0.70000000000000062" t="0.75000000000000078" header="0.30000000000000032" footer="0.30000000000000032"/>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120283</xdr:colOff>
      <xdr:row>50</xdr:row>
      <xdr:rowOff>134687</xdr:rowOff>
    </xdr:from>
    <xdr:to>
      <xdr:col>10</xdr:col>
      <xdr:colOff>578922</xdr:colOff>
      <xdr:row>75</xdr:row>
      <xdr:rowOff>127000</xdr:rowOff>
    </xdr:to>
    <xdr:graphicFrame macro="">
      <xdr:nvGraphicFramePr>
        <xdr:cNvPr id="2" name="Chart 8">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68036</xdr:colOff>
      <xdr:row>15</xdr:row>
      <xdr:rowOff>12006</xdr:rowOff>
    </xdr:from>
    <xdr:to>
      <xdr:col>21</xdr:col>
      <xdr:colOff>585108</xdr:colOff>
      <xdr:row>31</xdr:row>
      <xdr:rowOff>138042</xdr:rowOff>
    </xdr:to>
    <xdr:graphicFrame macro="">
      <xdr:nvGraphicFramePr>
        <xdr:cNvPr id="3" name="Chart 5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136074</xdr:colOff>
      <xdr:row>32</xdr:row>
      <xdr:rowOff>122466</xdr:rowOff>
    </xdr:from>
    <xdr:to>
      <xdr:col>10</xdr:col>
      <xdr:colOff>639536</xdr:colOff>
      <xdr:row>50</xdr:row>
      <xdr:rowOff>40823</xdr:rowOff>
    </xdr:to>
    <xdr:graphicFrame macro="">
      <xdr:nvGraphicFramePr>
        <xdr:cNvPr id="4" name="Chart 51">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190499</xdr:colOff>
      <xdr:row>15</xdr:row>
      <xdr:rowOff>1</xdr:rowOff>
    </xdr:from>
    <xdr:to>
      <xdr:col>10</xdr:col>
      <xdr:colOff>707571</xdr:colOff>
      <xdr:row>31</xdr:row>
      <xdr:rowOff>126037</xdr:rowOff>
    </xdr:to>
    <xdr:graphicFrame macro="">
      <xdr:nvGraphicFramePr>
        <xdr:cNvPr id="5" name="Chart 51">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11545</xdr:colOff>
      <xdr:row>50</xdr:row>
      <xdr:rowOff>119412</xdr:rowOff>
    </xdr:from>
    <xdr:to>
      <xdr:col>21</xdr:col>
      <xdr:colOff>522845</xdr:colOff>
      <xdr:row>75</xdr:row>
      <xdr:rowOff>115455</xdr:rowOff>
    </xdr:to>
    <xdr:graphicFrame macro="">
      <xdr:nvGraphicFramePr>
        <xdr:cNvPr id="6" name="Chart 5">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23090</xdr:colOff>
      <xdr:row>32</xdr:row>
      <xdr:rowOff>150090</xdr:rowOff>
    </xdr:from>
    <xdr:to>
      <xdr:col>21</xdr:col>
      <xdr:colOff>623455</xdr:colOff>
      <xdr:row>50</xdr:row>
      <xdr:rowOff>23091</xdr:rowOff>
    </xdr:to>
    <xdr:graphicFrame macro="">
      <xdr:nvGraphicFramePr>
        <xdr:cNvPr id="7" name="Chart 51">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80818</xdr:colOff>
      <xdr:row>0</xdr:row>
      <xdr:rowOff>173181</xdr:rowOff>
    </xdr:from>
    <xdr:to>
      <xdr:col>2</xdr:col>
      <xdr:colOff>657266</xdr:colOff>
      <xdr:row>3</xdr:row>
      <xdr:rowOff>74220</xdr:rowOff>
    </xdr:to>
    <xdr:pic>
      <xdr:nvPicPr>
        <xdr:cNvPr id="8" name="Picture 7">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7"/>
        <a:stretch>
          <a:fillRect/>
        </a:stretch>
      </xdr:blipFill>
      <xdr:spPr>
        <a:xfrm>
          <a:off x="80818" y="173181"/>
          <a:ext cx="2075048" cy="6630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89647</xdr:colOff>
      <xdr:row>0</xdr:row>
      <xdr:rowOff>29882</xdr:rowOff>
    </xdr:from>
    <xdr:to>
      <xdr:col>2</xdr:col>
      <xdr:colOff>1726239</xdr:colOff>
      <xdr:row>3</xdr:row>
      <xdr:rowOff>155039</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89647" y="29882"/>
          <a:ext cx="2074742" cy="658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366739</xdr:colOff>
      <xdr:row>126</xdr:row>
      <xdr:rowOff>56369</xdr:rowOff>
    </xdr:from>
    <xdr:to>
      <xdr:col>14</xdr:col>
      <xdr:colOff>530871</xdr:colOff>
      <xdr:row>148</xdr:row>
      <xdr:rowOff>105016</xdr:rowOff>
    </xdr:to>
    <xdr:pic>
      <xdr:nvPicPr>
        <xdr:cNvPr id="2" name="Picture 1">
          <a:extLst>
            <a:ext uri="{FF2B5EF4-FFF2-40B4-BE49-F238E27FC236}">
              <a16:creationId xmlns:a16="http://schemas.microsoft.com/office/drawing/2014/main" id="{00000000-0008-0000-0900-000026000000}"/>
            </a:ext>
          </a:extLst>
        </xdr:cNvPr>
        <xdr:cNvPicPr/>
      </xdr:nvPicPr>
      <xdr:blipFill>
        <a:blip xmlns:r="http://schemas.openxmlformats.org/officeDocument/2006/relationships" r:embed="rId1"/>
        <a:stretch>
          <a:fillRect/>
        </a:stretch>
      </xdr:blipFill>
      <xdr:spPr>
        <a:xfrm>
          <a:off x="5478489" y="120026919"/>
          <a:ext cx="7187232" cy="3960247"/>
        </a:xfrm>
        <a:prstGeom prst="rect">
          <a:avLst/>
        </a:prstGeom>
      </xdr:spPr>
    </xdr:pic>
    <xdr:clientData/>
  </xdr:twoCellAnchor>
  <xdr:twoCellAnchor>
    <xdr:from>
      <xdr:col>7</xdr:col>
      <xdr:colOff>374209</xdr:colOff>
      <xdr:row>130</xdr:row>
      <xdr:rowOff>55607</xdr:rowOff>
    </xdr:from>
    <xdr:to>
      <xdr:col>10</xdr:col>
      <xdr:colOff>1318391</xdr:colOff>
      <xdr:row>145</xdr:row>
      <xdr:rowOff>110416</xdr:rowOff>
    </xdr:to>
    <xdr:pic>
      <xdr:nvPicPr>
        <xdr:cNvPr id="3" name="Picture 2">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2"/>
        <a:stretch>
          <a:fillRect/>
        </a:stretch>
      </xdr:blipFill>
      <xdr:spPr>
        <a:xfrm>
          <a:off x="5485959" y="120737357"/>
          <a:ext cx="5014532" cy="2721809"/>
        </a:xfrm>
        <a:prstGeom prst="rect">
          <a:avLst/>
        </a:prstGeom>
      </xdr:spPr>
    </xdr:pic>
    <xdr:clientData/>
  </xdr:twoCellAnchor>
  <xdr:twoCellAnchor editAs="oneCell">
    <xdr:from>
      <xdr:col>2</xdr:col>
      <xdr:colOff>207818</xdr:colOff>
      <xdr:row>0</xdr:row>
      <xdr:rowOff>34636</xdr:rowOff>
    </xdr:from>
    <xdr:to>
      <xdr:col>3</xdr:col>
      <xdr:colOff>1905000</xdr:colOff>
      <xdr:row>3</xdr:row>
      <xdr:rowOff>117961</xdr:rowOff>
    </xdr:to>
    <xdr:pic>
      <xdr:nvPicPr>
        <xdr:cNvPr id="4" name="Picture 3">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3"/>
        <a:stretch>
          <a:fillRect/>
        </a:stretch>
      </xdr:blipFill>
      <xdr:spPr>
        <a:xfrm>
          <a:off x="988868" y="34636"/>
          <a:ext cx="1995632" cy="6513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20KANTOR/02.%20CONDITION%20BASE%20MAINTENANCE%20(CBM)/02.%20FORM%20PENGUKURAN/MASTER/00.%20FORM%20PENGUKURAN%20UNIT%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ENGESAHAN"/>
      <sheetName val="INFORMASI"/>
      <sheetName val="STANDART"/>
      <sheetName val="RESUM ALL"/>
      <sheetName val="SEKAT"/>
      <sheetName val="RESUM"/>
      <sheetName val="SUMMARY"/>
      <sheetName val="INPUT"/>
      <sheetName val="REKOMENDASI"/>
      <sheetName val="CM"/>
      <sheetName val="Sheet2"/>
      <sheetName val="Sheet1"/>
      <sheetName val="INPUT EQUIPMENT"/>
      <sheetName val="TRENDING VIBRASI"/>
      <sheetName val="PAF n"/>
      <sheetName val="WJP 2T"/>
      <sheetName val="UNIT 3"/>
      <sheetName val="SHOCK PULSE"/>
      <sheetName val="to exsum"/>
      <sheetName val="MONITORING"/>
      <sheetName val="DATA OPERASI"/>
      <sheetName val="IDF 1"/>
      <sheetName val="IDF 2"/>
      <sheetName val="PAF"/>
      <sheetName val="SAF"/>
      <sheetName val="RAF 1"/>
      <sheetName val="RAF 2"/>
      <sheetName val="COM 1"/>
      <sheetName val="COM 2"/>
      <sheetName val="T-G"/>
      <sheetName val="CEP 1"/>
      <sheetName val="CEP 2"/>
      <sheetName val="CEP 3"/>
      <sheetName val="WJP 1"/>
      <sheetName val="WJP 2"/>
      <sheetName val="BFP 1"/>
      <sheetName val="BFP 2"/>
      <sheetName val="CCWP 1"/>
      <sheetName val="CCWP 2"/>
      <sheetName val="CWP 1"/>
      <sheetName val="CWP 2"/>
      <sheetName val="BWRO 1"/>
      <sheetName val="BWRO 2"/>
      <sheetName val="SWRO 1"/>
      <sheetName val="SWRO 2"/>
      <sheetName val="JOCKEY 3A"/>
      <sheetName val="JOCKEY 3B"/>
      <sheetName val="FF MOTOR"/>
      <sheetName val="FF DIESEL"/>
      <sheetName val="CT 1"/>
      <sheetName val="CT 2"/>
      <sheetName val="T IDF 3A"/>
      <sheetName val="T IDF 3B "/>
      <sheetName val="T PAF"/>
      <sheetName val="T SAF"/>
      <sheetName val="T RAF 3A"/>
      <sheetName val="T RAF 3B"/>
      <sheetName val="T TG"/>
      <sheetName val="T CEP 3A"/>
      <sheetName val="T CEP 3B"/>
      <sheetName val="T CEP 3C"/>
      <sheetName val="T WJP 3A"/>
      <sheetName val="T WJP 3B"/>
      <sheetName val="T BFP 3A"/>
      <sheetName val="T BFP 3B"/>
      <sheetName val="T CCWP 3A"/>
      <sheetName val="T CCWP 3B"/>
      <sheetName val="T CWP 3A"/>
      <sheetName val="T CWP 3B"/>
      <sheetName val="T-G (7)"/>
      <sheetName val="AC (28)"/>
      <sheetName val="DC (29)"/>
      <sheetName val="JOP 3A (30)"/>
      <sheetName val="JOP 3B (31)"/>
      <sheetName val="JOCKEY 3A (24)"/>
      <sheetName val="JOCKEY 3B (25)"/>
      <sheetName val="FF MOTOR (26)"/>
      <sheetName val="FF DIESEL (27)"/>
      <sheetName val="IDF 1 (1)"/>
      <sheetName val="RAF 1 (5)"/>
      <sheetName val="CEP 2 (9)"/>
      <sheetName val="CEP 3 (10)"/>
      <sheetName val="WJP 2 (12)"/>
      <sheetName val="BFP 1 (13)"/>
      <sheetName val="CWP 1 (17)"/>
      <sheetName val="SAF (4)"/>
      <sheetName val="CCWP 1 (15)"/>
      <sheetName val="BWRO 1 (19)"/>
      <sheetName val="SWRO 1 (21)"/>
      <sheetName val="IDF 2 (2)"/>
      <sheetName val="PAF (3)"/>
      <sheetName val="RAF 2 (6)"/>
      <sheetName val="CEP 1 (8)"/>
      <sheetName val="WJP 1 (11)"/>
      <sheetName val="BFP 2 (14)"/>
      <sheetName val="CCWP 2 (16)"/>
      <sheetName val="BWRO 2 (20)"/>
      <sheetName val="SWRO 2 (22)"/>
      <sheetName val="CWP 2 (18)"/>
      <sheetName val="DASHBOARD"/>
    </sheetNames>
    <sheetDataSet>
      <sheetData sheetId="0"/>
      <sheetData sheetId="1"/>
      <sheetData sheetId="2"/>
      <sheetData sheetId="3"/>
      <sheetData sheetId="4"/>
      <sheetData sheetId="5"/>
      <sheetData sheetId="6">
        <row r="7">
          <cell r="D7" t="str">
            <v>LEVEL VIBRASI</v>
          </cell>
        </row>
      </sheetData>
      <sheetData sheetId="7">
        <row r="10">
          <cell r="X10" t="str">
            <v>PREWARNING</v>
          </cell>
        </row>
      </sheetData>
      <sheetData sheetId="8"/>
      <sheetData sheetId="9">
        <row r="50">
          <cell r="D50" t="str">
            <v>Motor ID Fan 1#3</v>
          </cell>
        </row>
      </sheetData>
      <sheetData sheetId="10"/>
      <sheetData sheetId="11"/>
      <sheetData sheetId="12"/>
      <sheetData sheetId="13">
        <row r="8">
          <cell r="A8" t="str">
            <v>UNIT 1</v>
          </cell>
        </row>
        <row r="9">
          <cell r="B9" t="str">
            <v>Motor ID Fan 1#1</v>
          </cell>
        </row>
        <row r="10">
          <cell r="B10" t="str">
            <v>Motor ID Fan 2#1</v>
          </cell>
        </row>
        <row r="11">
          <cell r="B11" t="str">
            <v>Motor Primary Air Fan 1#1</v>
          </cell>
        </row>
        <row r="12">
          <cell r="B12" t="str">
            <v>Motor Primary Air Fan 2#1</v>
          </cell>
        </row>
        <row r="13">
          <cell r="B13" t="str">
            <v>Motor Secondary Air Fan 1#1</v>
          </cell>
        </row>
        <row r="14">
          <cell r="B14" t="str">
            <v>Motor Secondary Air Fan 2#1</v>
          </cell>
        </row>
        <row r="15">
          <cell r="B15" t="str">
            <v>Turbin-Generator#1</v>
          </cell>
        </row>
        <row r="16">
          <cell r="B16" t="str">
            <v>Motor Condensat Pump 1#1</v>
          </cell>
        </row>
        <row r="17">
          <cell r="B17" t="str">
            <v>Motor Condensat Pump 2#1</v>
          </cell>
        </row>
        <row r="18">
          <cell r="B18" t="str">
            <v>Motor Vacuum Pump 1#1</v>
          </cell>
        </row>
        <row r="19">
          <cell r="B19" t="str">
            <v>Motor Vacuum Pump 2#1</v>
          </cell>
        </row>
        <row r="20">
          <cell r="B20" t="str">
            <v>Motor Boiler Feed Pump 1#1</v>
          </cell>
        </row>
        <row r="21">
          <cell r="B21" t="str">
            <v>Motor Boiler Feed Pump 2#1</v>
          </cell>
        </row>
        <row r="22">
          <cell r="B22" t="str">
            <v>Motor CCCWP 1#1</v>
          </cell>
        </row>
        <row r="23">
          <cell r="B23" t="str">
            <v>Motor CCCWP 2#1</v>
          </cell>
        </row>
        <row r="24">
          <cell r="B24" t="str">
            <v>Motor CWP 355 Kw 1#1</v>
          </cell>
        </row>
        <row r="25">
          <cell r="B25" t="str">
            <v>Motor CWP 355 Kw 2#1</v>
          </cell>
        </row>
        <row r="26">
          <cell r="B26" t="str">
            <v>Motor BWRO 1#1</v>
          </cell>
        </row>
        <row r="27">
          <cell r="B27" t="str">
            <v>Motor BWRO 2#1</v>
          </cell>
        </row>
        <row r="28">
          <cell r="B28" t="str">
            <v>Motor SWRO 1 #1</v>
          </cell>
        </row>
        <row r="29">
          <cell r="B29" t="str">
            <v>Motor SWRO 2#1</v>
          </cell>
        </row>
        <row r="30">
          <cell r="A30" t="str">
            <v>UNIT 2</v>
          </cell>
        </row>
        <row r="31">
          <cell r="B31" t="str">
            <v>Motor ID Fan 1#2</v>
          </cell>
        </row>
        <row r="32">
          <cell r="B32" t="str">
            <v>Motor ID Fan 2#2</v>
          </cell>
        </row>
        <row r="33">
          <cell r="B33" t="str">
            <v>Motor Primary Air Fan 1#2</v>
          </cell>
        </row>
        <row r="34">
          <cell r="B34" t="str">
            <v>Motor Primary Air Fan 2#2</v>
          </cell>
        </row>
        <row r="35">
          <cell r="B35" t="str">
            <v>Motor Secondary Air Fan 1#2</v>
          </cell>
        </row>
        <row r="36">
          <cell r="B36" t="str">
            <v>Motor Secondary Air Fan 2#2</v>
          </cell>
        </row>
        <row r="37">
          <cell r="B37" t="str">
            <v>Turbin-Generator#2</v>
          </cell>
        </row>
        <row r="38">
          <cell r="B38" t="str">
            <v>Motor Condensat Pump 1#2</v>
          </cell>
        </row>
        <row r="39">
          <cell r="B39" t="str">
            <v>Motor Condensat Pump 2#2</v>
          </cell>
        </row>
        <row r="40">
          <cell r="B40" t="str">
            <v>Motor Vacuum Pump 1#2</v>
          </cell>
        </row>
        <row r="41">
          <cell r="B41" t="str">
            <v>Motor Vacuum Pump 2#2</v>
          </cell>
        </row>
        <row r="42">
          <cell r="B42" t="str">
            <v>Motor Boiler Feed Pump 1#2</v>
          </cell>
        </row>
        <row r="43">
          <cell r="B43" t="str">
            <v>Motor Boiler Feed Pump 2#2</v>
          </cell>
        </row>
        <row r="44">
          <cell r="B44" t="str">
            <v>Motor CCCWP 1#2</v>
          </cell>
        </row>
        <row r="45">
          <cell r="B45" t="str">
            <v>Motor CCCWP 2#2</v>
          </cell>
        </row>
        <row r="46">
          <cell r="B46" t="str">
            <v>Motor CWP 355 Kw 1#2</v>
          </cell>
        </row>
        <row r="47">
          <cell r="B47" t="str">
            <v>Motor CWP 355 Kw 2#2</v>
          </cell>
        </row>
        <row r="48">
          <cell r="A48" t="str">
            <v>UNIT 3</v>
          </cell>
        </row>
        <row r="49">
          <cell r="B49" t="str">
            <v>Motor ID Fan 1#3</v>
          </cell>
        </row>
        <row r="50">
          <cell r="B50" t="str">
            <v>Motor ID Fan 2#3</v>
          </cell>
        </row>
        <row r="51">
          <cell r="B51" t="str">
            <v>Motor Primary Air Fan#3</v>
          </cell>
        </row>
        <row r="52">
          <cell r="B52" t="str">
            <v>Motor Secondary Air Fan#3</v>
          </cell>
        </row>
        <row r="53">
          <cell r="B53" t="str">
            <v>Motor Recirculating Air Fan 1#3</v>
          </cell>
        </row>
        <row r="54">
          <cell r="B54" t="str">
            <v>Motor Recirculating Air Fan 2#3</v>
          </cell>
        </row>
        <row r="55">
          <cell r="B55" t="str">
            <v>Turbin-Generator#3</v>
          </cell>
        </row>
        <row r="56">
          <cell r="B56" t="str">
            <v>Motor Condensat Pump 1#3</v>
          </cell>
        </row>
        <row r="57">
          <cell r="B57" t="str">
            <v>Motor Condensat Pump 2#3</v>
          </cell>
        </row>
        <row r="58">
          <cell r="B58" t="str">
            <v>Motor Condensat Pump 3#3</v>
          </cell>
        </row>
        <row r="59">
          <cell r="B59" t="str">
            <v>Motor Water jet Pump 1#3</v>
          </cell>
        </row>
        <row r="60">
          <cell r="B60" t="str">
            <v>Motor Water jet Pump 2#3</v>
          </cell>
        </row>
        <row r="61">
          <cell r="B61" t="str">
            <v>Motor Boiler Feed Pump 1#3</v>
          </cell>
        </row>
        <row r="62">
          <cell r="B62" t="str">
            <v>Motor Boiler Feed Pump 2#3</v>
          </cell>
        </row>
        <row r="63">
          <cell r="B63" t="str">
            <v>Motor CCWP 1#3</v>
          </cell>
        </row>
        <row r="64">
          <cell r="B64" t="str">
            <v>Motor CCWP 2#3</v>
          </cell>
        </row>
        <row r="65">
          <cell r="B65" t="str">
            <v>Motor CWP 355 Kw 1#3</v>
          </cell>
        </row>
        <row r="66">
          <cell r="B66" t="str">
            <v>Motor CWP 355 Kw 2#3</v>
          </cell>
        </row>
        <row r="67">
          <cell r="B67" t="str">
            <v>Motor BWRO 1#3</v>
          </cell>
        </row>
        <row r="68">
          <cell r="B68" t="str">
            <v>Motor BWRO 2#3</v>
          </cell>
        </row>
        <row r="69">
          <cell r="B69" t="str">
            <v>Motor SWRO 1#3</v>
          </cell>
        </row>
        <row r="70">
          <cell r="B70" t="str">
            <v>Motor SWRO 2#3</v>
          </cell>
        </row>
        <row r="71">
          <cell r="B71" t="str">
            <v>Motor Cooling tower 1#3</v>
          </cell>
        </row>
        <row r="72">
          <cell r="B72" t="str">
            <v>Motor Cooling tower 2#3</v>
          </cell>
        </row>
        <row r="73">
          <cell r="B73" t="str">
            <v>Motor Air Compressor 1#3</v>
          </cell>
        </row>
        <row r="74">
          <cell r="B74" t="str">
            <v>Motor Air Compressor 2#3</v>
          </cell>
        </row>
        <row r="75">
          <cell r="A75" t="str">
            <v>COAL ASH HANDLING</v>
          </cell>
        </row>
        <row r="76">
          <cell r="B76" t="str">
            <v>BC 4.1</v>
          </cell>
        </row>
        <row r="77">
          <cell r="B77" t="str">
            <v>BC 4.2</v>
          </cell>
        </row>
        <row r="78">
          <cell r="B78" t="str">
            <v>BC 5.1</v>
          </cell>
        </row>
        <row r="79">
          <cell r="B79" t="str">
            <v>BC 5.2</v>
          </cell>
        </row>
        <row r="80">
          <cell r="B80" t="str">
            <v>BC 7.1</v>
          </cell>
        </row>
        <row r="81">
          <cell r="B81" t="str">
            <v>BC 7. 2</v>
          </cell>
        </row>
        <row r="82">
          <cell r="B82" t="str">
            <v>BC 8.1</v>
          </cell>
        </row>
        <row r="83">
          <cell r="B83" t="str">
            <v>BC 8.2</v>
          </cell>
        </row>
        <row r="84">
          <cell r="B84" t="str">
            <v>BC 10.1</v>
          </cell>
        </row>
        <row r="85">
          <cell r="B85" t="str">
            <v>BC 10.2</v>
          </cell>
        </row>
        <row r="86">
          <cell r="B86" t="str">
            <v>ROLLER SCREEN 1</v>
          </cell>
        </row>
        <row r="87">
          <cell r="B87" t="str">
            <v>ROLLER SCREEN 2</v>
          </cell>
        </row>
        <row r="88">
          <cell r="B88" t="str">
            <v>Motor Crusser 185kW 1</v>
          </cell>
        </row>
        <row r="89">
          <cell r="B89" t="str">
            <v>Motor Crusser 185kW 2</v>
          </cell>
        </row>
        <row r="90">
          <cell r="B90" t="str">
            <v>VIBRATING FEEDER 1</v>
          </cell>
        </row>
        <row r="91">
          <cell r="B91" t="str">
            <v>VIBRATING FEEDER 2</v>
          </cell>
        </row>
        <row r="92">
          <cell r="B92" t="str">
            <v>Compressor For Instrument 1#1</v>
          </cell>
        </row>
        <row r="93">
          <cell r="B93" t="str">
            <v>Compressor For Instrument 2#1</v>
          </cell>
        </row>
        <row r="94">
          <cell r="B94" t="str">
            <v>Compressor For Instrument 3#1</v>
          </cell>
        </row>
        <row r="95">
          <cell r="B95" t="str">
            <v>Compressor For Ash Handling 1#1</v>
          </cell>
        </row>
        <row r="96">
          <cell r="B96" t="str">
            <v>Compressor For Ash Handling 2#1</v>
          </cell>
        </row>
        <row r="97">
          <cell r="B97" t="str">
            <v>Compressor For Ash Handling 3#1</v>
          </cell>
        </row>
        <row r="98">
          <cell r="B98" t="str">
            <v>Compressor For Service 1#1</v>
          </cell>
        </row>
        <row r="99">
          <cell r="B99" t="str">
            <v>Compressor For Service 2#1</v>
          </cell>
        </row>
        <row r="100">
          <cell r="B100" t="str">
            <v>Compressor For Service 3#1</v>
          </cell>
        </row>
      </sheetData>
      <sheetData sheetId="14"/>
      <sheetData sheetId="15"/>
      <sheetData sheetId="16"/>
      <sheetData sheetId="17">
        <row r="94">
          <cell r="B94">
            <v>1</v>
          </cell>
        </row>
      </sheetData>
      <sheetData sheetId="18"/>
      <sheetData sheetId="19"/>
      <sheetData sheetId="20"/>
      <sheetData sheetId="21"/>
      <sheetData sheetId="22"/>
      <sheetData sheetId="23"/>
      <sheetData sheetId="24"/>
      <sheetData sheetId="25"/>
      <sheetData sheetId="26"/>
      <sheetData sheetId="27"/>
      <sheetData sheetId="28">
        <row r="153">
          <cell r="A153" t="str">
            <v>HERMAWAN</v>
          </cell>
        </row>
      </sheetData>
      <sheetData sheetId="29">
        <row r="153">
          <cell r="A153" t="str">
            <v>HERMAWAN</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153">
          <cell r="A153" t="str">
            <v>-</v>
          </cell>
        </row>
      </sheetData>
      <sheetData sheetId="51">
        <row r="153">
          <cell r="A153" t="str">
            <v>-</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154">
          <cell r="A154" t="str">
            <v>- masih dalam pekerjaan Periode SE</v>
          </cell>
        </row>
      </sheetData>
      <sheetData sheetId="71">
        <row r="153">
          <cell r="A153" t="str">
            <v>- masih dalam pekerjaan Periode SE</v>
          </cell>
        </row>
      </sheetData>
      <sheetData sheetId="72">
        <row r="153">
          <cell r="A153" t="str">
            <v>tidak bisa diambil data di karenakan saat running test temperatur return oil naik jadi tidak bisa running lama</v>
          </cell>
        </row>
      </sheetData>
      <sheetData sheetId="73">
        <row r="153">
          <cell r="A153" t="str">
            <v>- masih dalam pekerjaan Periode SE</v>
          </cell>
        </row>
      </sheetData>
      <sheetData sheetId="74">
        <row r="153">
          <cell r="A153" t="str">
            <v>- masih dalam pekerjaan Periode SE</v>
          </cell>
        </row>
      </sheetData>
      <sheetData sheetId="75">
        <row r="151">
          <cell r="A151" t="str">
            <v xml:space="preserve">Secara overaal nilai vibrasi JOCKEY PUMP 3A masuk level NORMAL (level A) dengan keterangan kondisi sangat halus (new machine condition),  standart ISO 10816-3  group 2 rigid. Nilai vibrasi overall tertinggi 0,93 mm/s pada bearing 1 arah Horisontal
</v>
          </cell>
        </row>
      </sheetData>
      <sheetData sheetId="76">
        <row r="151">
          <cell r="A151" t="str">
            <v xml:space="preserve">Secara overaal nilai vibrasi JOCKEY PUMP 3B masuk level  NORMAL (level A) dengan keterangan kondisi sangat halus (new machine condition), standart ISO 10816-3  group 2 rigid. Nilai vibrasi overall tertinggi 1,84 mm/s pada bearing 1 arah vertikal
</v>
          </cell>
        </row>
      </sheetData>
      <sheetData sheetId="77">
        <row r="153">
          <cell r="A153" t="str">
            <v xml:space="preserve">Secara overaal nilai vibrasi FIRE FIGHTING PUMP WITH MOTOR Unit 3  masuk level PREWARNING (level B) dengan keterangan boleh dioperasikan dalam jangka waktu lama, berdasarkan standart ISO 10816-3  group 2 rigid. Nilai vibrasi overall tertinggi 2,68 mm/s pada bearing 3 arah horisontal
</v>
          </cell>
        </row>
      </sheetData>
      <sheetData sheetId="78"/>
      <sheetData sheetId="79">
        <row r="154">
          <cell r="A154" t="str">
            <v>- masih dalam pekerjaan periodik SE</v>
          </cell>
        </row>
      </sheetData>
      <sheetData sheetId="80">
        <row r="153">
          <cell r="A153" t="str">
            <v>- masih dalam pekerjaan periodik SE</v>
          </cell>
        </row>
      </sheetData>
      <sheetData sheetId="81">
        <row r="153">
          <cell r="A153" t="str">
            <v>- masih dalam pekerjaan periodik SE</v>
          </cell>
        </row>
      </sheetData>
      <sheetData sheetId="82">
        <row r="153">
          <cell r="A153" t="str">
            <v>- masih dalam pekerjaan periodik SE</v>
          </cell>
        </row>
      </sheetData>
      <sheetData sheetId="83">
        <row r="155">
          <cell r="A155" t="str">
            <v>- masih dalam pekerjaan periodik SE</v>
          </cell>
        </row>
      </sheetData>
      <sheetData sheetId="84">
        <row r="156">
          <cell r="A156" t="str">
            <v>- masih dalam pekerjaan periodik SE</v>
          </cell>
        </row>
      </sheetData>
      <sheetData sheetId="85">
        <row r="153">
          <cell r="A153" t="str">
            <v>- masih dalam pekerjaan periodik SE</v>
          </cell>
        </row>
      </sheetData>
      <sheetData sheetId="86">
        <row r="153">
          <cell r="A153" t="str">
            <v>- masih dalam pekerjaan periodik SE</v>
          </cell>
        </row>
      </sheetData>
      <sheetData sheetId="87">
        <row r="153">
          <cell r="A153" t="str">
            <v>- masih dalam pekerjaan periodik SE</v>
          </cell>
        </row>
      </sheetData>
      <sheetData sheetId="88">
        <row r="152">
          <cell r="A152" t="str">
            <v>- masih dalam pekerjaan periodik SE</v>
          </cell>
        </row>
      </sheetData>
      <sheetData sheetId="89">
        <row r="152">
          <cell r="A152" t="str">
            <v>- masih dalam pekerjaan periodik SE</v>
          </cell>
        </row>
      </sheetData>
      <sheetData sheetId="90">
        <row r="153">
          <cell r="A153" t="str">
            <v>- masih dalam pekerjaan periodik SE</v>
          </cell>
        </row>
      </sheetData>
      <sheetData sheetId="91">
        <row r="153">
          <cell r="A153" t="str">
            <v>- masih dalam pekerjaan periodik SE</v>
          </cell>
        </row>
      </sheetData>
      <sheetData sheetId="92">
        <row r="154">
          <cell r="A154" t="str">
            <v>- masih dalam pekerjaan periodik SE</v>
          </cell>
        </row>
      </sheetData>
      <sheetData sheetId="93">
        <row r="153">
          <cell r="A153" t="str">
            <v>- masih dalam pekerjaan periodik SE</v>
          </cell>
        </row>
      </sheetData>
      <sheetData sheetId="94">
        <row r="153">
          <cell r="A153" t="str">
            <v>- masih dalam pekerjaan periodik SE</v>
          </cell>
        </row>
      </sheetData>
      <sheetData sheetId="95">
        <row r="153">
          <cell r="A153" t="str">
            <v>- masih dalam pekerjaan periodik SE</v>
          </cell>
        </row>
      </sheetData>
      <sheetData sheetId="96">
        <row r="153">
          <cell r="A153" t="str">
            <v>- masih dalam pekerjaan periodik SE</v>
          </cell>
        </row>
      </sheetData>
      <sheetData sheetId="97">
        <row r="153">
          <cell r="A153" t="str">
            <v>- cartridge filter tidak ready</v>
          </cell>
        </row>
      </sheetData>
      <sheetData sheetId="98">
        <row r="153">
          <cell r="A153" t="str">
            <v>- masih dalam pekerjaan periodik SE</v>
          </cell>
        </row>
      </sheetData>
      <sheetData sheetId="99">
        <row r="153">
          <cell r="A153" t="str">
            <v>- masih dalam pekerjaan periodik SE</v>
          </cell>
        </row>
      </sheetData>
      <sheetData sheetId="100">
        <row r="7">
          <cell r="D7" t="str">
            <v>LEVEL VIBRASI</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6" Type="http://schemas.openxmlformats.org/officeDocument/2006/relationships/hyperlink" Target="../../Hermawan/AppData/Roaming/Microsoft/AddIns/00.%20FORM%20PENGUKURAN%20UNIT%203.xlsx" TargetMode="External"/><Relationship Id="rId21" Type="http://schemas.openxmlformats.org/officeDocument/2006/relationships/hyperlink" Target="../../Hermawan/AppData/Roaming/Microsoft/AddIns/00.%20FORM%20PENGUKURAN%20UNIT%203.xlsx" TargetMode="External"/><Relationship Id="rId42" Type="http://schemas.openxmlformats.org/officeDocument/2006/relationships/hyperlink" Target="../../Hermawan/AppData/Roaming/Microsoft/AddIns/00.%20FORM%20PENGUKURAN%20UNIT%201.xlsx" TargetMode="External"/><Relationship Id="rId47" Type="http://schemas.openxmlformats.org/officeDocument/2006/relationships/hyperlink" Target="../../Hermawan/AppData/Roaming/Microsoft/AddIns/00.%20FORM%20PENGUKURAN%20UNIT%201.xlsx" TargetMode="External"/><Relationship Id="rId63" Type="http://schemas.openxmlformats.org/officeDocument/2006/relationships/hyperlink" Target="../../Hermawan/AppData/Roaming/Microsoft/AddIns/00.%20FORM%20PENGUKURAN%20UNIT%201.xlsx" TargetMode="External"/><Relationship Id="rId68" Type="http://schemas.openxmlformats.org/officeDocument/2006/relationships/hyperlink" Target="../../Hermawan/AppData/Roaming/Microsoft/AddIns/00.%20FORM%20PENGUKURAN%20UNIT%201.xlsx" TargetMode="External"/><Relationship Id="rId84" Type="http://schemas.openxmlformats.org/officeDocument/2006/relationships/hyperlink" Target="../../Hermawan/AppData/Roaming/Microsoft/AddIns/00.%20FORM%20PENGUKURAN%20UNIT%201.xlsx" TargetMode="External"/><Relationship Id="rId16" Type="http://schemas.openxmlformats.org/officeDocument/2006/relationships/hyperlink" Target="../../Hermawan/AppData/Roaming/Microsoft/AddIns/00.%20FORM%20PENGUKURAN%20UNIT%203.xlsx" TargetMode="External"/><Relationship Id="rId11" Type="http://schemas.openxmlformats.org/officeDocument/2006/relationships/hyperlink" Target="../../Hermawan/AppData/Roaming/Microsoft/AddIns/00.%20FORM%20PENGUKURAN%20UNIT%20COMMON.xlsx" TargetMode="External"/><Relationship Id="rId32" Type="http://schemas.openxmlformats.org/officeDocument/2006/relationships/hyperlink" Target="../../Hermawan/AppData/Roaming/Microsoft/AddIns/00.%20FORM%20PENGUKURAN%20UNIT%203.xlsx" TargetMode="External"/><Relationship Id="rId37" Type="http://schemas.openxmlformats.org/officeDocument/2006/relationships/hyperlink" Target="../../Hermawan/AppData/Roaming/Microsoft/AddIns/00.%20FORM%20PENGUKURAN%20UNIT%201.xlsx" TargetMode="External"/><Relationship Id="rId53" Type="http://schemas.openxmlformats.org/officeDocument/2006/relationships/hyperlink" Target="../../Hermawan/AppData/Roaming/Microsoft/AddIns/00.%20FORM%20PENGUKURAN%20UNIT%201.xlsx" TargetMode="External"/><Relationship Id="rId58" Type="http://schemas.openxmlformats.org/officeDocument/2006/relationships/hyperlink" Target="../../Hermawan/AppData/Roaming/Microsoft/AddIns/00.%20FORM%20PENGUKURAN%20UNIT%203.xlsx" TargetMode="External"/><Relationship Id="rId74" Type="http://schemas.openxmlformats.org/officeDocument/2006/relationships/hyperlink" Target="../../Hermawan/AppData/Roaming/Microsoft/AddIns/00.%20FORM%20PENGUKURAN%20UNIT%201.xlsx" TargetMode="External"/><Relationship Id="rId79" Type="http://schemas.openxmlformats.org/officeDocument/2006/relationships/hyperlink" Target="../../Hermawan/AppData/Roaming/Microsoft/AddIns/00.%20FORM%20PENGUKURAN%20UNIT%201.xlsx" TargetMode="External"/><Relationship Id="rId5" Type="http://schemas.openxmlformats.org/officeDocument/2006/relationships/hyperlink" Target="../../Hermawan/AppData/Roaming/Microsoft/AddIns/00.%20FORM%20PENGUKURAN%20UNIT%20COMMON.xlsx" TargetMode="External"/><Relationship Id="rId19" Type="http://schemas.openxmlformats.org/officeDocument/2006/relationships/hyperlink" Target="../../Hermawan/AppData/Roaming/Microsoft/AddIns/00.%20FORM%20PENGUKURAN%20UNIT%203.xlsx" TargetMode="External"/><Relationship Id="rId14" Type="http://schemas.openxmlformats.org/officeDocument/2006/relationships/hyperlink" Target="../../Hermawan/AppData/Roaming/Microsoft/AddIns/00.%20FORM%20PENGUKURAN%20UNIT%20COMMON.xlsx" TargetMode="External"/><Relationship Id="rId22" Type="http://schemas.openxmlformats.org/officeDocument/2006/relationships/hyperlink" Target="../../Hermawan/AppData/Roaming/Microsoft/AddIns/00.%20FORM%20PENGUKURAN%20UNIT%203.xlsx" TargetMode="External"/><Relationship Id="rId27" Type="http://schemas.openxmlformats.org/officeDocument/2006/relationships/hyperlink" Target="../../Hermawan/AppData/Roaming/Microsoft/AddIns/00.%20FORM%20PENGUKURAN%20UNIT%203.xlsx" TargetMode="External"/><Relationship Id="rId30" Type="http://schemas.openxmlformats.org/officeDocument/2006/relationships/hyperlink" Target="../../Hermawan/AppData/Roaming/Microsoft/AddIns/00.%20FORM%20PENGUKURAN%20UNIT%203.xlsx" TargetMode="External"/><Relationship Id="rId35" Type="http://schemas.openxmlformats.org/officeDocument/2006/relationships/hyperlink" Target="../../Hermawan/AppData/Roaming/Microsoft/AddIns/00.%20FORM%20PENGUKURAN%20UNIT%201.xlsx" TargetMode="External"/><Relationship Id="rId43" Type="http://schemas.openxmlformats.org/officeDocument/2006/relationships/hyperlink" Target="../../Hermawan/AppData/Roaming/Microsoft/AddIns/00.%20FORM%20PENGUKURAN%20UNIT%201.xlsx" TargetMode="External"/><Relationship Id="rId48" Type="http://schemas.openxmlformats.org/officeDocument/2006/relationships/hyperlink" Target="../../Hermawan/AppData/Roaming/Microsoft/AddIns/00.%20FORM%20PENGUKURAN%20UNIT%201.xlsx" TargetMode="External"/><Relationship Id="rId56" Type="http://schemas.openxmlformats.org/officeDocument/2006/relationships/hyperlink" Target="../../Hermawan/AppData/Roaming/Microsoft/AddIns/00.%20FORM%20PENGUKURAN%20UNIT%203.xlsx" TargetMode="External"/><Relationship Id="rId64" Type="http://schemas.openxmlformats.org/officeDocument/2006/relationships/hyperlink" Target="../../Hermawan/AppData/Roaming/Microsoft/AddIns/00.%20FORM%20PENGUKURAN%20UNIT%201.xlsx" TargetMode="External"/><Relationship Id="rId69" Type="http://schemas.openxmlformats.org/officeDocument/2006/relationships/hyperlink" Target="../../Hermawan/AppData/Roaming/Microsoft/AddIns/00.%20FORM%20PENGUKURAN%20UNIT%201.xlsx" TargetMode="External"/><Relationship Id="rId77" Type="http://schemas.openxmlformats.org/officeDocument/2006/relationships/hyperlink" Target="../../Hermawan/AppData/Roaming/Microsoft/AddIns/00.%20FORM%20PENGUKURAN%20UNIT%201.xlsx" TargetMode="External"/><Relationship Id="rId8" Type="http://schemas.openxmlformats.org/officeDocument/2006/relationships/hyperlink" Target="../../Hermawan/AppData/Roaming/Microsoft/AddIns/00.%20FORM%20PENGUKURAN%20UNIT%20COMMON.xlsx" TargetMode="External"/><Relationship Id="rId51" Type="http://schemas.openxmlformats.org/officeDocument/2006/relationships/hyperlink" Target="../../Hermawan/AppData/Roaming/Microsoft/AddIns/00.%20FORM%20PENGUKURAN%20UNIT%201.xlsx" TargetMode="External"/><Relationship Id="rId72" Type="http://schemas.openxmlformats.org/officeDocument/2006/relationships/hyperlink" Target="../../Hermawan/AppData/Roaming/Microsoft/AddIns/00.%20FORM%20PENGUKURAN%20UNIT%201.xlsx" TargetMode="External"/><Relationship Id="rId80" Type="http://schemas.openxmlformats.org/officeDocument/2006/relationships/hyperlink" Target="../../Hermawan/AppData/Roaming/Microsoft/AddIns/00.%20FORM%20PENGUKURAN%20UNIT%201.xlsx" TargetMode="External"/><Relationship Id="rId85" Type="http://schemas.openxmlformats.org/officeDocument/2006/relationships/printerSettings" Target="../printerSettings/printerSettings3.bin"/><Relationship Id="rId3" Type="http://schemas.openxmlformats.org/officeDocument/2006/relationships/hyperlink" Target="../../Hermawan/AppData/Roaming/Microsoft/AddIns/00.%20FORM%20PENGUKURAN%20UNIT%20COMMON.xlsx" TargetMode="External"/><Relationship Id="rId12" Type="http://schemas.openxmlformats.org/officeDocument/2006/relationships/hyperlink" Target="../../Hermawan/AppData/Roaming/Microsoft/AddIns/00.%20FORM%20PENGUKURAN%20UNIT%20COMMON.xlsx" TargetMode="External"/><Relationship Id="rId17" Type="http://schemas.openxmlformats.org/officeDocument/2006/relationships/hyperlink" Target="../../Hermawan/AppData/Roaming/Microsoft/AddIns/00.%20FORM%20PENGUKURAN%20UNIT%203.xlsx" TargetMode="External"/><Relationship Id="rId25" Type="http://schemas.openxmlformats.org/officeDocument/2006/relationships/hyperlink" Target="../../Hermawan/AppData/Roaming/Microsoft/AddIns/00.%20FORM%20PENGUKURAN%20UNIT%203.xlsx" TargetMode="External"/><Relationship Id="rId33" Type="http://schemas.openxmlformats.org/officeDocument/2006/relationships/hyperlink" Target="../../Hermawan/AppData/Roaming/Microsoft/AddIns/00.%20FORM%20PENGUKURAN%20UNIT%203.xlsx" TargetMode="External"/><Relationship Id="rId38" Type="http://schemas.openxmlformats.org/officeDocument/2006/relationships/hyperlink" Target="../../Hermawan/AppData/Roaming/Microsoft/AddIns/00.%20FORM%20PENGUKURAN%20UNIT%201.xlsx" TargetMode="External"/><Relationship Id="rId46" Type="http://schemas.openxmlformats.org/officeDocument/2006/relationships/hyperlink" Target="../../Hermawan/AppData/Roaming/Microsoft/AddIns/00.%20FORM%20PENGUKURAN%20UNIT%201.xlsx" TargetMode="External"/><Relationship Id="rId59" Type="http://schemas.openxmlformats.org/officeDocument/2006/relationships/hyperlink" Target="../../Hermawan/AppData/Roaming/Microsoft/AddIns/00.%20FORM%20PENGUKURAN%20UNIT%201.xlsx" TargetMode="External"/><Relationship Id="rId67" Type="http://schemas.openxmlformats.org/officeDocument/2006/relationships/hyperlink" Target="../../Hermawan/AppData/Roaming/Microsoft/AddIns/00.%20FORM%20PENGUKURAN%20UNIT%201.xlsx" TargetMode="External"/><Relationship Id="rId20" Type="http://schemas.openxmlformats.org/officeDocument/2006/relationships/hyperlink" Target="../../Hermawan/AppData/Roaming/Microsoft/AddIns/00.%20FORM%20PENGUKURAN%20UNIT%203.xlsx" TargetMode="External"/><Relationship Id="rId41" Type="http://schemas.openxmlformats.org/officeDocument/2006/relationships/hyperlink" Target="../../Hermawan/AppData/Roaming/Microsoft/AddIns/00.%20FORM%20PENGUKURAN%20UNIT%201.xlsx" TargetMode="External"/><Relationship Id="rId54" Type="http://schemas.openxmlformats.org/officeDocument/2006/relationships/hyperlink" Target="../../Hermawan/AppData/Roaming/Microsoft/AddIns/00.%20FORM%20PENGUKURAN%20UNIT%201.xlsx" TargetMode="External"/><Relationship Id="rId62" Type="http://schemas.openxmlformats.org/officeDocument/2006/relationships/hyperlink" Target="../../Hermawan/AppData/Roaming/Microsoft/AddIns/00.%20FORM%20PENGUKURAN%20UNIT%201.xlsx" TargetMode="External"/><Relationship Id="rId70" Type="http://schemas.openxmlformats.org/officeDocument/2006/relationships/hyperlink" Target="../../Hermawan/AppData/Roaming/Microsoft/AddIns/00.%20FORM%20PENGUKURAN%20UNIT%201.xlsx" TargetMode="External"/><Relationship Id="rId75" Type="http://schemas.openxmlformats.org/officeDocument/2006/relationships/hyperlink" Target="../../Hermawan/AppData/Roaming/Microsoft/AddIns/00.%20FORM%20PENGUKURAN%20UNIT%201.xlsx" TargetMode="External"/><Relationship Id="rId83" Type="http://schemas.openxmlformats.org/officeDocument/2006/relationships/hyperlink" Target="../../Hermawan/AppData/Roaming/Microsoft/AddIns/00.%20FORM%20PENGUKURAN%20UNIT%201.xlsx" TargetMode="External"/><Relationship Id="rId1" Type="http://schemas.openxmlformats.org/officeDocument/2006/relationships/hyperlink" Target="../../Hermawan/AppData/Roaming/Microsoft/AddIns/00.%20FORM%20PENGUKURAN%20UNIT%20COMMON.xlsx" TargetMode="External"/><Relationship Id="rId6" Type="http://schemas.openxmlformats.org/officeDocument/2006/relationships/hyperlink" Target="../../Hermawan/AppData/Roaming/Microsoft/AddIns/00.%20FORM%20PENGUKURAN%20UNIT%20COMMON.xlsx" TargetMode="External"/><Relationship Id="rId15" Type="http://schemas.openxmlformats.org/officeDocument/2006/relationships/hyperlink" Target="../../Hermawan/AppData/Roaming/Microsoft/AddIns/00.%20FORM%20PENGUKURAN%20UNIT%203.xlsx" TargetMode="External"/><Relationship Id="rId23" Type="http://schemas.openxmlformats.org/officeDocument/2006/relationships/hyperlink" Target="../../Hermawan/AppData/Roaming/Microsoft/AddIns/00.%20FORM%20PENGUKURAN%20UNIT%203.xlsx" TargetMode="External"/><Relationship Id="rId28" Type="http://schemas.openxmlformats.org/officeDocument/2006/relationships/hyperlink" Target="../../Hermawan/AppData/Roaming/Microsoft/AddIns/00.%20FORM%20PENGUKURAN%20UNIT%203.xlsx" TargetMode="External"/><Relationship Id="rId36" Type="http://schemas.openxmlformats.org/officeDocument/2006/relationships/hyperlink" Target="../../Hermawan/AppData/Roaming/Microsoft/AddIns/00.%20FORM%20PENGUKURAN%20UNIT%201.xlsx" TargetMode="External"/><Relationship Id="rId49" Type="http://schemas.openxmlformats.org/officeDocument/2006/relationships/hyperlink" Target="../../Hermawan/AppData/Roaming/Microsoft/AddIns/00.%20FORM%20PENGUKURAN%20UNIT%201.xlsx" TargetMode="External"/><Relationship Id="rId57" Type="http://schemas.openxmlformats.org/officeDocument/2006/relationships/hyperlink" Target="../../Hermawan/AppData/Roaming/Microsoft/AddIns/00.%20FORM%20PENGUKURAN%20UNIT%203.xlsx" TargetMode="External"/><Relationship Id="rId10" Type="http://schemas.openxmlformats.org/officeDocument/2006/relationships/hyperlink" Target="../../Hermawan/AppData/Roaming/Microsoft/AddIns/00.%20FORM%20PENGUKURAN%20UNIT%20COMMON.xlsx" TargetMode="External"/><Relationship Id="rId31" Type="http://schemas.openxmlformats.org/officeDocument/2006/relationships/hyperlink" Target="../../Hermawan/AppData/Roaming/Microsoft/AddIns/00.%20FORM%20PENGUKURAN%20UNIT%203.xlsx" TargetMode="External"/><Relationship Id="rId44" Type="http://schemas.openxmlformats.org/officeDocument/2006/relationships/hyperlink" Target="../../Hermawan/AppData/Roaming/Microsoft/AddIns/00.%20FORM%20PENGUKURAN%20UNIT%201.xlsx" TargetMode="External"/><Relationship Id="rId52" Type="http://schemas.openxmlformats.org/officeDocument/2006/relationships/hyperlink" Target="../../Hermawan/AppData/Roaming/Microsoft/AddIns/00.%20FORM%20PENGUKURAN%20UNIT%201.xlsx" TargetMode="External"/><Relationship Id="rId60" Type="http://schemas.openxmlformats.org/officeDocument/2006/relationships/hyperlink" Target="../../Hermawan/AppData/Roaming/Microsoft/AddIns/00.%20FORM%20PENGUKURAN%20UNIT%201.xlsx" TargetMode="External"/><Relationship Id="rId65" Type="http://schemas.openxmlformats.org/officeDocument/2006/relationships/hyperlink" Target="../../Hermawan/AppData/Roaming/Microsoft/AddIns/00.%20FORM%20PENGUKURAN%20UNIT%201.xlsx" TargetMode="External"/><Relationship Id="rId73" Type="http://schemas.openxmlformats.org/officeDocument/2006/relationships/hyperlink" Target="../../Hermawan/AppData/Roaming/Microsoft/AddIns/00.%20FORM%20PENGUKURAN%20UNIT%201.xlsx" TargetMode="External"/><Relationship Id="rId78" Type="http://schemas.openxmlformats.org/officeDocument/2006/relationships/hyperlink" Target="../../Hermawan/AppData/Roaming/Microsoft/AddIns/00.%20FORM%20PENGUKURAN%20UNIT%201.xlsx" TargetMode="External"/><Relationship Id="rId81" Type="http://schemas.openxmlformats.org/officeDocument/2006/relationships/hyperlink" Target="../../Hermawan/AppData/Roaming/Microsoft/AddIns/00.%20FORM%20PENGUKURAN%20UNIT%201.xlsx" TargetMode="External"/><Relationship Id="rId86" Type="http://schemas.openxmlformats.org/officeDocument/2006/relationships/drawing" Target="../drawings/drawing3.xml"/><Relationship Id="rId4" Type="http://schemas.openxmlformats.org/officeDocument/2006/relationships/hyperlink" Target="../../Hermawan/AppData/Roaming/Microsoft/AddIns/00.%20FORM%20PENGUKURAN%20UNIT%20COMMON.xlsx" TargetMode="External"/><Relationship Id="rId9" Type="http://schemas.openxmlformats.org/officeDocument/2006/relationships/hyperlink" Target="../../Hermawan/AppData/Roaming/Microsoft/AddIns/00.%20FORM%20PENGUKURAN%20UNIT%20COMMON.xlsx" TargetMode="External"/><Relationship Id="rId13" Type="http://schemas.openxmlformats.org/officeDocument/2006/relationships/hyperlink" Target="../../Hermawan/AppData/Roaming/Microsoft/AddIns/00.%20FORM%20PENGUKURAN%20UNIT%20COMMON.xlsx" TargetMode="External"/><Relationship Id="rId18" Type="http://schemas.openxmlformats.org/officeDocument/2006/relationships/hyperlink" Target="../../Hermawan/AppData/Roaming/Microsoft/AddIns/00.%20FORM%20PENGUKURAN%20UNIT%203.xlsx" TargetMode="External"/><Relationship Id="rId39" Type="http://schemas.openxmlformats.org/officeDocument/2006/relationships/hyperlink" Target="../../Hermawan/AppData/Roaming/Microsoft/AddIns/00.%20FORM%20PENGUKURAN%20UNIT%201.xlsx" TargetMode="External"/><Relationship Id="rId34" Type="http://schemas.openxmlformats.org/officeDocument/2006/relationships/hyperlink" Target="../../Hermawan/AppData/Roaming/Microsoft/AddIns/00.%20FORM%20PENGUKURAN%20UNIT%203.xlsx" TargetMode="External"/><Relationship Id="rId50" Type="http://schemas.openxmlformats.org/officeDocument/2006/relationships/hyperlink" Target="../../Hermawan/AppData/Roaming/Microsoft/AddIns/00.%20FORM%20PENGUKURAN%20UNIT%201.xlsx" TargetMode="External"/><Relationship Id="rId55" Type="http://schemas.openxmlformats.org/officeDocument/2006/relationships/hyperlink" Target="../../Hermawan/AppData/Roaming/Microsoft/AddIns/00.%20FORM%20PENGUKURAN%20UNIT%203.xlsx" TargetMode="External"/><Relationship Id="rId76" Type="http://schemas.openxmlformats.org/officeDocument/2006/relationships/hyperlink" Target="../../Hermawan/AppData/Roaming/Microsoft/AddIns/00.%20FORM%20PENGUKURAN%20UNIT%201.xlsx" TargetMode="External"/><Relationship Id="rId7" Type="http://schemas.openxmlformats.org/officeDocument/2006/relationships/hyperlink" Target="../../Hermawan/AppData/Roaming/Microsoft/AddIns/00.%20FORM%20PENGUKURAN%20UNIT%20COMMON.xlsx" TargetMode="External"/><Relationship Id="rId71" Type="http://schemas.openxmlformats.org/officeDocument/2006/relationships/hyperlink" Target="../../Hermawan/AppData/Roaming/Microsoft/AddIns/00.%20FORM%20PENGUKURAN%20UNIT%201.xlsx" TargetMode="External"/><Relationship Id="rId2" Type="http://schemas.openxmlformats.org/officeDocument/2006/relationships/hyperlink" Target="../../Hermawan/AppData/Roaming/Microsoft/AddIns/00.%20FORM%20PENGUKURAN%20UNIT%20COMMON.xlsx" TargetMode="External"/><Relationship Id="rId29" Type="http://schemas.openxmlformats.org/officeDocument/2006/relationships/hyperlink" Target="../../Hermawan/AppData/Roaming/Microsoft/AddIns/00.%20FORM%20PENGUKURAN%20UNIT%203.xlsx" TargetMode="External"/><Relationship Id="rId24" Type="http://schemas.openxmlformats.org/officeDocument/2006/relationships/hyperlink" Target="../../Hermawan/AppData/Roaming/Microsoft/AddIns/00.%20FORM%20PENGUKURAN%20UNIT%203.xlsx" TargetMode="External"/><Relationship Id="rId40" Type="http://schemas.openxmlformats.org/officeDocument/2006/relationships/hyperlink" Target="../../Hermawan/AppData/Roaming/Microsoft/AddIns/00.%20FORM%20PENGUKURAN%20UNIT%201.xlsx" TargetMode="External"/><Relationship Id="rId45" Type="http://schemas.openxmlformats.org/officeDocument/2006/relationships/hyperlink" Target="../../Hermawan/AppData/Roaming/Microsoft/AddIns/00.%20FORM%20PENGUKURAN%20UNIT%201.xlsx" TargetMode="External"/><Relationship Id="rId66" Type="http://schemas.openxmlformats.org/officeDocument/2006/relationships/hyperlink" Target="../../Hermawan/AppData/Roaming/Microsoft/AddIns/00.%20FORM%20PENGUKURAN%20UNIT%201.xlsx" TargetMode="External"/><Relationship Id="rId61" Type="http://schemas.openxmlformats.org/officeDocument/2006/relationships/hyperlink" Target="../../Hermawan/AppData/Roaming/Microsoft/AddIns/00.%20FORM%20PENGUKURAN%20UNIT%201.xlsx" TargetMode="External"/><Relationship Id="rId82" Type="http://schemas.openxmlformats.org/officeDocument/2006/relationships/hyperlink" Target="../../Hermawan/AppData/Roaming/Microsoft/AddIns/00.%20FORM%20PENGUKURAN%20UNIT%20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I27"/>
  <sheetViews>
    <sheetView view="pageBreakPreview" zoomScale="55" zoomScaleNormal="70" zoomScaleSheetLayoutView="55" workbookViewId="0">
      <selection activeCell="I93" sqref="I93"/>
    </sheetView>
  </sheetViews>
  <sheetFormatPr defaultColWidth="9.1796875" defaultRowHeight="14" x14ac:dyDescent="0.35"/>
  <cols>
    <col min="1" max="22" width="10.7265625" style="5" customWidth="1"/>
    <col min="23" max="16384" width="9.1796875" style="5"/>
  </cols>
  <sheetData>
    <row r="1" spans="1:35" s="4" customFormat="1" ht="20.149999999999999" customHeight="1" x14ac:dyDescent="0.35">
      <c r="A1" s="119"/>
      <c r="B1" s="120"/>
      <c r="C1" s="121"/>
      <c r="D1" s="128" t="s">
        <v>0</v>
      </c>
      <c r="E1" s="129"/>
      <c r="F1" s="129"/>
      <c r="G1" s="129"/>
      <c r="H1" s="129"/>
      <c r="I1" s="129"/>
      <c r="J1" s="129"/>
      <c r="K1" s="129"/>
      <c r="L1" s="129"/>
      <c r="M1" s="129"/>
      <c r="N1" s="129"/>
      <c r="O1" s="129"/>
      <c r="P1" s="129"/>
      <c r="Q1" s="129"/>
      <c r="R1" s="129"/>
      <c r="S1" s="130"/>
      <c r="T1" s="1" t="s">
        <v>1</v>
      </c>
      <c r="U1" s="2" t="s">
        <v>2</v>
      </c>
      <c r="V1" s="3"/>
    </row>
    <row r="2" spans="1:35" s="4" customFormat="1" ht="20.149999999999999" customHeight="1" x14ac:dyDescent="0.35">
      <c r="A2" s="122"/>
      <c r="B2" s="123"/>
      <c r="C2" s="124"/>
      <c r="D2" s="128" t="s">
        <v>3</v>
      </c>
      <c r="E2" s="129"/>
      <c r="F2" s="129"/>
      <c r="G2" s="129"/>
      <c r="H2" s="129"/>
      <c r="I2" s="129"/>
      <c r="J2" s="129"/>
      <c r="K2" s="129"/>
      <c r="L2" s="129"/>
      <c r="M2" s="129"/>
      <c r="N2" s="129"/>
      <c r="O2" s="129"/>
      <c r="P2" s="129"/>
      <c r="Q2" s="129"/>
      <c r="R2" s="129"/>
      <c r="S2" s="130"/>
      <c r="T2" s="1" t="s">
        <v>4</v>
      </c>
      <c r="U2" s="2" t="s">
        <v>5</v>
      </c>
      <c r="V2" s="3"/>
    </row>
    <row r="3" spans="1:35" s="4" customFormat="1" ht="20.149999999999999" customHeight="1" x14ac:dyDescent="0.35">
      <c r="A3" s="122"/>
      <c r="B3" s="123"/>
      <c r="C3" s="124"/>
      <c r="D3" s="128" t="s">
        <v>6</v>
      </c>
      <c r="E3" s="129"/>
      <c r="F3" s="129"/>
      <c r="G3" s="129"/>
      <c r="H3" s="129"/>
      <c r="I3" s="129"/>
      <c r="J3" s="129"/>
      <c r="K3" s="129"/>
      <c r="L3" s="129"/>
      <c r="M3" s="129"/>
      <c r="N3" s="129"/>
      <c r="O3" s="129"/>
      <c r="P3" s="129"/>
      <c r="Q3" s="129"/>
      <c r="R3" s="129"/>
      <c r="S3" s="130"/>
      <c r="T3" s="1" t="s">
        <v>7</v>
      </c>
      <c r="U3" s="2" t="s">
        <v>8</v>
      </c>
      <c r="V3" s="3"/>
    </row>
    <row r="4" spans="1:35" s="4" customFormat="1" ht="20.149999999999999" customHeight="1" x14ac:dyDescent="0.35">
      <c r="A4" s="125"/>
      <c r="B4" s="126"/>
      <c r="C4" s="127"/>
      <c r="D4" s="128" t="s">
        <v>9</v>
      </c>
      <c r="E4" s="129"/>
      <c r="F4" s="129"/>
      <c r="G4" s="129"/>
      <c r="H4" s="129"/>
      <c r="I4" s="129"/>
      <c r="J4" s="129"/>
      <c r="K4" s="129"/>
      <c r="L4" s="129"/>
      <c r="M4" s="129"/>
      <c r="N4" s="129"/>
      <c r="O4" s="129"/>
      <c r="P4" s="129"/>
      <c r="Q4" s="129"/>
      <c r="R4" s="129"/>
      <c r="S4" s="130"/>
      <c r="T4" s="1" t="s">
        <v>10</v>
      </c>
      <c r="U4" s="2" t="s">
        <v>11</v>
      </c>
      <c r="V4" s="3"/>
    </row>
    <row r="5" spans="1:35" s="4" customFormat="1" ht="35.15" customHeight="1" x14ac:dyDescent="0.35">
      <c r="A5" s="116" t="s">
        <v>12</v>
      </c>
      <c r="B5" s="117"/>
      <c r="C5" s="117"/>
      <c r="D5" s="117"/>
      <c r="E5" s="117"/>
      <c r="F5" s="117"/>
      <c r="G5" s="117"/>
      <c r="H5" s="117"/>
      <c r="I5" s="117"/>
      <c r="J5" s="117"/>
      <c r="K5" s="117"/>
      <c r="L5" s="117"/>
      <c r="M5" s="117"/>
      <c r="N5" s="117"/>
      <c r="O5" s="117"/>
      <c r="P5" s="117"/>
      <c r="Q5" s="117"/>
      <c r="R5" s="117"/>
      <c r="S5" s="117"/>
      <c r="T5" s="117"/>
      <c r="U5" s="117"/>
      <c r="V5" s="118"/>
    </row>
    <row r="6" spans="1:35" ht="14.5" thickBot="1" x14ac:dyDescent="0.4"/>
    <row r="7" spans="1:35" ht="30" customHeight="1" thickBot="1" x14ac:dyDescent="0.4">
      <c r="B7" s="131" t="s">
        <v>13</v>
      </c>
      <c r="C7" s="132"/>
      <c r="D7" s="133" t="s">
        <v>14</v>
      </c>
      <c r="E7" s="134"/>
      <c r="F7" s="134"/>
      <c r="G7" s="134"/>
      <c r="H7" s="135"/>
      <c r="I7" s="6"/>
      <c r="J7" s="6"/>
      <c r="K7" s="6"/>
      <c r="L7" s="6"/>
    </row>
    <row r="8" spans="1:35" ht="30" customHeight="1" thickBot="1" x14ac:dyDescent="0.4">
      <c r="B8" s="131"/>
      <c r="C8" s="132"/>
      <c r="D8" s="7" t="s">
        <v>15</v>
      </c>
      <c r="E8" s="8" t="s">
        <v>16</v>
      </c>
      <c r="F8" s="8" t="s">
        <v>17</v>
      </c>
      <c r="G8" s="9" t="s">
        <v>18</v>
      </c>
      <c r="H8" s="10" t="s">
        <v>19</v>
      </c>
      <c r="J8" s="5" t="s">
        <v>20</v>
      </c>
    </row>
    <row r="9" spans="1:35" ht="30" customHeight="1" thickBot="1" x14ac:dyDescent="0.4">
      <c r="B9" s="131" t="s">
        <v>21</v>
      </c>
      <c r="C9" s="132"/>
      <c r="D9" s="11">
        <f>COUNTIF(SUMMARY!$X$8:$X$33,"NORMAL")</f>
        <v>8</v>
      </c>
      <c r="E9" s="12">
        <f>COUNTIF(SUMMARY!$X$8:$X$33,"PREWARNING")</f>
        <v>10</v>
      </c>
      <c r="F9" s="13">
        <f>COUNTIF(SUMMARY!$X$8:$X$33,"WARNING")</f>
        <v>0</v>
      </c>
      <c r="G9" s="14">
        <f>COUNTIF(SUMMARY!$X$8:$X$33,"ALARM")</f>
        <v>1</v>
      </c>
      <c r="H9" s="15">
        <f>COUNTIF(SUMMARY!$X$8:$X$33,"STAND BY")</f>
        <v>7</v>
      </c>
      <c r="J9" s="16" t="s">
        <v>22</v>
      </c>
      <c r="K9" s="136" t="s">
        <v>23</v>
      </c>
      <c r="L9" s="137"/>
      <c r="M9" s="137"/>
      <c r="N9" s="137"/>
      <c r="O9" s="137"/>
      <c r="P9" s="137"/>
      <c r="Q9" s="137"/>
      <c r="R9" s="137"/>
      <c r="S9" s="137"/>
      <c r="T9" s="137"/>
      <c r="U9" s="137"/>
    </row>
    <row r="10" spans="1:35" ht="30" customHeight="1" thickBot="1" x14ac:dyDescent="0.4">
      <c r="B10" s="131" t="s">
        <v>24</v>
      </c>
      <c r="C10" s="132"/>
      <c r="D10" s="11">
        <f>COUNTIF(SUMMARY!$X$35:$X$52,"NORMAL")</f>
        <v>3</v>
      </c>
      <c r="E10" s="12">
        <f>COUNTIF(SUMMARY!$X$35:$X$52,"PREWARNING")</f>
        <v>10</v>
      </c>
      <c r="F10" s="13">
        <f>COUNTIF(SUMMARY!$X$35:$X$52,"WARNING")</f>
        <v>1</v>
      </c>
      <c r="G10" s="14">
        <f>COUNTIF(SUMMARY!$X$35:$X$52,"ALARM")</f>
        <v>0</v>
      </c>
      <c r="H10" s="15">
        <f>COUNTIF(SUMMARY!$X$35:$X$52,"STAND BY")</f>
        <v>4</v>
      </c>
      <c r="J10" s="17" t="s">
        <v>25</v>
      </c>
      <c r="K10" s="138" t="s">
        <v>26</v>
      </c>
      <c r="L10" s="139"/>
      <c r="M10" s="139"/>
      <c r="N10" s="139"/>
      <c r="O10" s="139"/>
      <c r="P10" s="139"/>
      <c r="Q10" s="139"/>
      <c r="R10" s="139"/>
      <c r="S10" s="139"/>
      <c r="T10" s="139"/>
      <c r="U10" s="139"/>
    </row>
    <row r="11" spans="1:35" ht="30" customHeight="1" thickBot="1" x14ac:dyDescent="0.4">
      <c r="B11" s="131" t="s">
        <v>27</v>
      </c>
      <c r="C11" s="132"/>
      <c r="D11" s="11">
        <f>COUNTIF(SUMMARY!$X$56:$X$77,"NORMAL")</f>
        <v>6</v>
      </c>
      <c r="E11" s="18">
        <f>COUNTIF(SUMMARY!$X$56:$X$77,"PREWARNING")</f>
        <v>8</v>
      </c>
      <c r="F11" s="19">
        <f>COUNTIF(SUMMARY!$X$56:$X$77,"WARNING")</f>
        <v>0</v>
      </c>
      <c r="G11" s="20">
        <f>COUNTIF(SUMMARY!$X$56:$X$77,"ALARM")</f>
        <v>0</v>
      </c>
      <c r="H11" s="21">
        <f>COUNTIF(SUMMARY!$X$56:$X$77,"STAND BY")</f>
        <v>8</v>
      </c>
      <c r="J11" s="22" t="s">
        <v>28</v>
      </c>
      <c r="K11" s="138" t="s">
        <v>29</v>
      </c>
      <c r="L11" s="139"/>
      <c r="M11" s="139"/>
      <c r="N11" s="139"/>
      <c r="O11" s="139"/>
      <c r="P11" s="139"/>
      <c r="Q11" s="139"/>
      <c r="R11" s="139"/>
      <c r="S11" s="139"/>
      <c r="T11" s="139"/>
      <c r="U11" s="139"/>
    </row>
    <row r="12" spans="1:35" ht="30" customHeight="1" thickBot="1" x14ac:dyDescent="0.4">
      <c r="B12" s="131" t="s">
        <v>30</v>
      </c>
      <c r="C12" s="132"/>
      <c r="D12" s="11">
        <f>COUNTIF(SUMMARY!$X$88:$X$101,"NORMAL")</f>
        <v>3</v>
      </c>
      <c r="E12" s="12">
        <f>COUNTIF(SUMMARY!$X$88:$X$101,"PREWARNING")</f>
        <v>7</v>
      </c>
      <c r="F12" s="13">
        <f>COUNTIF(SUMMARY!$X$88:$X$101,"WARNING")</f>
        <v>1</v>
      </c>
      <c r="G12" s="14">
        <f>COUNTIF(SUMMARY!$X$88:$X$101,"ALARM")</f>
        <v>3</v>
      </c>
      <c r="H12" s="15">
        <f>COUNTIF(SUMMARY!$X$88:$X$101,"STAND BY")</f>
        <v>0</v>
      </c>
      <c r="J12" s="23" t="s">
        <v>31</v>
      </c>
      <c r="K12" s="138" t="s">
        <v>32</v>
      </c>
      <c r="L12" s="139"/>
      <c r="M12" s="139"/>
      <c r="N12" s="139"/>
      <c r="O12" s="139"/>
      <c r="P12" s="139"/>
      <c r="Q12" s="139"/>
      <c r="R12" s="139"/>
      <c r="S12" s="139"/>
      <c r="T12" s="139"/>
      <c r="U12" s="139"/>
      <c r="X12" s="5" t="s">
        <v>20</v>
      </c>
    </row>
    <row r="13" spans="1:35" ht="30" customHeight="1" thickBot="1" x14ac:dyDescent="0.4">
      <c r="B13" s="140" t="s">
        <v>33</v>
      </c>
      <c r="C13" s="141"/>
      <c r="D13" s="24">
        <f>SUM(D9:D12)</f>
        <v>20</v>
      </c>
      <c r="E13" s="25">
        <f>SUM(E9:E12)</f>
        <v>35</v>
      </c>
      <c r="F13" s="26">
        <f>SUM(F9:F12)</f>
        <v>2</v>
      </c>
      <c r="G13" s="27">
        <f>SUM(G9:G12)</f>
        <v>4</v>
      </c>
      <c r="H13" s="28">
        <f>SUM(H9:H12)</f>
        <v>19</v>
      </c>
      <c r="J13" s="29" t="s">
        <v>34</v>
      </c>
      <c r="K13" s="136" t="s">
        <v>35</v>
      </c>
      <c r="L13" s="137"/>
      <c r="M13" s="137"/>
      <c r="N13" s="137"/>
      <c r="O13" s="137"/>
      <c r="P13" s="137"/>
      <c r="Q13" s="137"/>
      <c r="R13" s="137"/>
      <c r="S13" s="137"/>
      <c r="T13" s="137"/>
      <c r="U13" s="137"/>
      <c r="X13" s="16" t="s">
        <v>22</v>
      </c>
      <c r="Y13" s="136" t="s">
        <v>23</v>
      </c>
      <c r="Z13" s="137"/>
      <c r="AA13" s="137"/>
      <c r="AB13" s="137"/>
      <c r="AC13" s="137"/>
      <c r="AD13" s="137"/>
      <c r="AE13" s="137"/>
      <c r="AF13" s="137"/>
      <c r="AG13" s="137"/>
      <c r="AH13" s="137"/>
      <c r="AI13" s="137"/>
    </row>
    <row r="14" spans="1:35" ht="30" customHeight="1" thickBot="1" x14ac:dyDescent="0.4">
      <c r="B14" s="131" t="s">
        <v>36</v>
      </c>
      <c r="C14" s="132"/>
      <c r="D14" s="30">
        <f>(D13/SUM(D13:H13))</f>
        <v>0.25</v>
      </c>
      <c r="E14" s="31">
        <f>(E13/SUM(D13:H13))</f>
        <v>0.4375</v>
      </c>
      <c r="F14" s="32">
        <f>(F13/SUM(D13:H13))</f>
        <v>2.5000000000000001E-2</v>
      </c>
      <c r="G14" s="33">
        <f>(G13/SUM(D13:H13))</f>
        <v>0.05</v>
      </c>
      <c r="H14" s="34">
        <f>(H13/SUM(D13:H13))</f>
        <v>0.23749999999999999</v>
      </c>
      <c r="X14" s="17" t="s">
        <v>25</v>
      </c>
      <c r="Y14" s="138" t="s">
        <v>26</v>
      </c>
      <c r="Z14" s="139"/>
      <c r="AA14" s="139"/>
      <c r="AB14" s="139"/>
      <c r="AC14" s="139"/>
      <c r="AD14" s="139"/>
      <c r="AE14" s="139"/>
      <c r="AF14" s="139"/>
      <c r="AG14" s="139"/>
      <c r="AH14" s="139"/>
      <c r="AI14" s="139"/>
    </row>
    <row r="15" spans="1:35" ht="16.5" customHeight="1" thickBot="1" x14ac:dyDescent="0.4">
      <c r="X15" s="22" t="s">
        <v>28</v>
      </c>
      <c r="Y15" s="138" t="s">
        <v>29</v>
      </c>
      <c r="Z15" s="139"/>
      <c r="AA15" s="139"/>
      <c r="AB15" s="139"/>
      <c r="AC15" s="139"/>
      <c r="AD15" s="139"/>
      <c r="AE15" s="139"/>
      <c r="AF15" s="139"/>
      <c r="AG15" s="139"/>
      <c r="AH15" s="139"/>
      <c r="AI15" s="139"/>
    </row>
    <row r="16" spans="1:35" ht="14.5" thickBot="1" x14ac:dyDescent="0.4">
      <c r="A16" s="35"/>
      <c r="B16" s="35"/>
      <c r="C16" s="35" t="e">
        <f>SUM(#REF!)</f>
        <v>#REF!</v>
      </c>
      <c r="D16" s="35"/>
      <c r="E16" s="35"/>
      <c r="F16" s="36"/>
      <c r="G16" s="36"/>
      <c r="H16" s="36"/>
      <c r="I16" s="36"/>
      <c r="J16" s="36"/>
      <c r="K16" s="36"/>
      <c r="L16" s="36"/>
      <c r="X16" s="23" t="s">
        <v>31</v>
      </c>
      <c r="Y16" s="138" t="s">
        <v>32</v>
      </c>
      <c r="Z16" s="139"/>
      <c r="AA16" s="139"/>
      <c r="AB16" s="139"/>
      <c r="AC16" s="139"/>
      <c r="AD16" s="139"/>
      <c r="AE16" s="139"/>
      <c r="AF16" s="139"/>
      <c r="AG16" s="139"/>
      <c r="AH16" s="139"/>
      <c r="AI16" s="139"/>
    </row>
    <row r="17" spans="1:35" ht="14.5" thickBot="1" x14ac:dyDescent="0.4">
      <c r="A17" s="35"/>
      <c r="B17" s="35"/>
      <c r="C17" s="35"/>
      <c r="D17" s="35"/>
      <c r="E17" s="35"/>
      <c r="F17" s="36"/>
      <c r="G17" s="36"/>
      <c r="H17" s="36"/>
      <c r="I17" s="36"/>
      <c r="J17" s="36"/>
      <c r="K17" s="36"/>
      <c r="L17" s="36"/>
      <c r="X17" s="29" t="s">
        <v>34</v>
      </c>
      <c r="Y17" s="136" t="s">
        <v>35</v>
      </c>
      <c r="Z17" s="137"/>
      <c r="AA17" s="137"/>
      <c r="AB17" s="137"/>
      <c r="AC17" s="137"/>
      <c r="AD17" s="137"/>
      <c r="AE17" s="137"/>
      <c r="AF17" s="137"/>
      <c r="AG17" s="137"/>
      <c r="AH17" s="137"/>
      <c r="AI17" s="137"/>
    </row>
    <row r="18" spans="1:35" x14ac:dyDescent="0.35">
      <c r="A18" s="35"/>
      <c r="B18" s="36"/>
      <c r="C18" s="36"/>
      <c r="D18" s="36"/>
      <c r="E18" s="36"/>
      <c r="F18" s="36"/>
      <c r="G18" s="36"/>
      <c r="H18" s="36"/>
      <c r="I18" s="36"/>
      <c r="J18" s="36"/>
      <c r="K18" s="36"/>
      <c r="L18" s="36"/>
    </row>
    <row r="19" spans="1:35" x14ac:dyDescent="0.35">
      <c r="A19" s="35"/>
      <c r="B19" s="36"/>
      <c r="C19" s="36"/>
      <c r="D19" s="36"/>
      <c r="E19" s="36"/>
      <c r="F19" s="36"/>
      <c r="G19" s="36"/>
      <c r="H19" s="36"/>
      <c r="I19" s="36"/>
      <c r="J19" s="36"/>
      <c r="K19" s="36"/>
      <c r="L19" s="36"/>
    </row>
    <row r="20" spans="1:35" x14ac:dyDescent="0.35">
      <c r="A20" s="35"/>
      <c r="B20" s="36"/>
      <c r="C20" s="36"/>
      <c r="D20" s="36"/>
      <c r="E20" s="36"/>
      <c r="F20" s="36"/>
      <c r="G20" s="36"/>
      <c r="H20" s="36"/>
      <c r="I20" s="36"/>
      <c r="J20" s="36"/>
      <c r="K20" s="36"/>
      <c r="L20" s="36"/>
    </row>
    <row r="21" spans="1:35" x14ac:dyDescent="0.35">
      <c r="B21" s="36"/>
      <c r="C21" s="36"/>
      <c r="D21" s="36"/>
      <c r="E21" s="36"/>
      <c r="F21" s="36"/>
      <c r="G21" s="36"/>
      <c r="H21" s="36"/>
      <c r="I21" s="36"/>
      <c r="J21" s="36"/>
      <c r="K21" s="36"/>
      <c r="L21" s="36"/>
    </row>
    <row r="22" spans="1:35" x14ac:dyDescent="0.35">
      <c r="B22" s="36"/>
      <c r="C22" s="36"/>
      <c r="D22" s="36"/>
      <c r="E22" s="36"/>
      <c r="F22" s="36"/>
      <c r="G22" s="36"/>
      <c r="H22" s="36"/>
      <c r="I22" s="36"/>
      <c r="J22" s="36"/>
      <c r="K22" s="36"/>
      <c r="L22" s="36"/>
    </row>
    <row r="23" spans="1:35" x14ac:dyDescent="0.35">
      <c r="B23" s="36"/>
      <c r="C23" s="36"/>
      <c r="D23" s="36"/>
      <c r="E23" s="36"/>
      <c r="F23" s="36"/>
      <c r="G23" s="36"/>
      <c r="H23" s="36"/>
      <c r="I23" s="36"/>
      <c r="J23" s="36"/>
      <c r="K23" s="36"/>
      <c r="L23" s="36"/>
    </row>
    <row r="24" spans="1:35" x14ac:dyDescent="0.35">
      <c r="B24" s="36"/>
      <c r="C24" s="36"/>
      <c r="D24" s="36"/>
      <c r="E24" s="36"/>
      <c r="F24" s="36"/>
      <c r="G24" s="36"/>
      <c r="H24" s="36"/>
      <c r="I24" s="36"/>
      <c r="J24" s="36"/>
      <c r="K24" s="36"/>
      <c r="L24" s="36"/>
    </row>
    <row r="25" spans="1:35" x14ac:dyDescent="0.35">
      <c r="B25" s="36"/>
      <c r="C25" s="36"/>
      <c r="D25" s="36"/>
      <c r="E25" s="36"/>
      <c r="F25" s="36"/>
      <c r="G25" s="36"/>
      <c r="H25" s="36"/>
      <c r="I25" s="36"/>
      <c r="J25" s="36"/>
      <c r="K25" s="36"/>
      <c r="L25" s="36"/>
    </row>
    <row r="26" spans="1:35" x14ac:dyDescent="0.35">
      <c r="B26" s="36"/>
      <c r="C26" s="36"/>
      <c r="D26" s="36"/>
      <c r="E26" s="36"/>
      <c r="F26" s="36"/>
      <c r="G26" s="36"/>
      <c r="H26" s="36"/>
      <c r="I26" s="36"/>
      <c r="J26" s="36"/>
      <c r="K26" s="36"/>
      <c r="L26" s="36"/>
    </row>
    <row r="27" spans="1:35" x14ac:dyDescent="0.35">
      <c r="B27" s="36"/>
      <c r="C27" s="36"/>
      <c r="D27" s="36"/>
      <c r="E27" s="36"/>
      <c r="F27" s="36"/>
      <c r="G27" s="36"/>
      <c r="H27" s="36"/>
      <c r="I27" s="36"/>
      <c r="J27" s="36"/>
      <c r="K27" s="36"/>
      <c r="L27" s="36"/>
    </row>
  </sheetData>
  <mergeCells count="24">
    <mergeCell ref="Y17:AI17"/>
    <mergeCell ref="B11:C11"/>
    <mergeCell ref="K11:U11"/>
    <mergeCell ref="B12:C12"/>
    <mergeCell ref="K12:U12"/>
    <mergeCell ref="B13:C13"/>
    <mergeCell ref="K13:U13"/>
    <mergeCell ref="Y13:AI13"/>
    <mergeCell ref="B14:C14"/>
    <mergeCell ref="Y14:AI14"/>
    <mergeCell ref="Y15:AI15"/>
    <mergeCell ref="Y16:AI16"/>
    <mergeCell ref="B7:C8"/>
    <mergeCell ref="D7:H7"/>
    <mergeCell ref="B9:C9"/>
    <mergeCell ref="K9:U9"/>
    <mergeCell ref="B10:C10"/>
    <mergeCell ref="K10:U10"/>
    <mergeCell ref="A5:V5"/>
    <mergeCell ref="A1:C4"/>
    <mergeCell ref="D1:S1"/>
    <mergeCell ref="D2:S2"/>
    <mergeCell ref="D3:S3"/>
    <mergeCell ref="D4:S4"/>
  </mergeCells>
  <printOptions horizontalCentered="1" verticalCentered="1"/>
  <pageMargins left="0.23622047244094491" right="0.23622047244094491" top="0.74803149606299213" bottom="0.74803149606299213" header="0.31496062992125984" footer="0.31496062992125984"/>
  <pageSetup paperSize="9" scale="39" orientation="landscape" r:id="rId1"/>
  <headerFooter>
    <oddFooter>&amp;L&amp;"-,Bold"&amp;K00-046PT. PLN Indonesia Power UBP PLTU Jeranjang 
Jl. Raya PLTU Jeranjang, Desa Taman Ayu – Kec. Gerung
Lombok Barat – Mataram - NTB&amp;R&amp;N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JB141"/>
  <sheetViews>
    <sheetView tabSelected="1" view="pageBreakPreview" topLeftCell="B5" zoomScale="55" zoomScaleNormal="100" zoomScaleSheetLayoutView="55" workbookViewId="0">
      <pane xSplit="3" ySplit="2" topLeftCell="E7" activePane="bottomRight" state="frozen"/>
      <selection activeCell="I93" sqref="I93"/>
      <selection pane="topRight" activeCell="I93" sqref="I93"/>
      <selection pane="bottomLeft" activeCell="I93" sqref="I93"/>
      <selection pane="bottomRight" activeCell="AC20" sqref="AC20"/>
    </sheetView>
  </sheetViews>
  <sheetFormatPr defaultColWidth="9.1796875" defaultRowHeight="13" x14ac:dyDescent="0.3"/>
  <cols>
    <col min="1" max="1" width="2" style="37" customWidth="1"/>
    <col min="2" max="2" width="4.26953125" style="37" bestFit="1" customWidth="1"/>
    <col min="3" max="3" width="26.7265625" style="37" customWidth="1"/>
    <col min="4" max="4" width="9.1796875" style="37" customWidth="1"/>
    <col min="5" max="5" width="8.08984375" style="80" bestFit="1" customWidth="1"/>
    <col min="6" max="22" width="5.7265625" style="80" customWidth="1"/>
    <col min="23" max="23" width="5.7265625" style="38" customWidth="1"/>
    <col min="24" max="24" width="15.453125" style="38" bestFit="1" customWidth="1"/>
    <col min="25" max="25" width="1.7265625" style="37" customWidth="1"/>
    <col min="26" max="26" width="9.1796875" style="37"/>
    <col min="27" max="29" width="9.1796875" style="38"/>
    <col min="30" max="30" width="10.81640625" style="38" bestFit="1" customWidth="1"/>
    <col min="31" max="16384" width="9.1796875" style="37"/>
  </cols>
  <sheetData>
    <row r="1" spans="1:262" ht="14" x14ac:dyDescent="0.3">
      <c r="A1" s="119"/>
      <c r="B1" s="120"/>
      <c r="C1" s="121"/>
      <c r="D1" s="128" t="s">
        <v>0</v>
      </c>
      <c r="E1" s="129"/>
      <c r="F1" s="129"/>
      <c r="G1" s="129"/>
      <c r="H1" s="129"/>
      <c r="I1" s="129"/>
      <c r="J1" s="129"/>
      <c r="K1" s="129"/>
      <c r="L1" s="129"/>
      <c r="M1" s="129"/>
      <c r="N1" s="129"/>
      <c r="O1" s="129"/>
      <c r="P1" s="129"/>
      <c r="Q1" s="129"/>
      <c r="R1" s="129"/>
      <c r="S1" s="130"/>
      <c r="T1" s="145" t="s">
        <v>1</v>
      </c>
      <c r="U1" s="145"/>
      <c r="V1" s="146"/>
      <c r="W1" s="147" t="s">
        <v>2</v>
      </c>
      <c r="X1" s="147"/>
      <c r="Y1" s="148"/>
    </row>
    <row r="2" spans="1:262" ht="14" x14ac:dyDescent="0.3">
      <c r="A2" s="122"/>
      <c r="B2" s="123"/>
      <c r="C2" s="124"/>
      <c r="D2" s="128" t="s">
        <v>3</v>
      </c>
      <c r="E2" s="129"/>
      <c r="F2" s="129"/>
      <c r="G2" s="129"/>
      <c r="H2" s="129"/>
      <c r="I2" s="129"/>
      <c r="J2" s="129"/>
      <c r="K2" s="129"/>
      <c r="L2" s="129"/>
      <c r="M2" s="129"/>
      <c r="N2" s="129"/>
      <c r="O2" s="129"/>
      <c r="P2" s="129"/>
      <c r="Q2" s="129"/>
      <c r="R2" s="129"/>
      <c r="S2" s="130"/>
      <c r="T2" s="145" t="s">
        <v>4</v>
      </c>
      <c r="U2" s="145"/>
      <c r="V2" s="146"/>
      <c r="W2" s="147" t="s">
        <v>5</v>
      </c>
      <c r="X2" s="147"/>
      <c r="Y2" s="148"/>
    </row>
    <row r="3" spans="1:262" ht="14" x14ac:dyDescent="0.3">
      <c r="A3" s="122"/>
      <c r="B3" s="123"/>
      <c r="C3" s="124"/>
      <c r="D3" s="128" t="s">
        <v>6</v>
      </c>
      <c r="E3" s="129"/>
      <c r="F3" s="129"/>
      <c r="G3" s="129"/>
      <c r="H3" s="129"/>
      <c r="I3" s="129"/>
      <c r="J3" s="129"/>
      <c r="K3" s="129"/>
      <c r="L3" s="129"/>
      <c r="M3" s="129"/>
      <c r="N3" s="129"/>
      <c r="O3" s="129"/>
      <c r="P3" s="129"/>
      <c r="Q3" s="129"/>
      <c r="R3" s="129"/>
      <c r="S3" s="130"/>
      <c r="T3" s="145" t="s">
        <v>7</v>
      </c>
      <c r="U3" s="145"/>
      <c r="V3" s="146"/>
      <c r="W3" s="147" t="s">
        <v>8</v>
      </c>
      <c r="X3" s="147"/>
      <c r="Y3" s="148"/>
    </row>
    <row r="4" spans="1:262" ht="14" x14ac:dyDescent="0.3">
      <c r="A4" s="125"/>
      <c r="B4" s="126"/>
      <c r="C4" s="127"/>
      <c r="D4" s="128" t="s">
        <v>9</v>
      </c>
      <c r="E4" s="129"/>
      <c r="F4" s="129"/>
      <c r="G4" s="129"/>
      <c r="H4" s="129"/>
      <c r="I4" s="129"/>
      <c r="J4" s="129"/>
      <c r="K4" s="129"/>
      <c r="L4" s="129"/>
      <c r="M4" s="129"/>
      <c r="N4" s="129"/>
      <c r="O4" s="129"/>
      <c r="P4" s="129"/>
      <c r="Q4" s="129"/>
      <c r="R4" s="129"/>
      <c r="S4" s="130"/>
      <c r="T4" s="145" t="s">
        <v>10</v>
      </c>
      <c r="U4" s="145"/>
      <c r="V4" s="146"/>
      <c r="W4" s="147" t="s">
        <v>11</v>
      </c>
      <c r="X4" s="147"/>
      <c r="Y4" s="148"/>
      <c r="AA4" s="38" t="s">
        <v>37</v>
      </c>
      <c r="AC4" s="38" t="s">
        <v>38</v>
      </c>
    </row>
    <row r="5" spans="1:262" ht="15.75" customHeight="1" x14ac:dyDescent="0.3">
      <c r="A5" s="41"/>
      <c r="B5" s="143" t="s">
        <v>39</v>
      </c>
      <c r="C5" s="143" t="s">
        <v>40</v>
      </c>
      <c r="D5" s="143" t="s">
        <v>41</v>
      </c>
      <c r="E5" s="143" t="s">
        <v>42</v>
      </c>
      <c r="F5" s="143"/>
      <c r="G5" s="143"/>
      <c r="H5" s="143"/>
      <c r="I5" s="143"/>
      <c r="J5" s="143"/>
      <c r="K5" s="143"/>
      <c r="L5" s="143"/>
      <c r="M5" s="143"/>
      <c r="N5" s="143"/>
      <c r="O5" s="143"/>
      <c r="P5" s="143"/>
      <c r="Q5" s="143"/>
      <c r="R5" s="143"/>
      <c r="S5" s="143"/>
      <c r="T5" s="143"/>
      <c r="U5" s="143"/>
      <c r="V5" s="143"/>
      <c r="W5" s="143" t="s">
        <v>43</v>
      </c>
      <c r="X5" s="144" t="s">
        <v>44</v>
      </c>
      <c r="Y5" s="39"/>
      <c r="AA5" s="42">
        <v>1</v>
      </c>
      <c r="AB5" s="42">
        <v>0.66</v>
      </c>
      <c r="AC5" s="42">
        <v>0.48</v>
      </c>
      <c r="AD5" s="42">
        <v>0.53</v>
      </c>
      <c r="AE5" s="42">
        <v>0.77</v>
      </c>
      <c r="AF5" s="42">
        <v>0.62</v>
      </c>
      <c r="AG5" s="42">
        <v>0.37</v>
      </c>
      <c r="AH5" s="42">
        <v>0.84</v>
      </c>
      <c r="AI5" s="42">
        <v>0.3</v>
      </c>
      <c r="AJ5" s="42">
        <v>0.37</v>
      </c>
      <c r="AK5" s="42">
        <v>0.82</v>
      </c>
      <c r="AL5" s="42">
        <v>0.42</v>
      </c>
      <c r="AM5" s="42">
        <f t="shared" ref="AM5" si="0">MAX(AA5:AL5)</f>
        <v>1</v>
      </c>
      <c r="AN5" s="43" t="str">
        <f t="shared" ref="AN5" si="1">IF(AM5=0,"S/B",IF(AM5&lt;2.4,"NORMAL",IF(AM5&lt;4.6,"PREWARNING",IF(AM5&lt;7.2,"WARNING","ALARM"))))</f>
        <v>NORMAL</v>
      </c>
      <c r="AO5" s="42">
        <v>0.54</v>
      </c>
      <c r="AP5" s="42">
        <v>0.54</v>
      </c>
      <c r="AQ5" s="42">
        <v>0.69</v>
      </c>
      <c r="AR5" s="42">
        <v>0.72</v>
      </c>
      <c r="AS5" s="42">
        <v>1.1499999999999999</v>
      </c>
      <c r="AT5" s="42">
        <v>0.95</v>
      </c>
      <c r="AU5" s="42">
        <v>0.42</v>
      </c>
      <c r="AV5" s="42">
        <v>0.66</v>
      </c>
      <c r="AW5" s="42">
        <v>0.5</v>
      </c>
      <c r="AX5" s="42">
        <v>0.66</v>
      </c>
      <c r="AY5" s="42">
        <v>0.74</v>
      </c>
      <c r="AZ5" s="42">
        <v>0.57999999999999996</v>
      </c>
      <c r="BA5" s="42">
        <f t="shared" ref="BA5" si="2">MAX(AO5:AZ5)</f>
        <v>1.1499999999999999</v>
      </c>
      <c r="BB5" s="44" t="str">
        <f t="shared" ref="BB5" si="3">IF(BA5=0,"S/B",IF(BA5&lt;2.4,"NORMAL",IF(BA5&lt;4.6,"PREWARNING",IF(BA5&lt;7.2,"WARNING","ALARM"))))</f>
        <v>NORMAL</v>
      </c>
      <c r="BC5" s="42">
        <v>0.49</v>
      </c>
      <c r="BD5" s="42">
        <v>2.0699999999999998</v>
      </c>
      <c r="BE5" s="42">
        <v>0.71</v>
      </c>
      <c r="BF5" s="42">
        <v>0.44</v>
      </c>
      <c r="BG5" s="42">
        <v>1.88</v>
      </c>
      <c r="BH5" s="42">
        <v>1.03</v>
      </c>
      <c r="BI5" s="42">
        <v>0.9</v>
      </c>
      <c r="BJ5" s="42">
        <v>2.41</v>
      </c>
      <c r="BK5" s="42">
        <v>1.34</v>
      </c>
      <c r="BL5" s="42">
        <v>2.16</v>
      </c>
      <c r="BM5" s="42">
        <v>3.27</v>
      </c>
      <c r="BN5" s="42">
        <v>1.22</v>
      </c>
      <c r="BO5" s="42">
        <f t="shared" ref="BO5" si="4">MAX(BC5:BN5)</f>
        <v>3.27</v>
      </c>
      <c r="BP5" s="44" t="str">
        <f t="shared" ref="BP5" si="5">IF(BO5=0,"S/B",IF(BO5&lt;2.4,"NORMAL",IF(BO5&lt;4.6,"PREWARNING",IF(BO5&lt;7.2,"WARNING","ALARM"))))</f>
        <v>PREWARNING</v>
      </c>
      <c r="BQ5" s="42">
        <v>0.35</v>
      </c>
      <c r="BR5" s="42">
        <v>1.17</v>
      </c>
      <c r="BS5" s="42">
        <v>0.54</v>
      </c>
      <c r="BT5" s="42">
        <v>0.38</v>
      </c>
      <c r="BU5" s="42">
        <v>0.67</v>
      </c>
      <c r="BV5" s="42">
        <v>0.47</v>
      </c>
      <c r="BW5" s="42">
        <v>0.33</v>
      </c>
      <c r="BX5" s="42">
        <v>0.55000000000000004</v>
      </c>
      <c r="BY5" s="42">
        <v>0.48</v>
      </c>
      <c r="BZ5" s="42">
        <v>0.48</v>
      </c>
      <c r="CA5" s="42">
        <v>0.72</v>
      </c>
      <c r="CB5" s="42">
        <v>0.47</v>
      </c>
      <c r="CC5" s="42">
        <f t="shared" ref="CC5" si="6">MAX(BQ5:CB5)</f>
        <v>1.17</v>
      </c>
      <c r="CD5" s="44" t="str">
        <f t="shared" ref="CD5" si="7">IF(CC5=0,"S/B",IF(CC5&lt;2.4,"NORMAL",IF(CC5&lt;4.6,"PREWARNING",IF(CC5&lt;7.2,"WARNING","ALARM"))))</f>
        <v>NORMAL</v>
      </c>
      <c r="CE5" s="42">
        <v>1.73</v>
      </c>
      <c r="CF5" s="42">
        <v>2.1800000000000002</v>
      </c>
      <c r="CG5" s="42">
        <v>2.5499999999999998</v>
      </c>
      <c r="CH5" s="42">
        <v>1.59</v>
      </c>
      <c r="CI5" s="42">
        <v>2.5</v>
      </c>
      <c r="CJ5" s="42">
        <v>2.5299999999999998</v>
      </c>
      <c r="CK5" s="42">
        <v>3.06</v>
      </c>
      <c r="CL5" s="42">
        <v>1.96</v>
      </c>
      <c r="CM5" s="42">
        <v>2.15</v>
      </c>
      <c r="CN5" s="42">
        <v>2.89</v>
      </c>
      <c r="CO5" s="42">
        <v>3.16</v>
      </c>
      <c r="CP5" s="42">
        <v>2.16</v>
      </c>
      <c r="CQ5" s="42">
        <v>2.78</v>
      </c>
      <c r="CR5" s="42">
        <v>2.34</v>
      </c>
      <c r="CS5" s="42">
        <v>2.75</v>
      </c>
      <c r="CT5" s="42">
        <v>3.37</v>
      </c>
      <c r="CU5" s="42">
        <v>3.4</v>
      </c>
      <c r="CV5" s="42">
        <v>2.82</v>
      </c>
      <c r="CW5" s="42">
        <f t="shared" ref="CW5" si="8">MAX(CE5:CV5)</f>
        <v>3.4</v>
      </c>
      <c r="CX5" s="44" t="str">
        <f t="shared" ref="CX5" si="9">IF(CW5=0,"S/B",IF(CW5&lt;2.4,"NORMAL",IF(CW5&lt;4.6,"PREWARNING",IF(CW5&lt;7.2,"WARNING","ALARM"))))</f>
        <v>PREWARNING</v>
      </c>
      <c r="CY5" s="42"/>
      <c r="CZ5" s="42"/>
      <c r="DA5" s="42"/>
      <c r="DB5" s="45"/>
      <c r="DC5" s="42"/>
      <c r="DD5" s="42"/>
      <c r="DE5" s="42"/>
      <c r="DF5" s="42"/>
      <c r="DG5" s="42"/>
      <c r="DH5" s="42"/>
      <c r="DI5" s="42"/>
      <c r="DJ5" s="42"/>
      <c r="DK5" s="42"/>
      <c r="DL5" s="42"/>
      <c r="DM5" s="42"/>
      <c r="DN5" s="42"/>
      <c r="DO5" s="42"/>
      <c r="DP5" s="42"/>
      <c r="DQ5" s="42">
        <f t="shared" ref="DQ5" si="10">MAX(CY5:DP5)</f>
        <v>0</v>
      </c>
      <c r="DR5" s="42" t="str">
        <f t="shared" ref="DR5" si="11">IF(DQ5=0,"S/B",IF(DQ5&lt;2.4,"NORMAL",IF(DQ5&lt;4.6,"PREWARNING",IF(DQ5&lt;7.2,"WARNING","ALARM"))))</f>
        <v>S/B</v>
      </c>
      <c r="DS5" s="42"/>
      <c r="DT5" s="42"/>
      <c r="DU5" s="42"/>
      <c r="DV5" s="42">
        <v>2.0099999999999998</v>
      </c>
      <c r="DW5" s="42">
        <v>2.25</v>
      </c>
      <c r="DX5" s="42">
        <v>2.4700000000000002</v>
      </c>
      <c r="DY5" s="42">
        <v>1.4</v>
      </c>
      <c r="DZ5" s="42">
        <v>1.83</v>
      </c>
      <c r="EA5" s="42">
        <v>2.48</v>
      </c>
      <c r="EB5" s="42">
        <v>1.07</v>
      </c>
      <c r="EC5" s="42">
        <v>1.2</v>
      </c>
      <c r="ED5" s="42">
        <v>3.44</v>
      </c>
      <c r="EE5" s="42">
        <f t="shared" ref="EE5" si="12">MAX(DS5:ED5)</f>
        <v>3.44</v>
      </c>
      <c r="EF5" s="43" t="str">
        <f t="shared" ref="EF5" si="13">IF(EE5=0,"S/B",IF(EE5&lt;3.75,"NORMAL",IF(EE5&lt;7.49,"PREWARNING",IF(EE5&lt;9.9,"WARNING","ALARM"))))</f>
        <v>NORMAL</v>
      </c>
      <c r="EG5" s="42">
        <v>2.04</v>
      </c>
      <c r="EH5" s="42">
        <v>3.11</v>
      </c>
      <c r="EI5" s="42">
        <v>0.99</v>
      </c>
      <c r="EJ5" s="42">
        <v>2.4300000000000002</v>
      </c>
      <c r="EK5" s="42">
        <v>3.89</v>
      </c>
      <c r="EL5" s="42">
        <v>2.4</v>
      </c>
      <c r="EM5" s="42">
        <v>1.6</v>
      </c>
      <c r="EN5" s="42">
        <v>3.18</v>
      </c>
      <c r="EO5" s="42">
        <v>0.54</v>
      </c>
      <c r="EP5" s="42">
        <v>0.99</v>
      </c>
      <c r="EQ5" s="42">
        <v>3.05</v>
      </c>
      <c r="ER5" s="42">
        <v>1.33</v>
      </c>
      <c r="ES5" s="42">
        <f t="shared" ref="ES5" si="14">MAX(EG5:ER5)</f>
        <v>3.89</v>
      </c>
      <c r="ET5" s="44" t="str">
        <f t="shared" ref="ET5" si="15">IF(ES5=0,"S/B",IF(ES5&lt;1.5,"NORMAL",IF(ES5&lt;2.9,"PREWARNING",IF(ES5&lt;4.6,"WARNING","ALARM"))))</f>
        <v>WARNING</v>
      </c>
      <c r="EU5" s="42">
        <v>0.84</v>
      </c>
      <c r="EV5" s="42">
        <v>1.95</v>
      </c>
      <c r="EW5" s="42">
        <v>0.35</v>
      </c>
      <c r="EX5" s="42">
        <v>1.7</v>
      </c>
      <c r="EY5" s="42">
        <v>2.14</v>
      </c>
      <c r="EZ5" s="42">
        <v>1.27</v>
      </c>
      <c r="FA5" s="42">
        <v>0.75</v>
      </c>
      <c r="FB5" s="42">
        <v>1.39</v>
      </c>
      <c r="FC5" s="42">
        <v>0.79</v>
      </c>
      <c r="FD5" s="42">
        <v>1.51</v>
      </c>
      <c r="FE5" s="42">
        <v>1.04</v>
      </c>
      <c r="FF5" s="42">
        <v>1.9</v>
      </c>
      <c r="FG5" s="42">
        <f t="shared" ref="FG5" si="16">MAX(EU5:FF5)</f>
        <v>2.14</v>
      </c>
      <c r="FH5" s="46" t="str">
        <f t="shared" ref="FH5" si="17">IF(FG5=0,"S/B",IF(FG5&lt;1.5,"NORMAL",IF(FG5&lt;2.9,"PREWARNING",IF(FG5&lt;4.6,"WARNING","ALARM"))))</f>
        <v>PREWARNING</v>
      </c>
      <c r="FI5" s="42"/>
      <c r="FJ5" s="42"/>
      <c r="FK5" s="42"/>
      <c r="FL5" s="42"/>
      <c r="FM5" s="42"/>
      <c r="FN5" s="42"/>
      <c r="FO5" s="42"/>
      <c r="FP5" s="42"/>
      <c r="FQ5" s="42"/>
      <c r="FR5" s="42"/>
      <c r="FS5" s="42"/>
      <c r="FT5" s="42"/>
      <c r="FU5" s="42">
        <f t="shared" ref="FU5" si="18">MAX(FI5:FT5)</f>
        <v>0</v>
      </c>
      <c r="FV5" s="42" t="str">
        <f t="shared" ref="FV5" si="19">IF(FU5=0,"S/B",IF(FU5&lt;1.5,"NORMAL",IF(FU5&lt;2.9,"PREWARNING",IF(FU5&lt;4.6,"WARNING","ALARM"))))</f>
        <v>S/B</v>
      </c>
      <c r="FW5" s="42">
        <v>0.62</v>
      </c>
      <c r="FX5" s="42">
        <v>1.35</v>
      </c>
      <c r="FY5" s="42">
        <v>0.35</v>
      </c>
      <c r="FZ5" s="42">
        <v>1.62</v>
      </c>
      <c r="GA5" s="42">
        <v>1.53</v>
      </c>
      <c r="GB5" s="42">
        <v>1.21</v>
      </c>
      <c r="GC5" s="42">
        <v>2.75</v>
      </c>
      <c r="GD5" s="42">
        <v>2.7</v>
      </c>
      <c r="GE5" s="42">
        <v>0.81</v>
      </c>
      <c r="GF5" s="42">
        <v>1.24</v>
      </c>
      <c r="GG5" s="42">
        <v>1.1499999999999999</v>
      </c>
      <c r="GH5" s="42">
        <v>0.84</v>
      </c>
      <c r="GI5" s="42">
        <f t="shared" ref="GI5" si="20">MAX(FW5:GH5)</f>
        <v>2.75</v>
      </c>
      <c r="GJ5" s="44" t="str">
        <f>IF(GI5=0,"S/B",IF(GI5&lt;1.5,"NORMAL",IF(GI5&lt;2.9,"PREWARNING",IF(GI5&lt;4.6,"WARNING","ALARM"))))</f>
        <v>PREWARNING</v>
      </c>
      <c r="GK5" s="42"/>
      <c r="GL5" s="42"/>
      <c r="GM5" s="42"/>
      <c r="GN5" s="42"/>
      <c r="GO5" s="42"/>
      <c r="GP5" s="42"/>
      <c r="GQ5" s="42"/>
      <c r="GR5" s="42"/>
      <c r="GS5" s="42"/>
      <c r="GT5" s="42"/>
      <c r="GU5" s="42"/>
      <c r="GV5" s="42"/>
      <c r="GW5" s="42">
        <f t="shared" ref="GW5" si="21">MAX(GK5:GV5)</f>
        <v>0</v>
      </c>
      <c r="GX5" s="42" t="str">
        <f t="shared" ref="GX5" si="22">IF(GW5=0,"S/B",IF(GW5&lt;1.5,"NORMAL",IF(GW5&lt;2.9,"PREWARNING",IF(GW5&lt;4.6,"WARNING","ALARM"))))</f>
        <v>S/B</v>
      </c>
      <c r="GY5" s="42">
        <v>0.61</v>
      </c>
      <c r="GZ5" s="42">
        <v>1.18</v>
      </c>
      <c r="HA5" s="42">
        <v>0.94</v>
      </c>
      <c r="HB5" s="42">
        <v>1.02</v>
      </c>
      <c r="HC5" s="42">
        <v>1.84</v>
      </c>
      <c r="HD5" s="42">
        <v>1.32</v>
      </c>
      <c r="HE5" s="42">
        <v>5.03</v>
      </c>
      <c r="HF5" s="42">
        <v>5.45</v>
      </c>
      <c r="HG5" s="42">
        <v>3.71</v>
      </c>
      <c r="HH5" s="42">
        <v>1.73</v>
      </c>
      <c r="HI5" s="42">
        <v>1.8</v>
      </c>
      <c r="HJ5" s="42">
        <v>1.02</v>
      </c>
      <c r="HK5" s="42">
        <f t="shared" ref="HK5" si="23">MAX(GY5:HJ5)</f>
        <v>5.45</v>
      </c>
      <c r="HL5" s="46" t="str">
        <f t="shared" ref="HL5" si="24">IF(HK5=0,"S/B",IF(HK5&lt;2.4,"NORMAL",IF(HK5&lt;4.5,"PREWARNING",IF(HK5&lt;7.2,"WARNING","ALARM"))))</f>
        <v>WARNING</v>
      </c>
      <c r="HM5" s="42"/>
      <c r="HN5" s="42"/>
      <c r="HO5" s="42"/>
      <c r="HP5" s="42"/>
      <c r="HQ5" s="42"/>
      <c r="HR5" s="42"/>
      <c r="HS5" s="42"/>
      <c r="HT5" s="42"/>
      <c r="HU5" s="42"/>
      <c r="HV5" s="42"/>
      <c r="HW5" s="42"/>
      <c r="HX5" s="42"/>
      <c r="HY5" s="42">
        <f t="shared" ref="HY5" si="25">MAX(HM5:HX5)</f>
        <v>0</v>
      </c>
      <c r="HZ5" s="42" t="str">
        <f t="shared" ref="HZ5" si="26">IF(HY5=0,"S/B",IF(HY5&lt;2.4,"NORMAL",IF(HY5&lt;4.6,"PREWARNING",IF(HY5&lt;7.2,"WARNING","ALARM"))))</f>
        <v>S/B</v>
      </c>
      <c r="IA5" s="42">
        <v>0.71</v>
      </c>
      <c r="IB5" s="42">
        <v>0.68</v>
      </c>
      <c r="IC5" s="42">
        <v>0.42</v>
      </c>
      <c r="ID5" s="42">
        <v>0.9</v>
      </c>
      <c r="IE5" s="42">
        <v>0.93</v>
      </c>
      <c r="IF5" s="42">
        <v>0.81</v>
      </c>
      <c r="IG5" s="42">
        <v>1.23</v>
      </c>
      <c r="IH5" s="42">
        <v>0.79</v>
      </c>
      <c r="II5" s="42">
        <v>0.57999999999999996</v>
      </c>
      <c r="IJ5" s="42">
        <v>0.79</v>
      </c>
      <c r="IK5" s="42">
        <v>0.79</v>
      </c>
      <c r="IL5" s="42">
        <v>0.93</v>
      </c>
      <c r="IM5" s="42">
        <f t="shared" ref="IM5" si="27">MAX(IA5:IL5)</f>
        <v>1.23</v>
      </c>
      <c r="IN5" s="46" t="str">
        <f t="shared" ref="IN5" si="28">IF(IM5=0,"S/B",IF(IM5&lt;1.4,"NORMAL",IF(IM5&lt;2.8,"PREWARNING",IF(IM5&lt;4.6,"WARNING","ALARM"))))</f>
        <v>NORMAL</v>
      </c>
      <c r="IO5" s="42">
        <v>1.36</v>
      </c>
      <c r="IP5" s="42">
        <v>1.8</v>
      </c>
      <c r="IQ5" s="42">
        <v>0.64</v>
      </c>
      <c r="IR5" s="42">
        <v>1.86</v>
      </c>
      <c r="IS5" s="42">
        <v>2.15</v>
      </c>
      <c r="IT5" s="42">
        <v>1.4</v>
      </c>
      <c r="IU5" s="42">
        <v>1.58</v>
      </c>
      <c r="IV5" s="42">
        <v>1.05</v>
      </c>
      <c r="IW5" s="42">
        <v>0.86</v>
      </c>
      <c r="IX5" s="42">
        <v>1.07</v>
      </c>
      <c r="IY5" s="42">
        <v>0.86</v>
      </c>
      <c r="IZ5" s="42">
        <v>1.31</v>
      </c>
      <c r="JA5" s="42">
        <f t="shared" ref="JA5" si="29">MAX(IO5:IZ5)</f>
        <v>2.15</v>
      </c>
      <c r="JB5" s="46" t="str">
        <f t="shared" ref="JB5" si="30">IF(JA5=0,"S/B",IF(JA5&lt;1.5,"NORMAL",IF(JA5&lt;2.9,"PREWARNING",IF(JA5&lt;4.5,"WARNING","ALARM"))))</f>
        <v>PREWARNING</v>
      </c>
    </row>
    <row r="6" spans="1:262" ht="15" customHeight="1" x14ac:dyDescent="0.3">
      <c r="A6" s="41"/>
      <c r="B6" s="143"/>
      <c r="C6" s="143"/>
      <c r="D6" s="143"/>
      <c r="E6" s="47" t="s">
        <v>45</v>
      </c>
      <c r="F6" s="47" t="s">
        <v>46</v>
      </c>
      <c r="G6" s="47" t="s">
        <v>47</v>
      </c>
      <c r="H6" s="47" t="s">
        <v>48</v>
      </c>
      <c r="I6" s="47" t="s">
        <v>49</v>
      </c>
      <c r="J6" s="47" t="s">
        <v>50</v>
      </c>
      <c r="K6" s="47" t="s">
        <v>51</v>
      </c>
      <c r="L6" s="47" t="s">
        <v>52</v>
      </c>
      <c r="M6" s="47" t="s">
        <v>53</v>
      </c>
      <c r="N6" s="47" t="s">
        <v>54</v>
      </c>
      <c r="O6" s="47" t="s">
        <v>55</v>
      </c>
      <c r="P6" s="47" t="s">
        <v>56</v>
      </c>
      <c r="Q6" s="47" t="s">
        <v>57</v>
      </c>
      <c r="R6" s="47" t="s">
        <v>58</v>
      </c>
      <c r="S6" s="47" t="s">
        <v>59</v>
      </c>
      <c r="T6" s="47" t="s">
        <v>60</v>
      </c>
      <c r="U6" s="47" t="s">
        <v>61</v>
      </c>
      <c r="V6" s="47" t="s">
        <v>62</v>
      </c>
      <c r="W6" s="144"/>
      <c r="X6" s="144"/>
      <c r="Y6" s="39"/>
      <c r="AA6" s="48"/>
      <c r="AB6" s="48"/>
      <c r="AC6" s="40">
        <v>3</v>
      </c>
      <c r="AD6" s="40" t="s">
        <v>63</v>
      </c>
    </row>
    <row r="7" spans="1:262" ht="15" customHeight="1" x14ac:dyDescent="0.3">
      <c r="A7" s="49"/>
      <c r="B7" s="50"/>
      <c r="C7" s="50" t="str">
        <f>'[1]INPUT EQUIPMENT'!A8</f>
        <v>UNIT 1</v>
      </c>
      <c r="D7" s="50"/>
      <c r="E7" s="50"/>
      <c r="F7" s="51"/>
      <c r="G7" s="51"/>
      <c r="H7" s="51"/>
      <c r="I7" s="51"/>
      <c r="J7" s="51"/>
      <c r="K7" s="51"/>
      <c r="L7" s="51"/>
      <c r="M7" s="51"/>
      <c r="N7" s="51"/>
      <c r="O7" s="51"/>
      <c r="P7" s="51"/>
      <c r="Q7" s="51"/>
      <c r="R7" s="51"/>
      <c r="S7" s="51"/>
      <c r="T7" s="51"/>
      <c r="U7" s="51"/>
      <c r="V7" s="51"/>
      <c r="W7" s="51"/>
      <c r="X7" s="51"/>
      <c r="Y7" s="39"/>
    </row>
    <row r="8" spans="1:262" ht="15" customHeight="1" x14ac:dyDescent="0.3">
      <c r="A8" s="49"/>
      <c r="B8" s="52">
        <v>1</v>
      </c>
      <c r="C8" s="53" t="str">
        <f>'[1]INPUT EQUIPMENT'!B9</f>
        <v>Motor ID Fan 1#1</v>
      </c>
      <c r="D8" s="54" t="s">
        <v>64</v>
      </c>
      <c r="E8" s="55">
        <v>0.63</v>
      </c>
      <c r="F8" s="55">
        <v>0.83</v>
      </c>
      <c r="G8" s="55">
        <v>0.63</v>
      </c>
      <c r="H8" s="55">
        <v>1.31</v>
      </c>
      <c r="I8" s="55">
        <v>1.39</v>
      </c>
      <c r="J8" s="55">
        <v>0.74</v>
      </c>
      <c r="K8" s="55">
        <v>0.44</v>
      </c>
      <c r="L8" s="55">
        <v>0.67</v>
      </c>
      <c r="M8" s="55">
        <v>1.0900000000000001</v>
      </c>
      <c r="N8" s="55">
        <v>0.51</v>
      </c>
      <c r="O8" s="55">
        <v>0.59</v>
      </c>
      <c r="P8" s="55">
        <v>0.74</v>
      </c>
      <c r="Q8" s="56">
        <v>0.81</v>
      </c>
      <c r="R8" s="56">
        <v>0.67</v>
      </c>
      <c r="S8" s="56">
        <v>0.69</v>
      </c>
      <c r="T8" s="56">
        <v>0.89</v>
      </c>
      <c r="U8" s="56">
        <v>1.29</v>
      </c>
      <c r="V8" s="56">
        <v>1.07</v>
      </c>
      <c r="W8" s="52">
        <f>MAX(E8:V8)</f>
        <v>1.39</v>
      </c>
      <c r="X8" s="52" t="str">
        <f>IF(W8=0,"STAND BY",IF(W8&lt;2.3,"NORMAL",IF(W8&lt;4.6,"PREWARNING",IF(W8&lt;7.2,"WARNING","ALARM"))))</f>
        <v>NORMAL</v>
      </c>
      <c r="Y8" s="39"/>
      <c r="Z8" s="37" t="s">
        <v>48</v>
      </c>
      <c r="AA8" s="57">
        <v>0.99</v>
      </c>
      <c r="AB8" s="57">
        <v>5</v>
      </c>
      <c r="AC8" s="57">
        <v>0.39</v>
      </c>
      <c r="AD8" s="57">
        <v>1.34</v>
      </c>
      <c r="AE8" s="57">
        <v>4.47</v>
      </c>
      <c r="AF8" s="57">
        <v>1.37</v>
      </c>
      <c r="AG8" s="57">
        <v>0.74</v>
      </c>
      <c r="AH8" s="57">
        <v>4.2699999999999996</v>
      </c>
      <c r="AI8" s="57">
        <v>1.26</v>
      </c>
      <c r="AJ8" s="57">
        <v>1.18</v>
      </c>
      <c r="AK8" s="57">
        <v>1.76</v>
      </c>
      <c r="AL8" s="57">
        <v>1.86</v>
      </c>
      <c r="AM8" s="57">
        <f t="shared" ref="AM8" si="31">MAX(AA8:AL8)</f>
        <v>5</v>
      </c>
      <c r="AN8" s="58" t="str">
        <f t="shared" ref="AN8" si="32">IF(AM8=0,"S/B",IF(AM8&lt;4.6,"NORMAL",IF(AM8&lt;7.1,"PREWARNING",IF(AM8&lt;8.01,"WARNING","ALARM"))))</f>
        <v>PREWARNING</v>
      </c>
    </row>
    <row r="9" spans="1:262" ht="15" customHeight="1" x14ac:dyDescent="0.3">
      <c r="A9" s="49"/>
      <c r="B9" s="52">
        <v>2</v>
      </c>
      <c r="C9" s="53" t="str">
        <f>'[1]INPUT EQUIPMENT'!B10</f>
        <v>Motor ID Fan 2#1</v>
      </c>
      <c r="D9" s="54" t="s">
        <v>64</v>
      </c>
      <c r="E9" s="55">
        <v>0.33</v>
      </c>
      <c r="F9" s="55">
        <v>0.63</v>
      </c>
      <c r="G9" s="55">
        <v>0.37</v>
      </c>
      <c r="H9" s="55">
        <v>0.34</v>
      </c>
      <c r="I9" s="52">
        <v>0.87</v>
      </c>
      <c r="J9" s="52">
        <v>0.37</v>
      </c>
      <c r="K9" s="52">
        <v>0.3</v>
      </c>
      <c r="L9" s="52">
        <v>0.72</v>
      </c>
      <c r="M9" s="52">
        <v>0.93</v>
      </c>
      <c r="N9" s="52">
        <v>0.28000000000000003</v>
      </c>
      <c r="O9" s="52">
        <v>0.63</v>
      </c>
      <c r="P9" s="52">
        <v>0.47</v>
      </c>
      <c r="Q9" s="56">
        <v>0.48</v>
      </c>
      <c r="R9" s="56">
        <v>0.64</v>
      </c>
      <c r="S9" s="56">
        <v>0.67</v>
      </c>
      <c r="T9" s="56">
        <v>0.76</v>
      </c>
      <c r="U9" s="56">
        <v>1.96</v>
      </c>
      <c r="V9" s="56">
        <v>0.43</v>
      </c>
      <c r="W9" s="52">
        <f t="shared" ref="W9:W33" si="33">MAX(E9:V9)</f>
        <v>1.96</v>
      </c>
      <c r="X9" s="52" t="str">
        <f t="shared" ref="X9:X13" si="34">IF(W9=0,"STAND BY",IF(W9&lt;2.3,"NORMAL",IF(W9&lt;4.6,"PREWARNING",IF(W9&lt;7.2,"WARNING","ALARM"))))</f>
        <v>NORMAL</v>
      </c>
      <c r="Y9" s="39"/>
      <c r="Z9" s="37" t="s">
        <v>53</v>
      </c>
      <c r="AA9" s="38">
        <f>29+19</f>
        <v>48</v>
      </c>
    </row>
    <row r="10" spans="1:262" ht="15" customHeight="1" x14ac:dyDescent="0.3">
      <c r="A10" s="49"/>
      <c r="B10" s="52">
        <v>3</v>
      </c>
      <c r="C10" s="53" t="str">
        <f>'[1]INPUT EQUIPMENT'!B11</f>
        <v>Motor Primary Air Fan 1#1</v>
      </c>
      <c r="D10" s="54" t="s">
        <v>64</v>
      </c>
      <c r="E10" s="55">
        <v>0.64</v>
      </c>
      <c r="F10" s="55">
        <v>2.4300000000000002</v>
      </c>
      <c r="G10" s="55">
        <v>1.08</v>
      </c>
      <c r="H10" s="55">
        <v>1.36</v>
      </c>
      <c r="I10" s="55">
        <v>1.52</v>
      </c>
      <c r="J10" s="55">
        <v>1.23</v>
      </c>
      <c r="K10" s="55">
        <v>1.96</v>
      </c>
      <c r="L10" s="55">
        <v>1.99</v>
      </c>
      <c r="M10" s="55">
        <v>2.29</v>
      </c>
      <c r="N10" s="55">
        <v>2.99</v>
      </c>
      <c r="O10" s="55">
        <v>2</v>
      </c>
      <c r="P10" s="55">
        <v>2.36</v>
      </c>
      <c r="Q10" s="59" t="s">
        <v>65</v>
      </c>
      <c r="R10" s="59" t="s">
        <v>65</v>
      </c>
      <c r="S10" s="59" t="s">
        <v>65</v>
      </c>
      <c r="T10" s="59" t="s">
        <v>65</v>
      </c>
      <c r="U10" s="59" t="s">
        <v>65</v>
      </c>
      <c r="V10" s="59" t="s">
        <v>65</v>
      </c>
      <c r="W10" s="52">
        <f t="shared" si="33"/>
        <v>2.99</v>
      </c>
      <c r="X10" s="52" t="str">
        <f t="shared" si="34"/>
        <v>PREWARNING</v>
      </c>
      <c r="Y10" s="39"/>
      <c r="Z10" s="37" t="s">
        <v>52</v>
      </c>
      <c r="AA10" s="38">
        <f>AA9*AA13</f>
        <v>0.57600000000000007</v>
      </c>
    </row>
    <row r="11" spans="1:262" ht="15" customHeight="1" x14ac:dyDescent="0.3">
      <c r="A11" s="49"/>
      <c r="B11" s="52">
        <v>4</v>
      </c>
      <c r="C11" s="53" t="str">
        <f>'[1]INPUT EQUIPMENT'!B12</f>
        <v>Motor Primary Air Fan 2#1</v>
      </c>
      <c r="D11" s="54" t="s">
        <v>64</v>
      </c>
      <c r="E11" s="55">
        <v>0.86</v>
      </c>
      <c r="F11" s="55">
        <v>1.49</v>
      </c>
      <c r="G11" s="55">
        <v>0.86</v>
      </c>
      <c r="H11" s="55">
        <v>1.1499999999999999</v>
      </c>
      <c r="I11" s="55">
        <v>1.56</v>
      </c>
      <c r="J11" s="55">
        <v>1.1599999999999999</v>
      </c>
      <c r="K11" s="55">
        <v>0.72</v>
      </c>
      <c r="L11" s="55">
        <v>0.81</v>
      </c>
      <c r="M11" s="55">
        <v>0.54</v>
      </c>
      <c r="N11" s="55">
        <v>0.62</v>
      </c>
      <c r="O11" s="55">
        <v>1.59</v>
      </c>
      <c r="P11" s="55">
        <v>0.57999999999999996</v>
      </c>
      <c r="Q11" s="59" t="s">
        <v>65</v>
      </c>
      <c r="R11" s="59" t="s">
        <v>65</v>
      </c>
      <c r="S11" s="59" t="s">
        <v>65</v>
      </c>
      <c r="T11" s="59" t="s">
        <v>65</v>
      </c>
      <c r="U11" s="59" t="s">
        <v>65</v>
      </c>
      <c r="V11" s="59" t="s">
        <v>65</v>
      </c>
      <c r="W11" s="52">
        <f t="shared" si="33"/>
        <v>1.59</v>
      </c>
      <c r="X11" s="52" t="str">
        <f t="shared" si="34"/>
        <v>NORMAL</v>
      </c>
      <c r="Y11" s="39"/>
      <c r="Z11" s="37" t="s">
        <v>54</v>
      </c>
    </row>
    <row r="12" spans="1:262" ht="15" customHeight="1" x14ac:dyDescent="0.3">
      <c r="A12" s="49"/>
      <c r="B12" s="52">
        <v>5</v>
      </c>
      <c r="C12" s="53" t="str">
        <f>'[1]INPUT EQUIPMENT'!B13</f>
        <v>Motor Secondary Air Fan 1#1</v>
      </c>
      <c r="D12" s="54" t="s">
        <v>64</v>
      </c>
      <c r="E12" s="55">
        <v>0.42</v>
      </c>
      <c r="F12" s="55">
        <v>2.06</v>
      </c>
      <c r="G12" s="55">
        <v>0.62</v>
      </c>
      <c r="H12" s="55">
        <v>0.63</v>
      </c>
      <c r="I12" s="55">
        <v>1.65</v>
      </c>
      <c r="J12" s="55">
        <v>0.6</v>
      </c>
      <c r="K12" s="55">
        <v>0.4</v>
      </c>
      <c r="L12" s="55">
        <v>1.34</v>
      </c>
      <c r="M12" s="55">
        <v>0.64</v>
      </c>
      <c r="N12" s="55">
        <v>0.49</v>
      </c>
      <c r="O12" s="55">
        <v>0.89</v>
      </c>
      <c r="P12" s="55">
        <v>0.42</v>
      </c>
      <c r="Q12" s="59" t="s">
        <v>65</v>
      </c>
      <c r="R12" s="59" t="s">
        <v>65</v>
      </c>
      <c r="S12" s="59" t="s">
        <v>65</v>
      </c>
      <c r="T12" s="59" t="s">
        <v>65</v>
      </c>
      <c r="U12" s="59" t="s">
        <v>65</v>
      </c>
      <c r="V12" s="59" t="s">
        <v>65</v>
      </c>
      <c r="W12" s="52">
        <f t="shared" si="33"/>
        <v>2.06</v>
      </c>
      <c r="X12" s="52" t="str">
        <f t="shared" si="34"/>
        <v>NORMAL</v>
      </c>
      <c r="Y12" s="39"/>
    </row>
    <row r="13" spans="1:262" ht="15" customHeight="1" x14ac:dyDescent="0.3">
      <c r="A13" s="49"/>
      <c r="B13" s="52">
        <v>6</v>
      </c>
      <c r="C13" s="53" t="str">
        <f>'[1]INPUT EQUIPMENT'!B14</f>
        <v>Motor Secondary Air Fan 2#1</v>
      </c>
      <c r="D13" s="54" t="s">
        <v>64</v>
      </c>
      <c r="E13" s="55">
        <v>2.75</v>
      </c>
      <c r="F13" s="55">
        <v>3.42</v>
      </c>
      <c r="G13" s="55">
        <v>2.9</v>
      </c>
      <c r="H13" s="55">
        <v>3.76</v>
      </c>
      <c r="I13" s="55">
        <v>7.31</v>
      </c>
      <c r="J13" s="55">
        <v>2.99</v>
      </c>
      <c r="K13" s="55">
        <v>1.0900000000000001</v>
      </c>
      <c r="L13" s="55">
        <v>4.01</v>
      </c>
      <c r="M13" s="55">
        <v>2.87</v>
      </c>
      <c r="N13" s="55">
        <v>5.23</v>
      </c>
      <c r="O13" s="55">
        <v>5.83</v>
      </c>
      <c r="P13" s="55">
        <v>3.48</v>
      </c>
      <c r="Q13" s="59" t="s">
        <v>65</v>
      </c>
      <c r="R13" s="59" t="s">
        <v>65</v>
      </c>
      <c r="S13" s="59" t="s">
        <v>65</v>
      </c>
      <c r="T13" s="59" t="s">
        <v>65</v>
      </c>
      <c r="U13" s="59" t="s">
        <v>65</v>
      </c>
      <c r="V13" s="59" t="s">
        <v>65</v>
      </c>
      <c r="W13" s="52">
        <f t="shared" si="33"/>
        <v>7.31</v>
      </c>
      <c r="X13" s="52" t="str">
        <f t="shared" si="34"/>
        <v>ALARM</v>
      </c>
      <c r="Y13" s="39"/>
      <c r="AA13" s="38">
        <v>1.2E-2</v>
      </c>
    </row>
    <row r="14" spans="1:262" ht="15" customHeight="1" x14ac:dyDescent="0.3">
      <c r="A14" s="49"/>
      <c r="B14" s="52">
        <v>7</v>
      </c>
      <c r="C14" s="53" t="str">
        <f>'[1]INPUT EQUIPMENT'!B15</f>
        <v>Turbin-Generator#1</v>
      </c>
      <c r="D14" s="54" t="s">
        <v>64</v>
      </c>
      <c r="E14" s="55">
        <v>2.78</v>
      </c>
      <c r="F14" s="55">
        <v>1.31</v>
      </c>
      <c r="G14" s="55">
        <v>1.04</v>
      </c>
      <c r="H14" s="55">
        <v>3.52</v>
      </c>
      <c r="I14" s="55">
        <v>1.9</v>
      </c>
      <c r="J14" s="55">
        <v>2.35</v>
      </c>
      <c r="K14" s="55">
        <v>3.47</v>
      </c>
      <c r="L14" s="55">
        <v>2.46</v>
      </c>
      <c r="M14" s="55">
        <v>2.29</v>
      </c>
      <c r="N14" s="55">
        <v>1.35</v>
      </c>
      <c r="O14" s="55">
        <v>0.34</v>
      </c>
      <c r="P14" s="55">
        <v>0.73</v>
      </c>
      <c r="Q14" s="59" t="s">
        <v>65</v>
      </c>
      <c r="R14" s="59" t="s">
        <v>65</v>
      </c>
      <c r="S14" s="59" t="s">
        <v>65</v>
      </c>
      <c r="T14" s="59" t="s">
        <v>65</v>
      </c>
      <c r="U14" s="59" t="s">
        <v>65</v>
      </c>
      <c r="V14" s="59" t="s">
        <v>65</v>
      </c>
      <c r="W14" s="52">
        <f t="shared" si="33"/>
        <v>3.52</v>
      </c>
      <c r="X14" s="52" t="str">
        <f>IF(W14=0,"STAND BY",IF(W14&lt;3.8,"NORMAL",IF(W14&lt;7.5,"PREWARNING",IF(W14&lt;10.1,"WARNING","ALARM"))))</f>
        <v>NORMAL</v>
      </c>
      <c r="Y14" s="39"/>
      <c r="Z14" s="37" t="s">
        <v>55</v>
      </c>
    </row>
    <row r="15" spans="1:262" ht="15" customHeight="1" x14ac:dyDescent="0.3">
      <c r="A15" s="49"/>
      <c r="B15" s="52">
        <v>8</v>
      </c>
      <c r="C15" s="53" t="str">
        <f>'[1]INPUT EQUIPMENT'!B16</f>
        <v>Motor Condensat Pump 1#1</v>
      </c>
      <c r="D15" s="54" t="s">
        <v>66</v>
      </c>
      <c r="E15" s="55">
        <v>0.48</v>
      </c>
      <c r="F15" s="55">
        <v>0.77</v>
      </c>
      <c r="G15" s="55">
        <v>0</v>
      </c>
      <c r="H15" s="55">
        <v>0.25</v>
      </c>
      <c r="I15" s="55">
        <v>0.71</v>
      </c>
      <c r="J15" s="55">
        <v>0.56000000000000005</v>
      </c>
      <c r="K15" s="55">
        <v>0.45</v>
      </c>
      <c r="L15" s="55">
        <v>0.39</v>
      </c>
      <c r="M15" s="55">
        <v>0.63</v>
      </c>
      <c r="N15" s="59" t="s">
        <v>65</v>
      </c>
      <c r="O15" s="59" t="s">
        <v>65</v>
      </c>
      <c r="P15" s="59" t="s">
        <v>65</v>
      </c>
      <c r="Q15" s="59" t="s">
        <v>65</v>
      </c>
      <c r="R15" s="59" t="s">
        <v>65</v>
      </c>
      <c r="S15" s="59" t="s">
        <v>65</v>
      </c>
      <c r="T15" s="59" t="s">
        <v>65</v>
      </c>
      <c r="U15" s="59" t="s">
        <v>65</v>
      </c>
      <c r="V15" s="59" t="s">
        <v>65</v>
      </c>
      <c r="W15" s="52">
        <f t="shared" si="33"/>
        <v>0.77</v>
      </c>
      <c r="X15" s="52" t="str">
        <f t="shared" ref="X15:X18" si="35">IF(W15=0,"STAND BY",IF(W15&lt;1.5,"NORMAL",IF(W15&lt;2.81,"PREWARNING",IF(W15&lt;4.5,"WARNING","ALARM"))))</f>
        <v>NORMAL</v>
      </c>
      <c r="Y15" s="39"/>
      <c r="Z15" s="37" t="s">
        <v>45</v>
      </c>
    </row>
    <row r="16" spans="1:262" ht="15" customHeight="1" x14ac:dyDescent="0.3">
      <c r="A16" s="49"/>
      <c r="B16" s="52">
        <v>9</v>
      </c>
      <c r="C16" s="53" t="str">
        <f>'[1]INPUT EQUIPMENT'!B17</f>
        <v>Motor Condensat Pump 2#1</v>
      </c>
      <c r="D16" s="54" t="s">
        <v>66</v>
      </c>
      <c r="E16" s="52">
        <v>0</v>
      </c>
      <c r="F16" s="52">
        <v>0</v>
      </c>
      <c r="G16" s="52">
        <v>0</v>
      </c>
      <c r="H16" s="52">
        <v>0</v>
      </c>
      <c r="I16" s="52">
        <v>0</v>
      </c>
      <c r="J16" s="52">
        <v>0</v>
      </c>
      <c r="K16" s="52">
        <v>0</v>
      </c>
      <c r="L16" s="52">
        <v>0</v>
      </c>
      <c r="M16" s="52">
        <v>0</v>
      </c>
      <c r="N16" s="59" t="s">
        <v>65</v>
      </c>
      <c r="O16" s="59" t="s">
        <v>65</v>
      </c>
      <c r="P16" s="59" t="s">
        <v>65</v>
      </c>
      <c r="Q16" s="59" t="s">
        <v>65</v>
      </c>
      <c r="R16" s="59" t="s">
        <v>65</v>
      </c>
      <c r="S16" s="59" t="s">
        <v>65</v>
      </c>
      <c r="T16" s="59" t="s">
        <v>65</v>
      </c>
      <c r="U16" s="59" t="s">
        <v>65</v>
      </c>
      <c r="V16" s="59" t="s">
        <v>65</v>
      </c>
      <c r="W16" s="52">
        <f t="shared" si="33"/>
        <v>0</v>
      </c>
      <c r="X16" s="52" t="str">
        <f>IF(W16=0,"STAND BY",IF(W16&lt;1.4,"NORMAL",IF(W16&lt;2.81,"PREWARNING",IF(W16&lt;4.5,"WARNING","ALARM"))))</f>
        <v>STAND BY</v>
      </c>
      <c r="Y16" s="39"/>
      <c r="Z16" s="37" t="s">
        <v>46</v>
      </c>
      <c r="AA16" s="38">
        <v>3.4</v>
      </c>
    </row>
    <row r="17" spans="1:27" ht="15" customHeight="1" x14ac:dyDescent="0.3">
      <c r="A17" s="49"/>
      <c r="B17" s="52">
        <v>10</v>
      </c>
      <c r="C17" s="53" t="str">
        <f>'[1]INPUT EQUIPMENT'!B18</f>
        <v>Motor Vacuum Pump 1#1</v>
      </c>
      <c r="D17" s="54" t="s">
        <v>66</v>
      </c>
      <c r="E17" s="52">
        <v>0.71</v>
      </c>
      <c r="F17" s="52">
        <v>0.83</v>
      </c>
      <c r="G17" s="52">
        <v>0.44</v>
      </c>
      <c r="H17" s="52">
        <v>0.74</v>
      </c>
      <c r="I17" s="52">
        <v>0.82</v>
      </c>
      <c r="J17" s="52">
        <v>0.54</v>
      </c>
      <c r="K17" s="52">
        <v>0.9</v>
      </c>
      <c r="L17" s="52">
        <v>0.85</v>
      </c>
      <c r="M17" s="52">
        <v>0.42</v>
      </c>
      <c r="N17" s="52">
        <v>1.43</v>
      </c>
      <c r="O17" s="52">
        <v>1.22</v>
      </c>
      <c r="P17" s="52">
        <v>0.44</v>
      </c>
      <c r="Q17" s="59" t="s">
        <v>65</v>
      </c>
      <c r="R17" s="59" t="s">
        <v>65</v>
      </c>
      <c r="S17" s="59" t="s">
        <v>65</v>
      </c>
      <c r="T17" s="59" t="s">
        <v>65</v>
      </c>
      <c r="U17" s="59" t="s">
        <v>65</v>
      </c>
      <c r="V17" s="59" t="s">
        <v>65</v>
      </c>
      <c r="W17" s="52">
        <f t="shared" si="33"/>
        <v>1.43</v>
      </c>
      <c r="X17" s="52" t="str">
        <f>IF(W17=0,"STAND BY",IF(W17&lt;1.4,"NORMAL",IF(W17&lt;2.81,"PREWARNING",IF(W17&lt;4.5,"WARNING","ALARM"))))</f>
        <v>PREWARNING</v>
      </c>
      <c r="Y17" s="39"/>
      <c r="AA17" s="38">
        <f>AA16-AA10</f>
        <v>2.8239999999999998</v>
      </c>
    </row>
    <row r="18" spans="1:27" ht="15" customHeight="1" x14ac:dyDescent="0.3">
      <c r="A18" s="49"/>
      <c r="B18" s="52">
        <v>11</v>
      </c>
      <c r="C18" s="53" t="str">
        <f>'[1]INPUT EQUIPMENT'!B19</f>
        <v>Motor Vacuum Pump 2#1</v>
      </c>
      <c r="D18" s="54" t="s">
        <v>66</v>
      </c>
      <c r="E18" s="52">
        <v>0.49</v>
      </c>
      <c r="F18" s="52">
        <v>0.71</v>
      </c>
      <c r="G18" s="52">
        <v>0.33</v>
      </c>
      <c r="H18" s="52">
        <v>0.5</v>
      </c>
      <c r="I18" s="52">
        <v>0.62</v>
      </c>
      <c r="J18" s="52">
        <v>0.46</v>
      </c>
      <c r="K18" s="52">
        <v>0.86</v>
      </c>
      <c r="L18" s="52">
        <v>0.75</v>
      </c>
      <c r="M18" s="52">
        <v>0.47</v>
      </c>
      <c r="N18" s="52">
        <v>1.03</v>
      </c>
      <c r="O18" s="52">
        <v>1.61</v>
      </c>
      <c r="P18" s="52">
        <v>0.36</v>
      </c>
      <c r="Q18" s="59" t="s">
        <v>65</v>
      </c>
      <c r="R18" s="59" t="s">
        <v>65</v>
      </c>
      <c r="S18" s="59" t="s">
        <v>65</v>
      </c>
      <c r="T18" s="59" t="s">
        <v>65</v>
      </c>
      <c r="U18" s="59" t="s">
        <v>65</v>
      </c>
      <c r="V18" s="59" t="s">
        <v>65</v>
      </c>
      <c r="W18" s="52">
        <f t="shared" si="33"/>
        <v>1.61</v>
      </c>
      <c r="X18" s="52" t="str">
        <f t="shared" si="35"/>
        <v>PREWARNING</v>
      </c>
      <c r="Y18" s="39"/>
      <c r="Z18" s="37" t="s">
        <v>56</v>
      </c>
      <c r="AA18" s="38">
        <v>1.7</v>
      </c>
    </row>
    <row r="19" spans="1:27" ht="15" customHeight="1" x14ac:dyDescent="0.3">
      <c r="A19" s="49"/>
      <c r="B19" s="52">
        <v>12</v>
      </c>
      <c r="C19" s="53" t="str">
        <f>'[1]INPUT EQUIPMENT'!B20</f>
        <v>Motor Boiler Feed Pump 1#1</v>
      </c>
      <c r="D19" s="54" t="s">
        <v>66</v>
      </c>
      <c r="E19" s="52">
        <v>0</v>
      </c>
      <c r="F19" s="52">
        <v>0</v>
      </c>
      <c r="G19" s="52">
        <v>0</v>
      </c>
      <c r="H19" s="52">
        <v>0</v>
      </c>
      <c r="I19" s="52">
        <v>0</v>
      </c>
      <c r="J19" s="52">
        <v>0</v>
      </c>
      <c r="K19" s="52">
        <v>0</v>
      </c>
      <c r="L19" s="52">
        <v>0</v>
      </c>
      <c r="M19" s="52">
        <v>0</v>
      </c>
      <c r="N19" s="52">
        <v>0</v>
      </c>
      <c r="O19" s="52">
        <v>0</v>
      </c>
      <c r="P19" s="52">
        <v>0</v>
      </c>
      <c r="Q19" s="56">
        <v>0</v>
      </c>
      <c r="R19" s="56">
        <v>0</v>
      </c>
      <c r="S19" s="56">
        <v>0</v>
      </c>
      <c r="T19" s="56">
        <v>0</v>
      </c>
      <c r="U19" s="56">
        <v>0</v>
      </c>
      <c r="V19" s="56">
        <v>0</v>
      </c>
      <c r="W19" s="52">
        <f t="shared" si="33"/>
        <v>0</v>
      </c>
      <c r="X19" s="52" t="str">
        <f t="shared" ref="X19:X20" si="36">IF(W19=0,"STAND BY",IF(W19&lt;2.4,"NORMAL",IF(W19&lt;4.6,"PREWARNING",IF(W19&lt;7.2,"WARNING","ALARM"))))</f>
        <v>STAND BY</v>
      </c>
      <c r="Y19" s="39"/>
      <c r="AA19" s="38">
        <f>AA17-AA18</f>
        <v>1.1239999999999999</v>
      </c>
    </row>
    <row r="20" spans="1:27" ht="15" customHeight="1" x14ac:dyDescent="0.3">
      <c r="A20" s="49"/>
      <c r="B20" s="52">
        <v>13</v>
      </c>
      <c r="C20" s="53" t="str">
        <f>'[1]INPUT EQUIPMENT'!B21</f>
        <v>Motor Boiler Feed Pump 2#1</v>
      </c>
      <c r="D20" s="54" t="s">
        <v>66</v>
      </c>
      <c r="E20" s="52">
        <v>0.66</v>
      </c>
      <c r="F20" s="52">
        <v>0.71</v>
      </c>
      <c r="G20" s="52">
        <v>1.26</v>
      </c>
      <c r="H20" s="52">
        <v>0.75</v>
      </c>
      <c r="I20" s="52">
        <v>0.59</v>
      </c>
      <c r="J20" s="52">
        <v>0.69</v>
      </c>
      <c r="K20" s="52">
        <v>3.94</v>
      </c>
      <c r="L20" s="52">
        <v>0.71</v>
      </c>
      <c r="M20" s="52">
        <v>0.56000000000000005</v>
      </c>
      <c r="N20" s="52">
        <v>0.43</v>
      </c>
      <c r="O20" s="52">
        <v>0.83</v>
      </c>
      <c r="P20" s="52">
        <v>0.76</v>
      </c>
      <c r="Q20" s="56">
        <v>2.5</v>
      </c>
      <c r="R20" s="56">
        <v>4.17</v>
      </c>
      <c r="S20" s="56">
        <v>0.77</v>
      </c>
      <c r="T20" s="56">
        <v>1.81</v>
      </c>
      <c r="U20" s="56">
        <v>3.64</v>
      </c>
      <c r="V20" s="56">
        <v>0.66</v>
      </c>
      <c r="W20" s="52">
        <f t="shared" si="33"/>
        <v>4.17</v>
      </c>
      <c r="X20" s="52" t="str">
        <f t="shared" si="36"/>
        <v>PREWARNING</v>
      </c>
      <c r="Y20" s="39"/>
      <c r="Z20" s="37" t="s">
        <v>55</v>
      </c>
      <c r="AA20" s="38">
        <f>AA19/AA13</f>
        <v>93.666666666666657</v>
      </c>
    </row>
    <row r="21" spans="1:27" ht="15" customHeight="1" x14ac:dyDescent="0.3">
      <c r="A21" s="49"/>
      <c r="B21" s="52">
        <v>14</v>
      </c>
      <c r="C21" s="53" t="str">
        <f>'[1]INPUT EQUIPMENT'!B22</f>
        <v>Motor CCCWP 1#1</v>
      </c>
      <c r="D21" s="54" t="s">
        <v>66</v>
      </c>
      <c r="E21" s="52">
        <v>2.5099999999999998</v>
      </c>
      <c r="F21" s="52">
        <v>2.5099999999999998</v>
      </c>
      <c r="G21" s="59" t="s">
        <v>65</v>
      </c>
      <c r="H21" s="52">
        <v>1.58</v>
      </c>
      <c r="I21" s="52">
        <v>1.0900000000000001</v>
      </c>
      <c r="J21" s="52">
        <v>1.03</v>
      </c>
      <c r="K21" s="52">
        <v>1.08</v>
      </c>
      <c r="L21" s="52">
        <v>0.8</v>
      </c>
      <c r="M21" s="52">
        <v>0.48</v>
      </c>
      <c r="N21" s="59" t="s">
        <v>65</v>
      </c>
      <c r="O21" s="59" t="s">
        <v>65</v>
      </c>
      <c r="P21" s="59" t="s">
        <v>65</v>
      </c>
      <c r="Q21" s="59" t="s">
        <v>65</v>
      </c>
      <c r="R21" s="59" t="s">
        <v>65</v>
      </c>
      <c r="S21" s="59" t="s">
        <v>65</v>
      </c>
      <c r="T21" s="59" t="s">
        <v>65</v>
      </c>
      <c r="U21" s="59" t="s">
        <v>65</v>
      </c>
      <c r="V21" s="59" t="s">
        <v>65</v>
      </c>
      <c r="W21" s="52">
        <f t="shared" si="33"/>
        <v>2.5099999999999998</v>
      </c>
      <c r="X21" s="52" t="str">
        <f t="shared" ref="X21" si="37">IF(W21=0,"STAND BY",IF(W21&lt;1.5,"NORMAL",IF(W21&lt;2.81,"PREWARNING",IF(W21&lt;4.5,"WARNING","ALARM"))))</f>
        <v>PREWARNING</v>
      </c>
      <c r="Y21" s="39"/>
      <c r="Z21" s="37" t="s">
        <v>46</v>
      </c>
    </row>
    <row r="22" spans="1:27" ht="15" customHeight="1" x14ac:dyDescent="0.3">
      <c r="A22" s="49"/>
      <c r="B22" s="52">
        <v>15</v>
      </c>
      <c r="C22" s="53" t="str">
        <f>'[1]INPUT EQUIPMENT'!B23</f>
        <v>Motor CCCWP 2#1</v>
      </c>
      <c r="D22" s="54" t="s">
        <v>66</v>
      </c>
      <c r="E22" s="52">
        <v>1.41</v>
      </c>
      <c r="F22" s="52">
        <v>1.61</v>
      </c>
      <c r="G22" s="59" t="s">
        <v>65</v>
      </c>
      <c r="H22" s="52">
        <v>0.49</v>
      </c>
      <c r="I22" s="52">
        <v>0.54</v>
      </c>
      <c r="J22" s="52">
        <v>0.52</v>
      </c>
      <c r="K22" s="52">
        <v>0.75</v>
      </c>
      <c r="L22" s="52">
        <v>0.38</v>
      </c>
      <c r="M22" s="52">
        <v>0.33</v>
      </c>
      <c r="N22" s="59" t="s">
        <v>65</v>
      </c>
      <c r="O22" s="59" t="s">
        <v>65</v>
      </c>
      <c r="P22" s="59" t="s">
        <v>65</v>
      </c>
      <c r="Q22" s="59" t="s">
        <v>65</v>
      </c>
      <c r="R22" s="59" t="s">
        <v>65</v>
      </c>
      <c r="S22" s="59" t="s">
        <v>65</v>
      </c>
      <c r="T22" s="59" t="s">
        <v>65</v>
      </c>
      <c r="U22" s="59" t="s">
        <v>65</v>
      </c>
      <c r="V22" s="59" t="s">
        <v>65</v>
      </c>
      <c r="W22" s="52">
        <f t="shared" si="33"/>
        <v>1.61</v>
      </c>
      <c r="X22" s="52" t="str">
        <f>IF(W22=0,"STAND BY",IF(W22&lt;1.5,"NORMAL",IF(W22&lt;2.81,"PREWARNING",IF(W22&lt;4.5,"WARNING","ALARM"))))</f>
        <v>PREWARNING</v>
      </c>
      <c r="Y22" s="39"/>
      <c r="Z22" s="37" t="s">
        <v>45</v>
      </c>
    </row>
    <row r="23" spans="1:27" ht="15" customHeight="1" x14ac:dyDescent="0.3">
      <c r="A23" s="49"/>
      <c r="B23" s="52">
        <v>16</v>
      </c>
      <c r="C23" s="53" t="str">
        <f>'[1]INPUT EQUIPMENT'!B24</f>
        <v>Motor CWP 355 Kw 1#1</v>
      </c>
      <c r="D23" s="54" t="s">
        <v>66</v>
      </c>
      <c r="E23" s="52">
        <v>1.63</v>
      </c>
      <c r="F23" s="52">
        <v>1.86</v>
      </c>
      <c r="G23" s="52">
        <v>1.58</v>
      </c>
      <c r="H23" s="52">
        <v>0.81</v>
      </c>
      <c r="I23" s="52">
        <v>0.81</v>
      </c>
      <c r="J23" s="52">
        <v>0.76</v>
      </c>
      <c r="K23" s="52">
        <v>0.56999999999999995</v>
      </c>
      <c r="L23" s="52">
        <v>0.55000000000000004</v>
      </c>
      <c r="M23" s="52">
        <v>0.69</v>
      </c>
      <c r="N23" s="59" t="s">
        <v>65</v>
      </c>
      <c r="O23" s="59" t="s">
        <v>65</v>
      </c>
      <c r="P23" s="59" t="s">
        <v>65</v>
      </c>
      <c r="Q23" s="59" t="s">
        <v>65</v>
      </c>
      <c r="R23" s="59" t="s">
        <v>65</v>
      </c>
      <c r="S23" s="59" t="s">
        <v>65</v>
      </c>
      <c r="T23" s="59" t="s">
        <v>65</v>
      </c>
      <c r="U23" s="59" t="s">
        <v>65</v>
      </c>
      <c r="V23" s="59" t="s">
        <v>65</v>
      </c>
      <c r="W23" s="52">
        <f t="shared" si="33"/>
        <v>1.86</v>
      </c>
      <c r="X23" s="52" t="str">
        <f t="shared" ref="X23:X24" si="38">IF(W23=0,"STAND BY",IF(W23&lt;2.4,"NORMAL",IF(W23&lt;4.6,"PREWARNING",IF(W23&lt;7.2,"WARNING","ALARM"))))</f>
        <v>NORMAL</v>
      </c>
      <c r="Y23" s="39"/>
      <c r="Z23" s="37" t="s">
        <v>47</v>
      </c>
    </row>
    <row r="24" spans="1:27" ht="15" customHeight="1" x14ac:dyDescent="0.3">
      <c r="A24" s="49"/>
      <c r="B24" s="52">
        <v>17</v>
      </c>
      <c r="C24" s="53" t="str">
        <f>'[1]INPUT EQUIPMENT'!B25</f>
        <v>Motor CWP 355 Kw 2#1</v>
      </c>
      <c r="D24" s="54" t="s">
        <v>66</v>
      </c>
      <c r="E24" s="52">
        <v>0</v>
      </c>
      <c r="F24" s="52">
        <v>0</v>
      </c>
      <c r="G24" s="52">
        <v>0</v>
      </c>
      <c r="H24" s="52">
        <v>0</v>
      </c>
      <c r="I24" s="52">
        <v>0</v>
      </c>
      <c r="J24" s="52">
        <v>0</v>
      </c>
      <c r="K24" s="52">
        <v>0</v>
      </c>
      <c r="L24" s="52">
        <v>0</v>
      </c>
      <c r="M24" s="52">
        <v>0</v>
      </c>
      <c r="N24" s="59" t="s">
        <v>65</v>
      </c>
      <c r="O24" s="59" t="s">
        <v>65</v>
      </c>
      <c r="P24" s="59" t="s">
        <v>65</v>
      </c>
      <c r="Q24" s="59" t="s">
        <v>65</v>
      </c>
      <c r="R24" s="59" t="s">
        <v>65</v>
      </c>
      <c r="S24" s="59" t="s">
        <v>65</v>
      </c>
      <c r="T24" s="59" t="s">
        <v>65</v>
      </c>
      <c r="U24" s="59" t="s">
        <v>65</v>
      </c>
      <c r="V24" s="59" t="s">
        <v>65</v>
      </c>
      <c r="W24" s="52">
        <f t="shared" si="33"/>
        <v>0</v>
      </c>
      <c r="X24" s="52" t="str">
        <f t="shared" si="38"/>
        <v>STAND BY</v>
      </c>
      <c r="Y24" s="39"/>
      <c r="Z24" s="37" t="s">
        <v>47</v>
      </c>
    </row>
    <row r="25" spans="1:27" ht="15" customHeight="1" x14ac:dyDescent="0.3">
      <c r="A25" s="49"/>
      <c r="B25" s="52">
        <v>18</v>
      </c>
      <c r="C25" s="53" t="str">
        <f>'[1]INPUT EQUIPMENT'!B26</f>
        <v>Motor BWRO 1#1</v>
      </c>
      <c r="D25" s="54" t="s">
        <v>66</v>
      </c>
      <c r="E25" s="52">
        <v>0</v>
      </c>
      <c r="F25" s="52">
        <v>0</v>
      </c>
      <c r="G25" s="59">
        <v>0</v>
      </c>
      <c r="H25" s="52">
        <v>0</v>
      </c>
      <c r="I25" s="52">
        <v>0</v>
      </c>
      <c r="J25" s="52">
        <v>0</v>
      </c>
      <c r="K25" s="59" t="s">
        <v>65</v>
      </c>
      <c r="L25" s="59" t="s">
        <v>65</v>
      </c>
      <c r="M25" s="59" t="s">
        <v>65</v>
      </c>
      <c r="N25" s="59" t="s">
        <v>65</v>
      </c>
      <c r="O25" s="59" t="s">
        <v>65</v>
      </c>
      <c r="P25" s="59" t="s">
        <v>65</v>
      </c>
      <c r="Q25" s="59" t="s">
        <v>65</v>
      </c>
      <c r="R25" s="59" t="s">
        <v>65</v>
      </c>
      <c r="S25" s="59" t="s">
        <v>65</v>
      </c>
      <c r="T25" s="59" t="s">
        <v>65</v>
      </c>
      <c r="U25" s="59" t="s">
        <v>65</v>
      </c>
      <c r="V25" s="59" t="s">
        <v>65</v>
      </c>
      <c r="W25" s="52">
        <f t="shared" si="33"/>
        <v>0</v>
      </c>
      <c r="X25" s="52" t="str">
        <f t="shared" ref="X25:X28" si="39">IF(W25=0,"STAND BY",IF(W25&lt;1.5,"NORMAL",IF(W25&lt;2.81,"PREWARNING",IF(W25&lt;4.5,"WARNING","ALARM"))))</f>
        <v>STAND BY</v>
      </c>
      <c r="Y25" s="39"/>
      <c r="Z25" s="37" t="s">
        <v>45</v>
      </c>
    </row>
    <row r="26" spans="1:27" ht="15" customHeight="1" x14ac:dyDescent="0.3">
      <c r="A26" s="49"/>
      <c r="B26" s="52">
        <v>19</v>
      </c>
      <c r="C26" s="53" t="str">
        <f>'[1]INPUT EQUIPMENT'!B27</f>
        <v>Motor BWRO 2#1</v>
      </c>
      <c r="D26" s="54" t="s">
        <v>66</v>
      </c>
      <c r="E26" s="52">
        <v>1.85</v>
      </c>
      <c r="F26" s="52">
        <v>1.58</v>
      </c>
      <c r="G26" s="59">
        <v>0</v>
      </c>
      <c r="H26" s="52">
        <v>1.59</v>
      </c>
      <c r="I26" s="52">
        <v>0.79</v>
      </c>
      <c r="J26" s="52">
        <v>0.42</v>
      </c>
      <c r="K26" s="59" t="s">
        <v>65</v>
      </c>
      <c r="L26" s="59" t="s">
        <v>65</v>
      </c>
      <c r="M26" s="59" t="s">
        <v>65</v>
      </c>
      <c r="N26" s="59" t="s">
        <v>65</v>
      </c>
      <c r="O26" s="59" t="s">
        <v>65</v>
      </c>
      <c r="P26" s="59" t="s">
        <v>65</v>
      </c>
      <c r="Q26" s="59" t="s">
        <v>65</v>
      </c>
      <c r="R26" s="59" t="s">
        <v>65</v>
      </c>
      <c r="S26" s="59" t="s">
        <v>65</v>
      </c>
      <c r="T26" s="59" t="s">
        <v>65</v>
      </c>
      <c r="U26" s="59" t="s">
        <v>65</v>
      </c>
      <c r="V26" s="59" t="s">
        <v>65</v>
      </c>
      <c r="W26" s="52">
        <f t="shared" si="33"/>
        <v>1.85</v>
      </c>
      <c r="X26" s="52" t="str">
        <f t="shared" si="39"/>
        <v>PREWARNING</v>
      </c>
      <c r="Y26" s="39"/>
    </row>
    <row r="27" spans="1:27" ht="15" customHeight="1" x14ac:dyDescent="0.3">
      <c r="A27" s="49"/>
      <c r="B27" s="52">
        <v>20</v>
      </c>
      <c r="C27" s="53" t="str">
        <f>'[1]INPUT EQUIPMENT'!B28</f>
        <v>Motor SWRO 1 #1</v>
      </c>
      <c r="D27" s="54" t="s">
        <v>66</v>
      </c>
      <c r="E27" s="52">
        <v>0</v>
      </c>
      <c r="F27" s="52">
        <v>0</v>
      </c>
      <c r="G27" s="52">
        <v>0</v>
      </c>
      <c r="H27" s="52">
        <v>0</v>
      </c>
      <c r="I27" s="52">
        <v>0</v>
      </c>
      <c r="J27" s="52">
        <v>0</v>
      </c>
      <c r="K27" s="59" t="s">
        <v>65</v>
      </c>
      <c r="L27" s="59" t="s">
        <v>65</v>
      </c>
      <c r="M27" s="59" t="s">
        <v>65</v>
      </c>
      <c r="N27" s="59" t="s">
        <v>65</v>
      </c>
      <c r="O27" s="59" t="s">
        <v>65</v>
      </c>
      <c r="P27" s="59" t="s">
        <v>65</v>
      </c>
      <c r="Q27" s="59" t="s">
        <v>65</v>
      </c>
      <c r="R27" s="59" t="s">
        <v>65</v>
      </c>
      <c r="S27" s="59" t="s">
        <v>65</v>
      </c>
      <c r="T27" s="59" t="s">
        <v>65</v>
      </c>
      <c r="U27" s="59" t="s">
        <v>65</v>
      </c>
      <c r="V27" s="59" t="s">
        <v>65</v>
      </c>
      <c r="W27" s="52">
        <f t="shared" si="33"/>
        <v>0</v>
      </c>
      <c r="X27" s="52" t="str">
        <f t="shared" si="39"/>
        <v>STAND BY</v>
      </c>
      <c r="Y27" s="39"/>
      <c r="Z27" s="37" t="s">
        <v>46</v>
      </c>
    </row>
    <row r="28" spans="1:27" ht="15" customHeight="1" x14ac:dyDescent="0.3">
      <c r="A28" s="49"/>
      <c r="B28" s="52">
        <v>21</v>
      </c>
      <c r="C28" s="53" t="str">
        <f>'[1]INPUT EQUIPMENT'!B29</f>
        <v>Motor SWRO 2#1</v>
      </c>
      <c r="D28" s="54" t="s">
        <v>66</v>
      </c>
      <c r="E28" s="52">
        <v>0</v>
      </c>
      <c r="F28" s="52">
        <v>0</v>
      </c>
      <c r="G28" s="52">
        <v>0</v>
      </c>
      <c r="H28" s="52">
        <v>0</v>
      </c>
      <c r="I28" s="52">
        <v>0</v>
      </c>
      <c r="J28" s="52">
        <v>0</v>
      </c>
      <c r="K28" s="59" t="s">
        <v>65</v>
      </c>
      <c r="L28" s="59" t="s">
        <v>65</v>
      </c>
      <c r="M28" s="59" t="s">
        <v>65</v>
      </c>
      <c r="N28" s="59" t="s">
        <v>65</v>
      </c>
      <c r="O28" s="59" t="s">
        <v>65</v>
      </c>
      <c r="P28" s="59" t="s">
        <v>65</v>
      </c>
      <c r="Q28" s="59" t="s">
        <v>65</v>
      </c>
      <c r="R28" s="59" t="s">
        <v>65</v>
      </c>
      <c r="S28" s="59" t="s">
        <v>65</v>
      </c>
      <c r="T28" s="59" t="s">
        <v>65</v>
      </c>
      <c r="U28" s="59" t="s">
        <v>65</v>
      </c>
      <c r="V28" s="59" t="s">
        <v>65</v>
      </c>
      <c r="W28" s="52">
        <f t="shared" si="33"/>
        <v>0</v>
      </c>
      <c r="X28" s="52" t="str">
        <f t="shared" si="39"/>
        <v>STAND BY</v>
      </c>
      <c r="Y28" s="39"/>
      <c r="Z28" s="37" t="s">
        <v>46</v>
      </c>
    </row>
    <row r="29" spans="1:27" ht="15" customHeight="1" x14ac:dyDescent="0.3">
      <c r="A29" s="49"/>
      <c r="B29" s="52">
        <v>22</v>
      </c>
      <c r="C29" s="53" t="s">
        <v>67</v>
      </c>
      <c r="D29" s="54" t="s">
        <v>66</v>
      </c>
      <c r="E29" s="52">
        <v>0.61</v>
      </c>
      <c r="F29" s="52">
        <v>1.07</v>
      </c>
      <c r="G29" s="52">
        <v>0.39</v>
      </c>
      <c r="H29" s="52">
        <v>0.52</v>
      </c>
      <c r="I29" s="52">
        <v>1.04</v>
      </c>
      <c r="J29" s="52">
        <v>0.37</v>
      </c>
      <c r="K29" s="52">
        <v>0.84</v>
      </c>
      <c r="L29" s="52">
        <v>0.97</v>
      </c>
      <c r="M29" s="52">
        <v>0.34</v>
      </c>
      <c r="N29" s="52">
        <v>0.66</v>
      </c>
      <c r="O29" s="52">
        <v>0.61</v>
      </c>
      <c r="P29" s="52">
        <v>0.54</v>
      </c>
      <c r="Q29" s="59" t="s">
        <v>65</v>
      </c>
      <c r="R29" s="59" t="s">
        <v>65</v>
      </c>
      <c r="S29" s="59" t="s">
        <v>65</v>
      </c>
      <c r="T29" s="59" t="s">
        <v>65</v>
      </c>
      <c r="U29" s="59" t="s">
        <v>65</v>
      </c>
      <c r="V29" s="59" t="s">
        <v>65</v>
      </c>
      <c r="W29" s="52">
        <f t="shared" si="33"/>
        <v>1.07</v>
      </c>
      <c r="X29" s="52" t="str">
        <f>IF(W29=0,"STAND BY",IF(W29&lt;1.4,"NORMAL",IF(W29&lt;2.81,"PREWARNING",IF(W29&lt;4.5,"WARNING","ALARM"))))</f>
        <v>NORMAL</v>
      </c>
      <c r="Y29" s="39"/>
      <c r="Z29" s="37" t="s">
        <v>46</v>
      </c>
    </row>
    <row r="30" spans="1:27" ht="15" customHeight="1" x14ac:dyDescent="0.3">
      <c r="A30" s="49"/>
      <c r="B30" s="52">
        <v>23</v>
      </c>
      <c r="C30" s="53" t="s">
        <v>68</v>
      </c>
      <c r="D30" s="54" t="s">
        <v>66</v>
      </c>
      <c r="E30" s="52">
        <v>0.86</v>
      </c>
      <c r="F30" s="52">
        <v>0.78</v>
      </c>
      <c r="G30" s="52">
        <v>0.93</v>
      </c>
      <c r="H30" s="52">
        <v>0.83</v>
      </c>
      <c r="I30" s="52">
        <v>1.36</v>
      </c>
      <c r="J30" s="52">
        <v>0.95</v>
      </c>
      <c r="K30" s="52">
        <v>1.17</v>
      </c>
      <c r="L30" s="52">
        <v>1.51</v>
      </c>
      <c r="M30" s="52">
        <v>0.49</v>
      </c>
      <c r="N30" s="52">
        <v>0.74</v>
      </c>
      <c r="O30" s="52">
        <v>1.1599999999999999</v>
      </c>
      <c r="P30" s="52">
        <v>0.55000000000000004</v>
      </c>
      <c r="Q30" s="59" t="s">
        <v>65</v>
      </c>
      <c r="R30" s="59" t="s">
        <v>65</v>
      </c>
      <c r="S30" s="59" t="s">
        <v>65</v>
      </c>
      <c r="T30" s="59" t="s">
        <v>65</v>
      </c>
      <c r="U30" s="59" t="s">
        <v>65</v>
      </c>
      <c r="V30" s="59" t="s">
        <v>65</v>
      </c>
      <c r="W30" s="52">
        <f t="shared" si="33"/>
        <v>1.51</v>
      </c>
      <c r="X30" s="52" t="str">
        <f t="shared" ref="X30:X32" si="40">IF(W30=0,"STAND BY",IF(W30&lt;1.4,"NORMAL",IF(W30&lt;2.81,"PREWARNING",IF(W30&lt;4.5,"WARNING","ALARM"))))</f>
        <v>PREWARNING</v>
      </c>
      <c r="Y30" s="39"/>
      <c r="Z30" s="37" t="s">
        <v>46</v>
      </c>
    </row>
    <row r="31" spans="1:27" ht="15" customHeight="1" x14ac:dyDescent="0.3">
      <c r="A31" s="49"/>
      <c r="B31" s="52">
        <v>24</v>
      </c>
      <c r="C31" s="53" t="s">
        <v>69</v>
      </c>
      <c r="D31" s="54"/>
      <c r="E31" s="52">
        <v>6.56</v>
      </c>
      <c r="F31" s="52">
        <v>5.65</v>
      </c>
      <c r="G31" s="52">
        <v>6.93</v>
      </c>
      <c r="H31" s="52">
        <v>10.25</v>
      </c>
      <c r="I31" s="52">
        <v>9.4499999999999993</v>
      </c>
      <c r="J31" s="52">
        <v>8.43</v>
      </c>
      <c r="K31" s="52">
        <v>5.54</v>
      </c>
      <c r="L31" s="52">
        <v>2.75</v>
      </c>
      <c r="M31" s="52">
        <v>4.3600000000000003</v>
      </c>
      <c r="N31" s="52">
        <v>4.42</v>
      </c>
      <c r="O31" s="52">
        <v>3.14</v>
      </c>
      <c r="P31" s="52">
        <v>4.72</v>
      </c>
      <c r="Q31" s="59" t="s">
        <v>65</v>
      </c>
      <c r="R31" s="59" t="s">
        <v>65</v>
      </c>
      <c r="S31" s="59" t="s">
        <v>65</v>
      </c>
      <c r="T31" s="59" t="s">
        <v>65</v>
      </c>
      <c r="U31" s="59" t="s">
        <v>65</v>
      </c>
      <c r="V31" s="59" t="s">
        <v>65</v>
      </c>
      <c r="W31" s="52">
        <f t="shared" si="33"/>
        <v>10.25</v>
      </c>
      <c r="X31" s="52" t="str">
        <f>IF(W31=0,"STAND BY",IF(W31&lt;2.8,"NORMAL",IF(W31&lt;11,"PREWARNING",IF(W31&lt;18,"WARNING","ALARM"))))</f>
        <v>PREWARNING</v>
      </c>
      <c r="Y31" s="39"/>
      <c r="Z31" s="37" t="s">
        <v>46</v>
      </c>
    </row>
    <row r="32" spans="1:27" ht="15" customHeight="1" x14ac:dyDescent="0.3">
      <c r="A32" s="49"/>
      <c r="B32" s="52">
        <v>25</v>
      </c>
      <c r="C32" s="53" t="s">
        <v>70</v>
      </c>
      <c r="D32" s="54" t="s">
        <v>66</v>
      </c>
      <c r="E32" s="52">
        <v>0</v>
      </c>
      <c r="F32" s="52">
        <v>0</v>
      </c>
      <c r="G32" s="52">
        <v>0</v>
      </c>
      <c r="H32" s="52">
        <v>0</v>
      </c>
      <c r="I32" s="52">
        <v>0</v>
      </c>
      <c r="J32" s="52">
        <v>0</v>
      </c>
      <c r="K32" s="52">
        <v>0</v>
      </c>
      <c r="L32" s="52">
        <v>0</v>
      </c>
      <c r="M32" s="52">
        <v>0</v>
      </c>
      <c r="N32" s="52">
        <v>0</v>
      </c>
      <c r="O32" s="52">
        <v>0</v>
      </c>
      <c r="P32" s="52">
        <v>0</v>
      </c>
      <c r="Q32" s="59" t="s">
        <v>65</v>
      </c>
      <c r="R32" s="59" t="s">
        <v>65</v>
      </c>
      <c r="S32" s="59" t="s">
        <v>65</v>
      </c>
      <c r="T32" s="59" t="s">
        <v>65</v>
      </c>
      <c r="U32" s="59" t="s">
        <v>65</v>
      </c>
      <c r="V32" s="59" t="s">
        <v>65</v>
      </c>
      <c r="W32" s="52">
        <f t="shared" si="33"/>
        <v>0</v>
      </c>
      <c r="X32" s="52" t="str">
        <f t="shared" si="40"/>
        <v>STAND BY</v>
      </c>
      <c r="Y32" s="39"/>
      <c r="Z32" s="37" t="s">
        <v>46</v>
      </c>
    </row>
    <row r="33" spans="1:27" ht="15" customHeight="1" x14ac:dyDescent="0.3">
      <c r="A33" s="49"/>
      <c r="B33" s="52">
        <v>26</v>
      </c>
      <c r="C33" s="53" t="s">
        <v>71</v>
      </c>
      <c r="D33" s="54" t="s">
        <v>66</v>
      </c>
      <c r="E33" s="52">
        <v>1.19</v>
      </c>
      <c r="F33" s="52">
        <v>1.41</v>
      </c>
      <c r="G33" s="52" t="s">
        <v>72</v>
      </c>
      <c r="H33" s="52">
        <v>0.6</v>
      </c>
      <c r="I33" s="52">
        <v>0.64</v>
      </c>
      <c r="J33" s="52">
        <v>0.27</v>
      </c>
      <c r="K33" s="59" t="s">
        <v>65</v>
      </c>
      <c r="L33" s="59" t="s">
        <v>65</v>
      </c>
      <c r="M33" s="59" t="s">
        <v>65</v>
      </c>
      <c r="N33" s="59" t="s">
        <v>65</v>
      </c>
      <c r="O33" s="59" t="s">
        <v>65</v>
      </c>
      <c r="P33" s="59" t="s">
        <v>65</v>
      </c>
      <c r="Q33" s="59" t="s">
        <v>65</v>
      </c>
      <c r="R33" s="59" t="s">
        <v>65</v>
      </c>
      <c r="S33" s="59" t="s">
        <v>65</v>
      </c>
      <c r="T33" s="59" t="s">
        <v>65</v>
      </c>
      <c r="U33" s="59" t="s">
        <v>65</v>
      </c>
      <c r="V33" s="59" t="s">
        <v>65</v>
      </c>
      <c r="W33" s="52">
        <f t="shared" si="33"/>
        <v>1.41</v>
      </c>
      <c r="X33" s="52" t="str">
        <f>IF(W33=0,"STAND BY",IF(W33&lt;1.4,"NORMAL",IF(W33&lt;2.81,"PREWARNING",IF(W33&lt;4.5,"WARNING","ALARM"))))</f>
        <v>PREWARNING</v>
      </c>
      <c r="Y33" s="39"/>
      <c r="Z33" s="37" t="s">
        <v>46</v>
      </c>
    </row>
    <row r="34" spans="1:27" ht="15" customHeight="1" x14ac:dyDescent="0.3">
      <c r="A34" s="49"/>
      <c r="B34" s="50"/>
      <c r="C34" s="50" t="str">
        <f>'[1]INPUT EQUIPMENT'!A30</f>
        <v>UNIT 2</v>
      </c>
      <c r="D34" s="50"/>
      <c r="E34" s="50"/>
      <c r="F34" s="51"/>
      <c r="G34" s="51"/>
      <c r="H34" s="51"/>
      <c r="I34" s="51"/>
      <c r="J34" s="51"/>
      <c r="K34" s="51"/>
      <c r="L34" s="51"/>
      <c r="M34" s="51"/>
      <c r="N34" s="51"/>
      <c r="O34" s="51"/>
      <c r="P34" s="51"/>
      <c r="Q34" s="51"/>
      <c r="R34" s="51"/>
      <c r="S34" s="51"/>
      <c r="T34" s="51"/>
      <c r="U34" s="51"/>
      <c r="V34" s="51"/>
      <c r="W34" s="51"/>
      <c r="X34" s="51"/>
      <c r="Y34" s="39"/>
    </row>
    <row r="35" spans="1:27" ht="15" customHeight="1" x14ac:dyDescent="0.3">
      <c r="A35" s="49"/>
      <c r="B35" s="52">
        <v>1</v>
      </c>
      <c r="C35" s="53" t="str">
        <f>'[1]INPUT EQUIPMENT'!B31</f>
        <v>Motor ID Fan 1#2</v>
      </c>
      <c r="D35" s="54" t="s">
        <v>64</v>
      </c>
      <c r="E35" s="55">
        <v>1.01</v>
      </c>
      <c r="F35" s="55">
        <v>2.3199999999999998</v>
      </c>
      <c r="G35" s="55">
        <v>1</v>
      </c>
      <c r="H35" s="55">
        <v>1.67</v>
      </c>
      <c r="I35" s="55">
        <v>2.1800000000000002</v>
      </c>
      <c r="J35" s="55">
        <v>1.1399999999999999</v>
      </c>
      <c r="K35" s="55">
        <v>0.9</v>
      </c>
      <c r="L35" s="55">
        <v>1.67</v>
      </c>
      <c r="M35" s="55">
        <v>1.25</v>
      </c>
      <c r="N35" s="55">
        <v>0.92</v>
      </c>
      <c r="O35" s="55">
        <v>1.48</v>
      </c>
      <c r="P35" s="55">
        <v>1</v>
      </c>
      <c r="Q35" s="56">
        <v>1.17</v>
      </c>
      <c r="R35" s="56">
        <v>1.39</v>
      </c>
      <c r="S35" s="56">
        <v>0.9</v>
      </c>
      <c r="T35" s="56">
        <v>0.45</v>
      </c>
      <c r="U35" s="56">
        <v>1.07</v>
      </c>
      <c r="V35" s="56">
        <v>0.85</v>
      </c>
      <c r="W35" s="52">
        <f>MAX(E35:V35)</f>
        <v>2.3199999999999998</v>
      </c>
      <c r="X35" s="52" t="str">
        <f>IF(W35=0,"STAND BY",IF(W35&lt;2.3,"NORMAL",IF(W35&lt;4.6,"PREWARNING",IF(W35&lt;7.2,"WARNING","ALARM"))))</f>
        <v>PREWARNING</v>
      </c>
      <c r="Y35" s="39"/>
      <c r="Z35" s="37" t="s">
        <v>48</v>
      </c>
    </row>
    <row r="36" spans="1:27" ht="15" customHeight="1" x14ac:dyDescent="0.3">
      <c r="A36" s="49"/>
      <c r="B36" s="52">
        <v>2</v>
      </c>
      <c r="C36" s="53" t="str">
        <f>'[1]INPUT EQUIPMENT'!B32</f>
        <v>Motor ID Fan 2#2</v>
      </c>
      <c r="D36" s="54" t="s">
        <v>64</v>
      </c>
      <c r="E36" s="55">
        <v>0.88</v>
      </c>
      <c r="F36" s="55">
        <v>0.97</v>
      </c>
      <c r="G36" s="55">
        <v>0.9</v>
      </c>
      <c r="H36" s="55">
        <v>1.42</v>
      </c>
      <c r="I36" s="52">
        <v>1.22</v>
      </c>
      <c r="J36" s="52">
        <v>0.76</v>
      </c>
      <c r="K36" s="52">
        <v>0.55000000000000004</v>
      </c>
      <c r="L36" s="52">
        <v>0.76</v>
      </c>
      <c r="M36" s="52">
        <v>2.34</v>
      </c>
      <c r="N36" s="52">
        <v>0.48</v>
      </c>
      <c r="O36" s="52">
        <v>0.63</v>
      </c>
      <c r="P36" s="52">
        <v>1.91</v>
      </c>
      <c r="Q36" s="56">
        <v>0.59</v>
      </c>
      <c r="R36" s="56">
        <v>0.89</v>
      </c>
      <c r="S36" s="56">
        <v>0.65</v>
      </c>
      <c r="T36" s="56">
        <v>0.87</v>
      </c>
      <c r="U36" s="56">
        <v>0.73</v>
      </c>
      <c r="V36" s="56">
        <v>1.64</v>
      </c>
      <c r="W36" s="52">
        <f t="shared" ref="W36:W85" si="41">MAX(E36:V36)</f>
        <v>2.34</v>
      </c>
      <c r="X36" s="52" t="str">
        <f t="shared" ref="X36:X40" si="42">IF(W36=0,"STAND BY",IF(W36&lt;2.3,"NORMAL",IF(W36&lt;4.6,"PREWARNING",IF(W36&lt;7.2,"WARNING","ALARM"))))</f>
        <v>PREWARNING</v>
      </c>
      <c r="Y36" s="39"/>
      <c r="Z36" s="37" t="s">
        <v>53</v>
      </c>
      <c r="AA36" s="38">
        <f>29+19</f>
        <v>48</v>
      </c>
    </row>
    <row r="37" spans="1:27" ht="15" customHeight="1" x14ac:dyDescent="0.3">
      <c r="A37" s="49"/>
      <c r="B37" s="52">
        <v>3</v>
      </c>
      <c r="C37" s="53" t="str">
        <f>'[1]INPUT EQUIPMENT'!B33</f>
        <v>Motor Primary Air Fan 1#2</v>
      </c>
      <c r="D37" s="54" t="s">
        <v>64</v>
      </c>
      <c r="E37" s="55">
        <v>0.47</v>
      </c>
      <c r="F37" s="55">
        <v>1.56</v>
      </c>
      <c r="G37" s="55">
        <v>1.03</v>
      </c>
      <c r="H37" s="55">
        <v>0.89</v>
      </c>
      <c r="I37" s="55">
        <v>1.3</v>
      </c>
      <c r="J37" s="55">
        <v>0.62</v>
      </c>
      <c r="K37" s="55">
        <v>0.93</v>
      </c>
      <c r="L37" s="55">
        <v>1.46</v>
      </c>
      <c r="M37" s="55">
        <v>0.82</v>
      </c>
      <c r="N37" s="55">
        <v>1.58</v>
      </c>
      <c r="O37" s="55">
        <v>2.3199999999999998</v>
      </c>
      <c r="P37" s="55">
        <v>1.1000000000000001</v>
      </c>
      <c r="Q37" s="59" t="s">
        <v>65</v>
      </c>
      <c r="R37" s="59" t="s">
        <v>65</v>
      </c>
      <c r="S37" s="59" t="s">
        <v>65</v>
      </c>
      <c r="T37" s="59" t="s">
        <v>65</v>
      </c>
      <c r="U37" s="59" t="s">
        <v>65</v>
      </c>
      <c r="V37" s="59" t="s">
        <v>65</v>
      </c>
      <c r="W37" s="52">
        <f t="shared" si="41"/>
        <v>2.3199999999999998</v>
      </c>
      <c r="X37" s="52" t="str">
        <f t="shared" si="42"/>
        <v>PREWARNING</v>
      </c>
      <c r="Y37" s="39"/>
      <c r="Z37" s="37" t="s">
        <v>52</v>
      </c>
      <c r="AA37" s="38">
        <f>AA36*AA40</f>
        <v>0.57600000000000007</v>
      </c>
    </row>
    <row r="38" spans="1:27" ht="15" customHeight="1" x14ac:dyDescent="0.3">
      <c r="A38" s="49"/>
      <c r="B38" s="52">
        <v>4</v>
      </c>
      <c r="C38" s="53" t="str">
        <f>'[1]INPUT EQUIPMENT'!B34</f>
        <v>Motor Primary Air Fan 2#2</v>
      </c>
      <c r="D38" s="54" t="s">
        <v>64</v>
      </c>
      <c r="E38" s="55">
        <v>0.91</v>
      </c>
      <c r="F38" s="55">
        <v>2.95</v>
      </c>
      <c r="G38" s="55">
        <v>1.1000000000000001</v>
      </c>
      <c r="H38" s="55">
        <v>1.7</v>
      </c>
      <c r="I38" s="55">
        <v>2.59</v>
      </c>
      <c r="J38" s="55">
        <v>0.83</v>
      </c>
      <c r="K38" s="55">
        <v>0.75</v>
      </c>
      <c r="L38" s="55">
        <v>2.3199999999999998</v>
      </c>
      <c r="M38" s="55">
        <v>1.44</v>
      </c>
      <c r="N38" s="55">
        <v>2.16</v>
      </c>
      <c r="O38" s="55">
        <v>2.63</v>
      </c>
      <c r="P38" s="55">
        <v>1.1399999999999999</v>
      </c>
      <c r="Q38" s="59" t="s">
        <v>65</v>
      </c>
      <c r="R38" s="59" t="s">
        <v>65</v>
      </c>
      <c r="S38" s="59" t="s">
        <v>65</v>
      </c>
      <c r="T38" s="59" t="s">
        <v>65</v>
      </c>
      <c r="U38" s="59" t="s">
        <v>65</v>
      </c>
      <c r="V38" s="59" t="s">
        <v>65</v>
      </c>
      <c r="W38" s="52">
        <f t="shared" si="41"/>
        <v>2.95</v>
      </c>
      <c r="X38" s="52" t="str">
        <f t="shared" si="42"/>
        <v>PREWARNING</v>
      </c>
      <c r="Y38" s="39"/>
      <c r="Z38" s="37" t="s">
        <v>54</v>
      </c>
    </row>
    <row r="39" spans="1:27" ht="15" customHeight="1" x14ac:dyDescent="0.3">
      <c r="A39" s="49"/>
      <c r="B39" s="52">
        <v>5</v>
      </c>
      <c r="C39" s="53" t="str">
        <f>'[1]INPUT EQUIPMENT'!B35</f>
        <v>Motor Secondary Air Fan 1#2</v>
      </c>
      <c r="D39" s="54" t="s">
        <v>64</v>
      </c>
      <c r="E39" s="55">
        <v>3.01</v>
      </c>
      <c r="F39" s="55">
        <v>3</v>
      </c>
      <c r="G39" s="55">
        <v>3.34</v>
      </c>
      <c r="H39" s="55">
        <v>2.13</v>
      </c>
      <c r="I39" s="55">
        <v>2.74</v>
      </c>
      <c r="J39" s="55">
        <v>2.86</v>
      </c>
      <c r="K39" s="55">
        <v>1.75</v>
      </c>
      <c r="L39" s="55">
        <v>1.49</v>
      </c>
      <c r="M39" s="55">
        <v>1.06</v>
      </c>
      <c r="N39" s="55">
        <v>0.81</v>
      </c>
      <c r="O39" s="55">
        <v>1.94</v>
      </c>
      <c r="P39" s="55">
        <v>1.04</v>
      </c>
      <c r="Q39" s="59" t="s">
        <v>65</v>
      </c>
      <c r="R39" s="59" t="s">
        <v>65</v>
      </c>
      <c r="S39" s="59" t="s">
        <v>65</v>
      </c>
      <c r="T39" s="59" t="s">
        <v>65</v>
      </c>
      <c r="U39" s="59" t="s">
        <v>65</v>
      </c>
      <c r="V39" s="59" t="s">
        <v>65</v>
      </c>
      <c r="W39" s="52">
        <f t="shared" si="41"/>
        <v>3.34</v>
      </c>
      <c r="X39" s="52" t="str">
        <f>IF(W39=0,"STAND BY",IF(W39&lt;2.3,"NORMAL",IF(W39&lt;4.6,"PREWARNING",IF(W39&lt;7.2,"WARNING","ALARM"))))</f>
        <v>PREWARNING</v>
      </c>
      <c r="Y39" s="39"/>
    </row>
    <row r="40" spans="1:27" ht="15" customHeight="1" x14ac:dyDescent="0.3">
      <c r="A40" s="49"/>
      <c r="B40" s="52">
        <v>6</v>
      </c>
      <c r="C40" s="53" t="str">
        <f>'[1]INPUT EQUIPMENT'!B36</f>
        <v>Motor Secondary Air Fan 2#2</v>
      </c>
      <c r="D40" s="54" t="s">
        <v>64</v>
      </c>
      <c r="E40" s="55">
        <v>1.36</v>
      </c>
      <c r="F40" s="55">
        <v>1.27</v>
      </c>
      <c r="G40" s="55">
        <v>1.2</v>
      </c>
      <c r="H40" s="55">
        <v>0.34</v>
      </c>
      <c r="I40" s="55">
        <v>2.59</v>
      </c>
      <c r="J40" s="55">
        <v>0.84</v>
      </c>
      <c r="K40" s="55">
        <v>1.18</v>
      </c>
      <c r="L40" s="55">
        <v>1.73</v>
      </c>
      <c r="M40" s="55">
        <v>1.01</v>
      </c>
      <c r="N40" s="55">
        <v>0.85</v>
      </c>
      <c r="O40" s="55">
        <v>1.3</v>
      </c>
      <c r="P40" s="55">
        <v>0.97</v>
      </c>
      <c r="Q40" s="59" t="s">
        <v>65</v>
      </c>
      <c r="R40" s="59" t="s">
        <v>65</v>
      </c>
      <c r="S40" s="59" t="s">
        <v>65</v>
      </c>
      <c r="T40" s="59" t="s">
        <v>65</v>
      </c>
      <c r="U40" s="59" t="s">
        <v>65</v>
      </c>
      <c r="V40" s="59" t="s">
        <v>65</v>
      </c>
      <c r="W40" s="52">
        <f t="shared" si="41"/>
        <v>2.59</v>
      </c>
      <c r="X40" s="52" t="str">
        <f t="shared" si="42"/>
        <v>PREWARNING</v>
      </c>
      <c r="Y40" s="39"/>
      <c r="AA40" s="38">
        <v>1.2E-2</v>
      </c>
    </row>
    <row r="41" spans="1:27" ht="15" customHeight="1" x14ac:dyDescent="0.3">
      <c r="A41" s="49"/>
      <c r="B41" s="52">
        <v>7</v>
      </c>
      <c r="C41" s="53" t="str">
        <f>'[1]INPUT EQUIPMENT'!B37</f>
        <v>Turbin-Generator#2</v>
      </c>
      <c r="D41" s="54" t="s">
        <v>64</v>
      </c>
      <c r="E41" s="55">
        <v>0</v>
      </c>
      <c r="F41" s="55">
        <v>0</v>
      </c>
      <c r="G41" s="55">
        <v>0</v>
      </c>
      <c r="H41" s="55">
        <v>1.34</v>
      </c>
      <c r="I41" s="55">
        <v>1.4</v>
      </c>
      <c r="J41" s="55">
        <v>1.56</v>
      </c>
      <c r="K41" s="55">
        <v>1.6</v>
      </c>
      <c r="L41" s="55">
        <v>1.89</v>
      </c>
      <c r="M41" s="55">
        <v>0.94</v>
      </c>
      <c r="N41" s="55">
        <v>2.69</v>
      </c>
      <c r="O41" s="55">
        <v>1.81</v>
      </c>
      <c r="P41" s="55">
        <v>4.57</v>
      </c>
      <c r="Q41" s="59" t="s">
        <v>65</v>
      </c>
      <c r="R41" s="59" t="s">
        <v>65</v>
      </c>
      <c r="S41" s="59" t="s">
        <v>65</v>
      </c>
      <c r="T41" s="59" t="s">
        <v>65</v>
      </c>
      <c r="U41" s="59" t="s">
        <v>65</v>
      </c>
      <c r="V41" s="59" t="s">
        <v>65</v>
      </c>
      <c r="W41" s="52">
        <f t="shared" si="41"/>
        <v>4.57</v>
      </c>
      <c r="X41" s="52" t="str">
        <f>IF(W41=0,"STAND BY",IF(W41&lt;3.8,"NORMAL",IF(W41&lt;7.5,"PREWARNING",IF(W41&lt;10.1,"WARNING","ALARM"))))</f>
        <v>PREWARNING</v>
      </c>
      <c r="Y41" s="39"/>
      <c r="Z41" s="37" t="s">
        <v>55</v>
      </c>
    </row>
    <row r="42" spans="1:27" ht="15" customHeight="1" x14ac:dyDescent="0.3">
      <c r="A42" s="49"/>
      <c r="B42" s="52">
        <v>8</v>
      </c>
      <c r="C42" s="53" t="str">
        <f>'[1]INPUT EQUIPMENT'!B38</f>
        <v>Motor Condensat Pump 1#2</v>
      </c>
      <c r="D42" s="54" t="s">
        <v>66</v>
      </c>
      <c r="E42" s="55">
        <v>0</v>
      </c>
      <c r="F42" s="55">
        <v>0</v>
      </c>
      <c r="G42" s="55">
        <v>0</v>
      </c>
      <c r="H42" s="55">
        <v>0</v>
      </c>
      <c r="I42" s="55">
        <v>0</v>
      </c>
      <c r="J42" s="55">
        <v>0</v>
      </c>
      <c r="K42" s="55">
        <v>0</v>
      </c>
      <c r="L42" s="55">
        <v>0</v>
      </c>
      <c r="M42" s="55">
        <v>0</v>
      </c>
      <c r="N42" s="59" t="s">
        <v>65</v>
      </c>
      <c r="O42" s="59" t="s">
        <v>65</v>
      </c>
      <c r="P42" s="59" t="s">
        <v>65</v>
      </c>
      <c r="Q42" s="59" t="s">
        <v>65</v>
      </c>
      <c r="R42" s="59" t="s">
        <v>65</v>
      </c>
      <c r="S42" s="59" t="s">
        <v>65</v>
      </c>
      <c r="T42" s="59" t="s">
        <v>65</v>
      </c>
      <c r="U42" s="59" t="s">
        <v>65</v>
      </c>
      <c r="V42" s="59" t="s">
        <v>65</v>
      </c>
      <c r="W42" s="52">
        <f t="shared" si="41"/>
        <v>0</v>
      </c>
      <c r="X42" s="52" t="str">
        <f t="shared" ref="X42" si="43">IF(W42=0,"STAND BY",IF(W42&lt;1.5,"NORMAL",IF(W42&lt;2.81,"PREWARNING",IF(W42&lt;4.5,"WARNING","ALARM"))))</f>
        <v>STAND BY</v>
      </c>
      <c r="Y42" s="39"/>
      <c r="Z42" s="37" t="s">
        <v>45</v>
      </c>
    </row>
    <row r="43" spans="1:27" ht="15" customHeight="1" x14ac:dyDescent="0.3">
      <c r="A43" s="49"/>
      <c r="B43" s="52">
        <v>9</v>
      </c>
      <c r="C43" s="53" t="str">
        <f>'[1]INPUT EQUIPMENT'!B39</f>
        <v>Motor Condensat Pump 2#2</v>
      </c>
      <c r="D43" s="54" t="s">
        <v>66</v>
      </c>
      <c r="E43" s="52">
        <v>3.75</v>
      </c>
      <c r="F43" s="52">
        <v>2.42</v>
      </c>
      <c r="G43" s="52">
        <v>0</v>
      </c>
      <c r="H43" s="52">
        <v>1.23</v>
      </c>
      <c r="I43" s="52">
        <v>0.88</v>
      </c>
      <c r="J43" s="52">
        <v>0.79</v>
      </c>
      <c r="K43" s="52">
        <v>0.5</v>
      </c>
      <c r="L43" s="52">
        <v>0.51</v>
      </c>
      <c r="M43" s="52">
        <v>0.91</v>
      </c>
      <c r="N43" s="59" t="s">
        <v>65</v>
      </c>
      <c r="O43" s="59" t="s">
        <v>65</v>
      </c>
      <c r="P43" s="59" t="s">
        <v>65</v>
      </c>
      <c r="Q43" s="59" t="s">
        <v>65</v>
      </c>
      <c r="R43" s="59" t="s">
        <v>65</v>
      </c>
      <c r="S43" s="59" t="s">
        <v>65</v>
      </c>
      <c r="T43" s="59" t="s">
        <v>65</v>
      </c>
      <c r="U43" s="59" t="s">
        <v>65</v>
      </c>
      <c r="V43" s="59" t="s">
        <v>65</v>
      </c>
      <c r="W43" s="52">
        <f t="shared" si="41"/>
        <v>3.75</v>
      </c>
      <c r="X43" s="52" t="str">
        <f>IF(W43=0,"STAND BY",IF(W43&lt;1.4,"NORMAL",IF(W43&lt;2.81,"PREWARNING",IF(W43&lt;4.5,"WARNING","ALARM"))))</f>
        <v>WARNING</v>
      </c>
      <c r="Y43" s="39"/>
      <c r="Z43" s="37" t="s">
        <v>46</v>
      </c>
      <c r="AA43" s="38">
        <v>3.4</v>
      </c>
    </row>
    <row r="44" spans="1:27" ht="15" customHeight="1" x14ac:dyDescent="0.3">
      <c r="A44" s="49"/>
      <c r="B44" s="52">
        <v>10</v>
      </c>
      <c r="C44" s="53" t="str">
        <f>'[1]INPUT EQUIPMENT'!B40</f>
        <v>Motor Vacuum Pump 1#2</v>
      </c>
      <c r="D44" s="54" t="s">
        <v>66</v>
      </c>
      <c r="E44" s="52">
        <v>0.45</v>
      </c>
      <c r="F44" s="52">
        <v>0.41</v>
      </c>
      <c r="G44" s="52">
        <v>0.36</v>
      </c>
      <c r="H44" s="52">
        <v>0.61</v>
      </c>
      <c r="I44" s="52">
        <v>0.78</v>
      </c>
      <c r="J44" s="52">
        <v>0.62</v>
      </c>
      <c r="K44" s="52">
        <v>0.95</v>
      </c>
      <c r="L44" s="52">
        <v>1.32</v>
      </c>
      <c r="M44" s="52">
        <v>0.62</v>
      </c>
      <c r="N44" s="52">
        <v>1.86</v>
      </c>
      <c r="O44" s="52">
        <v>1.99</v>
      </c>
      <c r="P44" s="52">
        <v>0.37</v>
      </c>
      <c r="Q44" s="59" t="s">
        <v>65</v>
      </c>
      <c r="R44" s="59" t="s">
        <v>65</v>
      </c>
      <c r="S44" s="59" t="s">
        <v>65</v>
      </c>
      <c r="T44" s="59" t="s">
        <v>65</v>
      </c>
      <c r="U44" s="59" t="s">
        <v>65</v>
      </c>
      <c r="V44" s="59" t="s">
        <v>65</v>
      </c>
      <c r="W44" s="52">
        <f t="shared" si="41"/>
        <v>1.99</v>
      </c>
      <c r="X44" s="52" t="str">
        <f>IF(W44=0,"STAND BY",IF(W44&lt;1.4,"NORMAL",IF(W44&lt;2.81,"PREWARNING",IF(W44&lt;4.5,"WARNING","ALARM"))))</f>
        <v>PREWARNING</v>
      </c>
      <c r="Y44" s="39"/>
      <c r="AA44" s="38">
        <f>AA43-AA37</f>
        <v>2.8239999999999998</v>
      </c>
    </row>
    <row r="45" spans="1:27" ht="15" customHeight="1" x14ac:dyDescent="0.3">
      <c r="A45" s="49"/>
      <c r="B45" s="52">
        <v>11</v>
      </c>
      <c r="C45" s="53" t="str">
        <f>'[1]INPUT EQUIPMENT'!B41</f>
        <v>Motor Vacuum Pump 2#2</v>
      </c>
      <c r="D45" s="54" t="s">
        <v>66</v>
      </c>
      <c r="E45" s="52">
        <v>0.8</v>
      </c>
      <c r="F45" s="52">
        <v>0.56999999999999995</v>
      </c>
      <c r="G45" s="52">
        <v>1.0900000000000001</v>
      </c>
      <c r="H45" s="52">
        <v>1.6</v>
      </c>
      <c r="I45" s="52">
        <v>2.06</v>
      </c>
      <c r="J45" s="52">
        <v>1.43</v>
      </c>
      <c r="K45" s="52">
        <v>1.95</v>
      </c>
      <c r="L45" s="52">
        <v>1.76</v>
      </c>
      <c r="M45" s="52">
        <v>1.25</v>
      </c>
      <c r="N45" s="52">
        <v>2.31</v>
      </c>
      <c r="O45" s="52">
        <v>2.79</v>
      </c>
      <c r="P45" s="52">
        <v>1.32</v>
      </c>
      <c r="Q45" s="59" t="s">
        <v>65</v>
      </c>
      <c r="R45" s="59" t="s">
        <v>65</v>
      </c>
      <c r="S45" s="59" t="s">
        <v>65</v>
      </c>
      <c r="T45" s="59" t="s">
        <v>65</v>
      </c>
      <c r="U45" s="59" t="s">
        <v>65</v>
      </c>
      <c r="V45" s="59" t="s">
        <v>65</v>
      </c>
      <c r="W45" s="52">
        <f t="shared" si="41"/>
        <v>2.79</v>
      </c>
      <c r="X45" s="52" t="str">
        <f t="shared" ref="X45" si="44">IF(W45=0,"STAND BY",IF(W45&lt;1.5,"NORMAL",IF(W45&lt;2.81,"PREWARNING",IF(W45&lt;4.5,"WARNING","ALARM"))))</f>
        <v>PREWARNING</v>
      </c>
      <c r="Y45" s="39"/>
      <c r="Z45" s="37" t="s">
        <v>56</v>
      </c>
      <c r="AA45" s="38">
        <v>1.7</v>
      </c>
    </row>
    <row r="46" spans="1:27" ht="15" customHeight="1" x14ac:dyDescent="0.3">
      <c r="A46" s="49"/>
      <c r="B46" s="52">
        <v>12</v>
      </c>
      <c r="C46" s="53" t="str">
        <f>'[1]INPUT EQUIPMENT'!B42</f>
        <v>Motor Boiler Feed Pump 1#2</v>
      </c>
      <c r="D46" s="54" t="s">
        <v>66</v>
      </c>
      <c r="E46" s="52">
        <v>0</v>
      </c>
      <c r="F46" s="52">
        <v>0</v>
      </c>
      <c r="G46" s="52">
        <v>0</v>
      </c>
      <c r="H46" s="52">
        <v>0</v>
      </c>
      <c r="I46" s="52">
        <v>0</v>
      </c>
      <c r="J46" s="52">
        <v>0</v>
      </c>
      <c r="K46" s="52">
        <v>0</v>
      </c>
      <c r="L46" s="52">
        <v>0</v>
      </c>
      <c r="M46" s="52">
        <v>0</v>
      </c>
      <c r="N46" s="52">
        <v>0</v>
      </c>
      <c r="O46" s="52">
        <v>0</v>
      </c>
      <c r="P46" s="52">
        <v>0</v>
      </c>
      <c r="Q46" s="56">
        <v>0</v>
      </c>
      <c r="R46" s="56">
        <v>0</v>
      </c>
      <c r="S46" s="56">
        <v>0</v>
      </c>
      <c r="T46" s="56">
        <v>0</v>
      </c>
      <c r="U46" s="56">
        <v>0</v>
      </c>
      <c r="V46" s="56">
        <v>0</v>
      </c>
      <c r="W46" s="52">
        <f t="shared" si="41"/>
        <v>0</v>
      </c>
      <c r="X46" s="52" t="str">
        <f t="shared" ref="X46:X47" si="45">IF(W46=0,"STAND BY",IF(W46&lt;2.4,"NORMAL",IF(W46&lt;4.6,"PREWARNING",IF(W46&lt;7.2,"WARNING","ALARM"))))</f>
        <v>STAND BY</v>
      </c>
      <c r="Y46" s="39"/>
      <c r="AA46" s="38">
        <f>AA44-AA45</f>
        <v>1.1239999999999999</v>
      </c>
    </row>
    <row r="47" spans="1:27" ht="15" customHeight="1" x14ac:dyDescent="0.3">
      <c r="A47" s="49"/>
      <c r="B47" s="52">
        <v>13</v>
      </c>
      <c r="C47" s="53" t="str">
        <f>'[1]INPUT EQUIPMENT'!B43</f>
        <v>Motor Boiler Feed Pump 2#2</v>
      </c>
      <c r="D47" s="54" t="s">
        <v>66</v>
      </c>
      <c r="E47" s="52">
        <v>0.78</v>
      </c>
      <c r="F47" s="52">
        <v>1.0900000000000001</v>
      </c>
      <c r="G47" s="52">
        <v>0.89</v>
      </c>
      <c r="H47" s="52">
        <v>0.77</v>
      </c>
      <c r="I47" s="52">
        <v>1.07</v>
      </c>
      <c r="J47" s="52">
        <v>1.51</v>
      </c>
      <c r="K47" s="52">
        <v>0.5</v>
      </c>
      <c r="L47" s="52">
        <v>0.52</v>
      </c>
      <c r="M47" s="52">
        <v>0.61</v>
      </c>
      <c r="N47" s="52">
        <v>0.35</v>
      </c>
      <c r="O47" s="52">
        <v>0.45</v>
      </c>
      <c r="P47" s="52">
        <v>0.81</v>
      </c>
      <c r="Q47" s="56">
        <v>1.19</v>
      </c>
      <c r="R47" s="56">
        <v>1.01</v>
      </c>
      <c r="S47" s="56">
        <v>0.49</v>
      </c>
      <c r="T47" s="56">
        <v>0.45</v>
      </c>
      <c r="U47" s="56">
        <v>0.89</v>
      </c>
      <c r="V47" s="56">
        <v>0.31</v>
      </c>
      <c r="W47" s="52">
        <f t="shared" si="41"/>
        <v>1.51</v>
      </c>
      <c r="X47" s="52" t="str">
        <f t="shared" si="45"/>
        <v>NORMAL</v>
      </c>
      <c r="Y47" s="39"/>
      <c r="Z47" s="37" t="s">
        <v>55</v>
      </c>
      <c r="AA47" s="38">
        <f>AA46/AA40</f>
        <v>93.666666666666657</v>
      </c>
    </row>
    <row r="48" spans="1:27" ht="15" customHeight="1" x14ac:dyDescent="0.3">
      <c r="A48" s="49"/>
      <c r="B48" s="52">
        <v>14</v>
      </c>
      <c r="C48" s="53" t="str">
        <f>'[1]INPUT EQUIPMENT'!B44</f>
        <v>Motor CCCWP 1#2</v>
      </c>
      <c r="D48" s="54" t="s">
        <v>66</v>
      </c>
      <c r="E48" s="52">
        <v>0</v>
      </c>
      <c r="F48" s="52">
        <v>0</v>
      </c>
      <c r="G48" s="59" t="s">
        <v>65</v>
      </c>
      <c r="H48" s="52">
        <v>0</v>
      </c>
      <c r="I48" s="52">
        <v>0</v>
      </c>
      <c r="J48" s="52">
        <v>0</v>
      </c>
      <c r="K48" s="52">
        <v>0</v>
      </c>
      <c r="L48" s="52">
        <v>0</v>
      </c>
      <c r="M48" s="52">
        <v>0</v>
      </c>
      <c r="N48" s="59" t="s">
        <v>65</v>
      </c>
      <c r="O48" s="59" t="s">
        <v>65</v>
      </c>
      <c r="P48" s="59" t="s">
        <v>65</v>
      </c>
      <c r="Q48" s="59" t="s">
        <v>65</v>
      </c>
      <c r="R48" s="59" t="s">
        <v>65</v>
      </c>
      <c r="S48" s="59" t="s">
        <v>65</v>
      </c>
      <c r="T48" s="59" t="s">
        <v>65</v>
      </c>
      <c r="U48" s="59" t="s">
        <v>65</v>
      </c>
      <c r="V48" s="59" t="s">
        <v>65</v>
      </c>
      <c r="W48" s="52">
        <f t="shared" si="41"/>
        <v>0</v>
      </c>
      <c r="X48" s="52" t="str">
        <f t="shared" ref="X48" si="46">IF(W48=0,"STAND BY",IF(W48&lt;1.5,"NORMAL",IF(W48&lt;2.81,"PREWARNING",IF(W48&lt;4.5,"WARNING","ALARM"))))</f>
        <v>STAND BY</v>
      </c>
      <c r="Y48" s="39"/>
      <c r="Z48" s="37" t="s">
        <v>46</v>
      </c>
    </row>
    <row r="49" spans="1:30" ht="15" customHeight="1" x14ac:dyDescent="0.3">
      <c r="A49" s="49"/>
      <c r="B49" s="52">
        <v>15</v>
      </c>
      <c r="C49" s="53" t="str">
        <f>'[1]INPUT EQUIPMENT'!B45</f>
        <v>Motor CCCWP 2#2</v>
      </c>
      <c r="D49" s="54" t="s">
        <v>66</v>
      </c>
      <c r="E49" s="52">
        <v>1</v>
      </c>
      <c r="F49" s="52">
        <v>0.9</v>
      </c>
      <c r="G49" s="59" t="s">
        <v>65</v>
      </c>
      <c r="H49" s="52">
        <v>0.64</v>
      </c>
      <c r="I49" s="52">
        <v>0.71</v>
      </c>
      <c r="J49" s="52">
        <v>0.87</v>
      </c>
      <c r="K49" s="52">
        <v>0.46</v>
      </c>
      <c r="L49" s="52">
        <v>0.5</v>
      </c>
      <c r="M49" s="52">
        <v>0.55000000000000004</v>
      </c>
      <c r="N49" s="59" t="s">
        <v>65</v>
      </c>
      <c r="O49" s="59" t="s">
        <v>65</v>
      </c>
      <c r="P49" s="59" t="s">
        <v>65</v>
      </c>
      <c r="Q49" s="59" t="s">
        <v>65</v>
      </c>
      <c r="R49" s="59" t="s">
        <v>65</v>
      </c>
      <c r="S49" s="59" t="s">
        <v>65</v>
      </c>
      <c r="T49" s="59" t="s">
        <v>65</v>
      </c>
      <c r="U49" s="59" t="s">
        <v>65</v>
      </c>
      <c r="V49" s="59" t="s">
        <v>65</v>
      </c>
      <c r="W49" s="52">
        <f t="shared" si="41"/>
        <v>1</v>
      </c>
      <c r="X49" s="52" t="str">
        <f>IF(W49=0,"STAND BY",IF(W49&lt;1.5,"NORMAL",IF(W49&lt;2.81,"PREWARNING",IF(W49&lt;4.5,"WARNING","ALARM"))))</f>
        <v>NORMAL</v>
      </c>
      <c r="Y49" s="39"/>
      <c r="Z49" s="37" t="s">
        <v>45</v>
      </c>
    </row>
    <row r="50" spans="1:30" ht="15" customHeight="1" x14ac:dyDescent="0.3">
      <c r="A50" s="49"/>
      <c r="B50" s="52">
        <v>16</v>
      </c>
      <c r="C50" s="53" t="s">
        <v>73</v>
      </c>
      <c r="D50" s="54" t="s">
        <v>66</v>
      </c>
      <c r="E50" s="52">
        <v>1.19</v>
      </c>
      <c r="F50" s="52">
        <v>1.52</v>
      </c>
      <c r="G50" s="52">
        <v>0.87</v>
      </c>
      <c r="H50" s="52">
        <v>0.83</v>
      </c>
      <c r="I50" s="52">
        <v>1.04</v>
      </c>
      <c r="J50" s="52">
        <v>0.5</v>
      </c>
      <c r="K50" s="52">
        <v>0.4</v>
      </c>
      <c r="L50" s="52">
        <v>0.44</v>
      </c>
      <c r="M50" s="52">
        <v>0.55000000000000004</v>
      </c>
      <c r="N50" s="59" t="s">
        <v>65</v>
      </c>
      <c r="O50" s="59" t="s">
        <v>65</v>
      </c>
      <c r="P50" s="59" t="s">
        <v>65</v>
      </c>
      <c r="Q50" s="59" t="s">
        <v>65</v>
      </c>
      <c r="R50" s="59" t="s">
        <v>65</v>
      </c>
      <c r="S50" s="59" t="s">
        <v>65</v>
      </c>
      <c r="T50" s="59" t="s">
        <v>65</v>
      </c>
      <c r="U50" s="59" t="s">
        <v>65</v>
      </c>
      <c r="V50" s="59" t="s">
        <v>65</v>
      </c>
      <c r="W50" s="52">
        <f t="shared" si="41"/>
        <v>1.52</v>
      </c>
      <c r="X50" s="52" t="str">
        <f>IF(W50=0,"STAND BY",IF(W50&lt;1.5,"NORMAL",IF(W50&lt;2.81,"PREWARNING",IF(W50&lt;4.5,"WARNING","ALARM"))))</f>
        <v>PREWARNING</v>
      </c>
      <c r="Y50" s="39"/>
      <c r="Z50" s="37" t="s">
        <v>45</v>
      </c>
    </row>
    <row r="51" spans="1:30" ht="15" customHeight="1" x14ac:dyDescent="0.3">
      <c r="A51" s="49"/>
      <c r="B51" s="52">
        <v>17</v>
      </c>
      <c r="C51" s="53" t="str">
        <f>'[1]INPUT EQUIPMENT'!B46</f>
        <v>Motor CWP 355 Kw 1#2</v>
      </c>
      <c r="D51" s="54" t="s">
        <v>66</v>
      </c>
      <c r="E51" s="52">
        <v>0</v>
      </c>
      <c r="F51" s="52">
        <v>0</v>
      </c>
      <c r="G51" s="52">
        <v>0</v>
      </c>
      <c r="H51" s="52">
        <v>0</v>
      </c>
      <c r="I51" s="52">
        <v>0</v>
      </c>
      <c r="J51" s="52">
        <v>0</v>
      </c>
      <c r="K51" s="52">
        <v>0</v>
      </c>
      <c r="L51" s="52">
        <v>0</v>
      </c>
      <c r="M51" s="52">
        <v>0</v>
      </c>
      <c r="N51" s="59" t="s">
        <v>65</v>
      </c>
      <c r="O51" s="59" t="s">
        <v>65</v>
      </c>
      <c r="P51" s="59" t="s">
        <v>65</v>
      </c>
      <c r="Q51" s="59" t="s">
        <v>65</v>
      </c>
      <c r="R51" s="59" t="s">
        <v>65</v>
      </c>
      <c r="S51" s="59" t="s">
        <v>65</v>
      </c>
      <c r="T51" s="59" t="s">
        <v>65</v>
      </c>
      <c r="U51" s="59" t="s">
        <v>65</v>
      </c>
      <c r="V51" s="59" t="s">
        <v>65</v>
      </c>
      <c r="W51" s="52">
        <f t="shared" si="41"/>
        <v>0</v>
      </c>
      <c r="X51" s="52" t="str">
        <f t="shared" ref="X51:X52" si="47">IF(W51=0,"STAND BY",IF(W51&lt;2.4,"NORMAL",IF(W51&lt;4.6,"PREWARNING",IF(W51&lt;7.2,"WARNING","ALARM"))))</f>
        <v>STAND BY</v>
      </c>
      <c r="Y51" s="39"/>
      <c r="Z51" s="37" t="s">
        <v>47</v>
      </c>
    </row>
    <row r="52" spans="1:30" ht="15" customHeight="1" x14ac:dyDescent="0.3">
      <c r="A52" s="49"/>
      <c r="B52" s="52">
        <v>18</v>
      </c>
      <c r="C52" s="53" t="str">
        <f>'[1]INPUT EQUIPMENT'!B47</f>
        <v>Motor CWP 355 Kw 2#2</v>
      </c>
      <c r="D52" s="54" t="s">
        <v>66</v>
      </c>
      <c r="E52" s="52">
        <v>0.82</v>
      </c>
      <c r="F52" s="52">
        <v>1.07</v>
      </c>
      <c r="G52" s="52">
        <v>0.55000000000000004</v>
      </c>
      <c r="H52" s="52">
        <v>1.39</v>
      </c>
      <c r="I52" s="52">
        <v>0.44</v>
      </c>
      <c r="J52" s="52">
        <v>1.4</v>
      </c>
      <c r="K52" s="52">
        <v>0</v>
      </c>
      <c r="L52" s="52">
        <v>0</v>
      </c>
      <c r="M52" s="52">
        <v>0</v>
      </c>
      <c r="N52" s="59" t="s">
        <v>65</v>
      </c>
      <c r="O52" s="59" t="s">
        <v>65</v>
      </c>
      <c r="P52" s="59" t="s">
        <v>65</v>
      </c>
      <c r="Q52" s="59" t="s">
        <v>65</v>
      </c>
      <c r="R52" s="59" t="s">
        <v>65</v>
      </c>
      <c r="S52" s="59" t="s">
        <v>65</v>
      </c>
      <c r="T52" s="59" t="s">
        <v>65</v>
      </c>
      <c r="U52" s="59" t="s">
        <v>65</v>
      </c>
      <c r="V52" s="59" t="s">
        <v>65</v>
      </c>
      <c r="W52" s="52">
        <f t="shared" si="41"/>
        <v>1.4</v>
      </c>
      <c r="X52" s="52" t="str">
        <f t="shared" si="47"/>
        <v>NORMAL</v>
      </c>
      <c r="Y52" s="39"/>
      <c r="Z52" s="37" t="s">
        <v>47</v>
      </c>
    </row>
    <row r="53" spans="1:30" ht="15" customHeight="1" x14ac:dyDescent="0.3">
      <c r="A53" s="49"/>
      <c r="B53" s="52">
        <v>19</v>
      </c>
      <c r="C53" s="53" t="s">
        <v>74</v>
      </c>
      <c r="D53" s="54" t="s">
        <v>66</v>
      </c>
      <c r="E53" s="52">
        <v>0.33</v>
      </c>
      <c r="F53" s="52">
        <v>1.21</v>
      </c>
      <c r="G53" s="52">
        <v>0.39</v>
      </c>
      <c r="H53" s="52">
        <v>0.45</v>
      </c>
      <c r="I53" s="52">
        <v>0.85</v>
      </c>
      <c r="J53" s="52">
        <v>0.61</v>
      </c>
      <c r="K53" s="52">
        <v>2.2400000000000002</v>
      </c>
      <c r="L53" s="52">
        <v>2.74</v>
      </c>
      <c r="M53" s="52">
        <v>0.94</v>
      </c>
      <c r="N53" s="52">
        <v>1.43</v>
      </c>
      <c r="O53" s="52">
        <v>1.87</v>
      </c>
      <c r="P53" s="52">
        <v>0.74</v>
      </c>
      <c r="Q53" s="59" t="s">
        <v>65</v>
      </c>
      <c r="R53" s="59" t="s">
        <v>65</v>
      </c>
      <c r="S53" s="59" t="s">
        <v>65</v>
      </c>
      <c r="T53" s="59" t="s">
        <v>65</v>
      </c>
      <c r="U53" s="59" t="s">
        <v>65</v>
      </c>
      <c r="V53" s="59" t="s">
        <v>65</v>
      </c>
      <c r="W53" s="52">
        <f t="shared" si="41"/>
        <v>2.74</v>
      </c>
      <c r="X53" s="52" t="str">
        <f>IF(W53=0,"STAND BY",IF(W53&lt;1.4,"NORMAL",IF(W53&lt;2.81,"PREWARNING",IF(W53&lt;4.5,"WARNING","ALARM"))))</f>
        <v>PREWARNING</v>
      </c>
      <c r="Y53" s="39"/>
      <c r="Z53" s="37" t="s">
        <v>46</v>
      </c>
    </row>
    <row r="54" spans="1:30" ht="15" customHeight="1" x14ac:dyDescent="0.3">
      <c r="A54" s="49"/>
      <c r="B54" s="52">
        <v>20</v>
      </c>
      <c r="C54" s="53" t="s">
        <v>75</v>
      </c>
      <c r="D54" s="54" t="s">
        <v>66</v>
      </c>
      <c r="E54" s="52">
        <v>0.92</v>
      </c>
      <c r="F54" s="52">
        <v>0.94</v>
      </c>
      <c r="G54" s="52">
        <v>1.27</v>
      </c>
      <c r="H54" s="52">
        <v>0.95</v>
      </c>
      <c r="I54" s="52">
        <v>1.1399999999999999</v>
      </c>
      <c r="J54" s="52">
        <v>1.05</v>
      </c>
      <c r="K54" s="52">
        <v>1.26</v>
      </c>
      <c r="L54" s="52">
        <v>1.88</v>
      </c>
      <c r="M54" s="52">
        <v>0.59</v>
      </c>
      <c r="N54" s="52">
        <v>0.76</v>
      </c>
      <c r="O54" s="52">
        <v>1.19</v>
      </c>
      <c r="P54" s="52">
        <v>0.59</v>
      </c>
      <c r="Q54" s="59" t="s">
        <v>65</v>
      </c>
      <c r="R54" s="59" t="s">
        <v>65</v>
      </c>
      <c r="S54" s="59" t="s">
        <v>65</v>
      </c>
      <c r="T54" s="59" t="s">
        <v>65</v>
      </c>
      <c r="U54" s="59" t="s">
        <v>65</v>
      </c>
      <c r="V54" s="59" t="s">
        <v>65</v>
      </c>
      <c r="W54" s="52">
        <f t="shared" si="41"/>
        <v>1.88</v>
      </c>
      <c r="X54" s="52" t="str">
        <f t="shared" ref="X54" si="48">IF(W54=0,"STAND BY",IF(W54&lt;1.4,"NORMAL",IF(W54&lt;2.81,"PREWARNING",IF(W54&lt;4.5,"WARNING","ALARM"))))</f>
        <v>PREWARNING</v>
      </c>
      <c r="Y54" s="39"/>
      <c r="Z54" s="37" t="s">
        <v>46</v>
      </c>
    </row>
    <row r="55" spans="1:30" ht="21" customHeight="1" x14ac:dyDescent="0.3">
      <c r="A55" s="41"/>
      <c r="B55" s="60"/>
      <c r="C55" s="60" t="str">
        <f>'[1]INPUT EQUIPMENT'!A48</f>
        <v>UNIT 3</v>
      </c>
      <c r="D55" s="60"/>
      <c r="E55" s="61"/>
      <c r="F55" s="61"/>
      <c r="G55" s="61"/>
      <c r="H55" s="61"/>
      <c r="I55" s="61"/>
      <c r="J55" s="61"/>
      <c r="K55" s="61"/>
      <c r="L55" s="61"/>
      <c r="M55" s="61"/>
      <c r="N55" s="61"/>
      <c r="O55" s="61"/>
      <c r="P55" s="61"/>
      <c r="Q55" s="61"/>
      <c r="R55" s="61"/>
      <c r="S55" s="61"/>
      <c r="T55" s="61"/>
      <c r="U55" s="61"/>
      <c r="V55" s="61"/>
      <c r="W55" s="61"/>
      <c r="X55" s="61"/>
      <c r="Y55" s="39"/>
      <c r="AA55" s="48"/>
      <c r="AB55" s="48"/>
      <c r="AC55" s="40">
        <v>4</v>
      </c>
      <c r="AD55" s="40" t="s">
        <v>76</v>
      </c>
    </row>
    <row r="56" spans="1:30" ht="16.5" customHeight="1" x14ac:dyDescent="0.3">
      <c r="A56" s="62"/>
      <c r="B56" s="55">
        <v>1</v>
      </c>
      <c r="C56" s="53" t="str">
        <f>'[1]INPUT EQUIPMENT'!B49</f>
        <v>Motor ID Fan 1#3</v>
      </c>
      <c r="D56" s="55" t="s">
        <v>64</v>
      </c>
      <c r="E56" s="55">
        <v>0.56999999999999995</v>
      </c>
      <c r="F56" s="55">
        <v>0.75</v>
      </c>
      <c r="G56" s="55">
        <v>0.81</v>
      </c>
      <c r="H56" s="55">
        <v>0.87</v>
      </c>
      <c r="I56" s="55">
        <v>0.56999999999999995</v>
      </c>
      <c r="J56" s="55">
        <v>0.35</v>
      </c>
      <c r="K56" s="55">
        <v>0.66</v>
      </c>
      <c r="L56" s="55">
        <v>1.0900000000000001</v>
      </c>
      <c r="M56" s="55">
        <v>0.38</v>
      </c>
      <c r="N56" s="55">
        <v>0.44</v>
      </c>
      <c r="O56" s="55">
        <v>1.1299999999999999</v>
      </c>
      <c r="P56" s="55">
        <v>0.28000000000000003</v>
      </c>
      <c r="Q56" s="59" t="s">
        <v>65</v>
      </c>
      <c r="R56" s="59" t="s">
        <v>65</v>
      </c>
      <c r="S56" s="59" t="s">
        <v>65</v>
      </c>
      <c r="T56" s="59" t="s">
        <v>65</v>
      </c>
      <c r="U56" s="59" t="s">
        <v>65</v>
      </c>
      <c r="V56" s="59" t="s">
        <v>65</v>
      </c>
      <c r="W56" s="52">
        <f t="shared" si="41"/>
        <v>1.1299999999999999</v>
      </c>
      <c r="X56" s="52" t="str">
        <f>IF(W56=0,"STAND BY",IF(W56&lt;2.4,"NORMAL",IF(W56&lt;4.6,"PREWARNING",IF(W56&lt;7.2,"WARNING","ALARM"))))</f>
        <v>NORMAL</v>
      </c>
      <c r="Y56" s="39"/>
      <c r="Z56" s="37" t="s">
        <v>54</v>
      </c>
      <c r="AA56" s="48"/>
      <c r="AB56" s="48"/>
      <c r="AC56" s="40">
        <v>5</v>
      </c>
      <c r="AD56" s="40" t="s">
        <v>77</v>
      </c>
    </row>
    <row r="57" spans="1:30" ht="15" customHeight="1" x14ac:dyDescent="0.3">
      <c r="A57" s="62"/>
      <c r="B57" s="55">
        <v>2</v>
      </c>
      <c r="C57" s="53" t="str">
        <f>'[1]INPUT EQUIPMENT'!B50</f>
        <v>Motor ID Fan 2#3</v>
      </c>
      <c r="D57" s="55" t="s">
        <v>64</v>
      </c>
      <c r="E57" s="55">
        <v>0.3</v>
      </c>
      <c r="F57" s="55">
        <v>0.5</v>
      </c>
      <c r="G57" s="55">
        <v>0.46</v>
      </c>
      <c r="H57" s="55">
        <v>0.45</v>
      </c>
      <c r="I57" s="55">
        <v>0.57999999999999996</v>
      </c>
      <c r="J57" s="55">
        <v>0.41</v>
      </c>
      <c r="K57" s="55">
        <v>0.33</v>
      </c>
      <c r="L57" s="55">
        <v>0.47</v>
      </c>
      <c r="M57" s="55">
        <v>0.33</v>
      </c>
      <c r="N57" s="55">
        <v>0.52</v>
      </c>
      <c r="O57" s="55">
        <v>0.68</v>
      </c>
      <c r="P57" s="55">
        <v>0.32</v>
      </c>
      <c r="Q57" s="59" t="s">
        <v>65</v>
      </c>
      <c r="R57" s="59" t="s">
        <v>65</v>
      </c>
      <c r="S57" s="59" t="s">
        <v>65</v>
      </c>
      <c r="T57" s="59" t="s">
        <v>65</v>
      </c>
      <c r="U57" s="59" t="s">
        <v>65</v>
      </c>
      <c r="V57" s="59" t="s">
        <v>65</v>
      </c>
      <c r="W57" s="52">
        <f t="shared" si="41"/>
        <v>0.68</v>
      </c>
      <c r="X57" s="52" t="str">
        <f>IF(W57=0,"STAND BY",IF(W57&lt;2.4,"NORMAL",IF(W57&lt;4.6,"PREWARNING",IF(W57&lt;7.2,"WARNING","ALARM"))))</f>
        <v>NORMAL</v>
      </c>
      <c r="Y57" s="39"/>
      <c r="Z57" s="37" t="s">
        <v>50</v>
      </c>
      <c r="AC57" s="40">
        <v>6</v>
      </c>
      <c r="AD57" s="40" t="s">
        <v>78</v>
      </c>
    </row>
    <row r="58" spans="1:30" ht="15" customHeight="1" x14ac:dyDescent="0.3">
      <c r="A58" s="62"/>
      <c r="B58" s="55">
        <v>3</v>
      </c>
      <c r="C58" s="53" t="str">
        <f>'[1]INPUT EQUIPMENT'!B51</f>
        <v>Motor Primary Air Fan#3</v>
      </c>
      <c r="D58" s="55" t="s">
        <v>64</v>
      </c>
      <c r="E58" s="55">
        <v>1.87</v>
      </c>
      <c r="F58" s="55">
        <v>1.97</v>
      </c>
      <c r="G58" s="55">
        <v>1.43</v>
      </c>
      <c r="H58" s="55">
        <v>1.52</v>
      </c>
      <c r="I58" s="55">
        <v>2.2400000000000002</v>
      </c>
      <c r="J58" s="55">
        <v>1.65</v>
      </c>
      <c r="K58" s="55">
        <v>1.4</v>
      </c>
      <c r="L58" s="55">
        <v>1.47</v>
      </c>
      <c r="M58" s="55">
        <v>1.32</v>
      </c>
      <c r="N58" s="55">
        <v>1.78</v>
      </c>
      <c r="O58" s="55">
        <v>2.35</v>
      </c>
      <c r="P58" s="55">
        <v>1.35</v>
      </c>
      <c r="Q58" s="59" t="s">
        <v>65</v>
      </c>
      <c r="R58" s="59" t="s">
        <v>65</v>
      </c>
      <c r="S58" s="59" t="s">
        <v>65</v>
      </c>
      <c r="T58" s="59" t="s">
        <v>65</v>
      </c>
      <c r="U58" s="59" t="s">
        <v>65</v>
      </c>
      <c r="V58" s="59" t="s">
        <v>65</v>
      </c>
      <c r="W58" s="52">
        <f t="shared" si="41"/>
        <v>2.35</v>
      </c>
      <c r="X58" s="52" t="str">
        <f>IF(W58=0,"STAND BY",IF(W58&lt;2.4,"NORMAL",IF(W58&lt;4.6,"PREWARNING",IF(W58&lt;7.2,"WARNING","ALARM"))))</f>
        <v>NORMAL</v>
      </c>
      <c r="Y58" s="39"/>
      <c r="Z58" s="37" t="s">
        <v>54</v>
      </c>
      <c r="AB58" s="63"/>
      <c r="AC58" s="40">
        <v>7</v>
      </c>
      <c r="AD58" s="40" t="s">
        <v>79</v>
      </c>
    </row>
    <row r="59" spans="1:30" ht="15" customHeight="1" x14ac:dyDescent="0.3">
      <c r="A59" s="62"/>
      <c r="B59" s="55">
        <v>4</v>
      </c>
      <c r="C59" s="53" t="str">
        <f>'[1]INPUT EQUIPMENT'!B52</f>
        <v>Motor Secondary Air Fan#3</v>
      </c>
      <c r="D59" s="55" t="s">
        <v>64</v>
      </c>
      <c r="E59" s="55">
        <v>1.61</v>
      </c>
      <c r="F59" s="55">
        <v>2.83</v>
      </c>
      <c r="G59" s="55">
        <v>1.1599999999999999</v>
      </c>
      <c r="H59" s="55">
        <v>2.08</v>
      </c>
      <c r="I59" s="55">
        <v>2.34</v>
      </c>
      <c r="J59" s="55">
        <v>1.51</v>
      </c>
      <c r="K59" s="55">
        <v>1.48</v>
      </c>
      <c r="L59" s="55">
        <v>1.58</v>
      </c>
      <c r="M59" s="55">
        <v>1.6</v>
      </c>
      <c r="N59" s="55">
        <v>2.27</v>
      </c>
      <c r="O59" s="55">
        <v>2.2799999999999998</v>
      </c>
      <c r="P59" s="55">
        <v>1.62</v>
      </c>
      <c r="Q59" s="59" t="s">
        <v>65</v>
      </c>
      <c r="R59" s="59" t="s">
        <v>65</v>
      </c>
      <c r="S59" s="59" t="s">
        <v>65</v>
      </c>
      <c r="T59" s="59" t="s">
        <v>65</v>
      </c>
      <c r="U59" s="59" t="s">
        <v>65</v>
      </c>
      <c r="V59" s="59" t="s">
        <v>65</v>
      </c>
      <c r="W59" s="52">
        <f t="shared" si="41"/>
        <v>2.83</v>
      </c>
      <c r="X59" s="52" t="str">
        <f>IF(W59=0,"STAND BY",IF(W59&lt;2.4,"NORMAL",IF(W59&lt;4.6,"PREWARNING",IF(W59&lt;7.2,"WARNING","ALARM"))))</f>
        <v>PREWARNING</v>
      </c>
      <c r="Y59" s="39"/>
      <c r="Z59" s="37" t="s">
        <v>52</v>
      </c>
      <c r="AC59" s="40">
        <v>8</v>
      </c>
      <c r="AD59" s="40" t="s">
        <v>80</v>
      </c>
    </row>
    <row r="60" spans="1:30" ht="15" customHeight="1" x14ac:dyDescent="0.3">
      <c r="A60" s="62"/>
      <c r="B60" s="55">
        <v>5</v>
      </c>
      <c r="C60" s="53" t="str">
        <f>'[1]INPUT EQUIPMENT'!B53</f>
        <v>Motor Recirculating Air Fan 1#3</v>
      </c>
      <c r="D60" s="55" t="s">
        <v>66</v>
      </c>
      <c r="E60" s="55">
        <v>0</v>
      </c>
      <c r="F60" s="55">
        <v>0</v>
      </c>
      <c r="G60" s="55">
        <v>0</v>
      </c>
      <c r="H60" s="55">
        <v>0</v>
      </c>
      <c r="I60" s="55">
        <v>0</v>
      </c>
      <c r="J60" s="55">
        <v>0</v>
      </c>
      <c r="K60" s="55">
        <v>0</v>
      </c>
      <c r="L60" s="55">
        <v>0</v>
      </c>
      <c r="M60" s="55">
        <v>0</v>
      </c>
      <c r="N60" s="55">
        <v>0</v>
      </c>
      <c r="O60" s="55">
        <v>0</v>
      </c>
      <c r="P60" s="55">
        <v>0</v>
      </c>
      <c r="Q60" s="55">
        <v>0</v>
      </c>
      <c r="R60" s="55">
        <v>0</v>
      </c>
      <c r="S60" s="55">
        <v>0</v>
      </c>
      <c r="T60" s="55">
        <v>0</v>
      </c>
      <c r="U60" s="55">
        <v>0</v>
      </c>
      <c r="V60" s="55">
        <v>0</v>
      </c>
      <c r="W60" s="52">
        <f t="shared" si="41"/>
        <v>0</v>
      </c>
      <c r="X60" s="52" t="str">
        <f t="shared" ref="X60:X61" si="49">IF(W60=0,"STAND BY",IF(W60&lt;2.4,"NORMAL",IF(W60&lt;4.6,"PREWARNING",IF(W60&lt;7.2,"WARNING","ALARM"))))</f>
        <v>STAND BY</v>
      </c>
      <c r="Y60" s="39"/>
      <c r="Z60" s="37" t="s">
        <v>58</v>
      </c>
      <c r="AC60" s="40">
        <v>9</v>
      </c>
      <c r="AD60" s="40" t="s">
        <v>81</v>
      </c>
    </row>
    <row r="61" spans="1:30" ht="15" customHeight="1" x14ac:dyDescent="0.3">
      <c r="A61" s="62"/>
      <c r="B61" s="55">
        <v>6</v>
      </c>
      <c r="C61" s="53" t="str">
        <f>'[1]INPUT EQUIPMENT'!B54</f>
        <v>Motor Recirculating Air Fan 2#3</v>
      </c>
      <c r="D61" s="55" t="s">
        <v>66</v>
      </c>
      <c r="E61" s="55">
        <v>1.19</v>
      </c>
      <c r="F61" s="55">
        <v>1.33</v>
      </c>
      <c r="G61" s="55">
        <v>0.89</v>
      </c>
      <c r="H61" s="55">
        <v>0.8</v>
      </c>
      <c r="I61" s="55">
        <v>1.32</v>
      </c>
      <c r="J61" s="55">
        <v>0.91</v>
      </c>
      <c r="K61" s="55">
        <v>2.36</v>
      </c>
      <c r="L61" s="55">
        <v>3.2</v>
      </c>
      <c r="M61" s="55">
        <v>2.66</v>
      </c>
      <c r="N61" s="55">
        <v>2.2400000000000002</v>
      </c>
      <c r="O61" s="55">
        <v>2.99</v>
      </c>
      <c r="P61" s="55">
        <v>2.57</v>
      </c>
      <c r="Q61" s="55">
        <v>2.1800000000000002</v>
      </c>
      <c r="R61" s="55">
        <v>2.97</v>
      </c>
      <c r="S61" s="55">
        <v>2.52</v>
      </c>
      <c r="T61" s="55">
        <v>2.14</v>
      </c>
      <c r="U61" s="55">
        <v>2.7</v>
      </c>
      <c r="V61" s="55">
        <v>2.36</v>
      </c>
      <c r="W61" s="52">
        <f t="shared" si="41"/>
        <v>3.2</v>
      </c>
      <c r="X61" s="52" t="str">
        <f t="shared" si="49"/>
        <v>PREWARNING</v>
      </c>
      <c r="Y61" s="39"/>
      <c r="Z61" s="37" t="s">
        <v>61</v>
      </c>
      <c r="AB61" s="63"/>
      <c r="AC61" s="40">
        <v>10</v>
      </c>
      <c r="AD61" s="40" t="s">
        <v>82</v>
      </c>
    </row>
    <row r="62" spans="1:30" ht="15" customHeight="1" x14ac:dyDescent="0.3">
      <c r="A62" s="49"/>
      <c r="B62" s="55">
        <v>7</v>
      </c>
      <c r="C62" s="53" t="str">
        <f>'[1]INPUT EQUIPMENT'!B55</f>
        <v>Turbin-Generator#3</v>
      </c>
      <c r="D62" s="55" t="s">
        <v>66</v>
      </c>
      <c r="E62" s="55">
        <v>2.06</v>
      </c>
      <c r="F62" s="55">
        <v>1.1000000000000001</v>
      </c>
      <c r="G62" s="55">
        <v>0.89</v>
      </c>
      <c r="H62" s="55">
        <v>2.69</v>
      </c>
      <c r="I62" s="55">
        <v>1.92</v>
      </c>
      <c r="J62" s="55">
        <v>2.63</v>
      </c>
      <c r="K62" s="55">
        <v>0.46</v>
      </c>
      <c r="L62" s="55">
        <v>1.17</v>
      </c>
      <c r="M62" s="55">
        <v>2.79</v>
      </c>
      <c r="N62" s="55">
        <v>0.85</v>
      </c>
      <c r="O62" s="55">
        <v>0.63</v>
      </c>
      <c r="P62" s="55">
        <v>1.0900000000000001</v>
      </c>
      <c r="Q62" s="59" t="s">
        <v>65</v>
      </c>
      <c r="R62" s="59" t="s">
        <v>65</v>
      </c>
      <c r="S62" s="59" t="s">
        <v>65</v>
      </c>
      <c r="T62" s="59" t="s">
        <v>65</v>
      </c>
      <c r="U62" s="59" t="s">
        <v>65</v>
      </c>
      <c r="V62" s="59" t="s">
        <v>65</v>
      </c>
      <c r="W62" s="52">
        <f t="shared" si="41"/>
        <v>2.79</v>
      </c>
      <c r="X62" s="52" t="str">
        <f>IF(W62=0,"STAND BY",IF(W62&lt;3.8,"NORMAL",IF(W62&lt;7.5,"PREWARNING",IF(W62&lt;11.8,"WARNING","ALARM"))))</f>
        <v>NORMAL</v>
      </c>
      <c r="Y62" s="39"/>
      <c r="Z62" s="37" t="s">
        <v>56</v>
      </c>
      <c r="AA62" s="64"/>
    </row>
    <row r="63" spans="1:30" ht="15" customHeight="1" x14ac:dyDescent="0.3">
      <c r="A63" s="49"/>
      <c r="B63" s="55">
        <v>8</v>
      </c>
      <c r="C63" s="53" t="str">
        <f>'[1]INPUT EQUIPMENT'!B56</f>
        <v>Motor Condensat Pump 1#3</v>
      </c>
      <c r="D63" s="55" t="s">
        <v>66</v>
      </c>
      <c r="E63" s="55">
        <v>0.95</v>
      </c>
      <c r="F63" s="55">
        <v>2.06</v>
      </c>
      <c r="G63" s="55">
        <v>0.28000000000000003</v>
      </c>
      <c r="H63" s="55">
        <v>0.96</v>
      </c>
      <c r="I63" s="55">
        <v>1.88</v>
      </c>
      <c r="J63" s="55">
        <v>0.72</v>
      </c>
      <c r="K63" s="55">
        <v>1.22</v>
      </c>
      <c r="L63" s="55">
        <v>1.55</v>
      </c>
      <c r="M63" s="55">
        <v>0.68</v>
      </c>
      <c r="N63" s="55">
        <v>1.27</v>
      </c>
      <c r="O63" s="55">
        <v>1.45</v>
      </c>
      <c r="P63" s="55">
        <v>1.07</v>
      </c>
      <c r="Q63" s="59" t="s">
        <v>65</v>
      </c>
      <c r="R63" s="59" t="s">
        <v>65</v>
      </c>
      <c r="S63" s="59" t="s">
        <v>65</v>
      </c>
      <c r="T63" s="59" t="s">
        <v>65</v>
      </c>
      <c r="U63" s="59" t="s">
        <v>65</v>
      </c>
      <c r="V63" s="59" t="s">
        <v>65</v>
      </c>
      <c r="W63" s="52">
        <f>MAX(E63:V63)</f>
        <v>2.06</v>
      </c>
      <c r="X63" s="52" t="str">
        <f>IF(W63=0,"STAND BY",IF(W63&lt;1.5,"NORMAL",IF(W63&lt;2.9,"PREWARNING",IF(W63&lt;4.6,"WARNING","ALARM"))))</f>
        <v>PREWARNING</v>
      </c>
      <c r="Y63" s="39"/>
      <c r="Z63" s="37" t="s">
        <v>46</v>
      </c>
    </row>
    <row r="64" spans="1:30" ht="15" customHeight="1" x14ac:dyDescent="0.3">
      <c r="A64" s="49"/>
      <c r="B64" s="55">
        <v>9</v>
      </c>
      <c r="C64" s="53" t="str">
        <f>'[1]INPUT EQUIPMENT'!B57</f>
        <v>Motor Condensat Pump 2#3</v>
      </c>
      <c r="D64" s="55" t="s">
        <v>66</v>
      </c>
      <c r="E64" s="55">
        <v>0</v>
      </c>
      <c r="F64" s="55">
        <v>0</v>
      </c>
      <c r="G64" s="55">
        <v>0</v>
      </c>
      <c r="H64" s="55">
        <v>0</v>
      </c>
      <c r="I64" s="55">
        <v>0</v>
      </c>
      <c r="J64" s="55">
        <v>0</v>
      </c>
      <c r="K64" s="55">
        <v>0</v>
      </c>
      <c r="L64" s="55">
        <v>0</v>
      </c>
      <c r="M64" s="55">
        <v>0</v>
      </c>
      <c r="N64" s="55">
        <v>0</v>
      </c>
      <c r="O64" s="55">
        <v>0</v>
      </c>
      <c r="P64" s="55">
        <v>0</v>
      </c>
      <c r="Q64" s="59" t="s">
        <v>65</v>
      </c>
      <c r="R64" s="59" t="s">
        <v>65</v>
      </c>
      <c r="S64" s="59" t="s">
        <v>65</v>
      </c>
      <c r="T64" s="59" t="s">
        <v>65</v>
      </c>
      <c r="U64" s="59" t="s">
        <v>65</v>
      </c>
      <c r="V64" s="59" t="s">
        <v>65</v>
      </c>
      <c r="W64" s="52">
        <f t="shared" si="41"/>
        <v>0</v>
      </c>
      <c r="X64" s="52" t="str">
        <f>IF(W64=0,"STAND BY",IF(W64&lt;1.5,"NORMAL",IF(W64&lt;2.9,"PREWARNING",IF(W64&lt;4.6,"WARNING","ALARM"))))</f>
        <v>STAND BY</v>
      </c>
      <c r="Y64" s="39"/>
      <c r="Z64" s="37" t="s">
        <v>46</v>
      </c>
    </row>
    <row r="65" spans="1:30" ht="15" customHeight="1" x14ac:dyDescent="0.3">
      <c r="A65" s="49"/>
      <c r="B65" s="55">
        <v>10</v>
      </c>
      <c r="C65" s="53" t="str">
        <f>'[1]INPUT EQUIPMENT'!B58</f>
        <v>Motor Condensat Pump 3#3</v>
      </c>
      <c r="D65" s="55" t="s">
        <v>66</v>
      </c>
      <c r="E65" s="55">
        <v>0.78</v>
      </c>
      <c r="F65" s="55">
        <v>1.69</v>
      </c>
      <c r="G65" s="55">
        <v>0.38</v>
      </c>
      <c r="H65" s="55">
        <v>0.72</v>
      </c>
      <c r="I65" s="55">
        <v>1.75</v>
      </c>
      <c r="J65" s="55">
        <v>0.95</v>
      </c>
      <c r="K65" s="55">
        <v>0.67</v>
      </c>
      <c r="L65" s="55">
        <v>1.59</v>
      </c>
      <c r="M65" s="55">
        <v>1</v>
      </c>
      <c r="N65" s="55">
        <v>1.44</v>
      </c>
      <c r="O65" s="55">
        <v>1.66</v>
      </c>
      <c r="P65" s="55">
        <v>1.22</v>
      </c>
      <c r="Q65" s="59" t="s">
        <v>65</v>
      </c>
      <c r="R65" s="59" t="s">
        <v>65</v>
      </c>
      <c r="S65" s="59" t="s">
        <v>65</v>
      </c>
      <c r="T65" s="59" t="s">
        <v>65</v>
      </c>
      <c r="U65" s="59" t="s">
        <v>65</v>
      </c>
      <c r="V65" s="59" t="s">
        <v>65</v>
      </c>
      <c r="W65" s="52">
        <f t="shared" si="41"/>
        <v>1.75</v>
      </c>
      <c r="X65" s="52" t="str">
        <f>IF(W65=0,"STAND BY",IF(W65&lt;1.5,"NORMAL",IF(W65&lt;2.9,"PREWARNING",IF(W65&lt;4.6,"WARNING","ALARM"))))</f>
        <v>PREWARNING</v>
      </c>
      <c r="Y65" s="39"/>
      <c r="Z65" s="37" t="s">
        <v>46</v>
      </c>
    </row>
    <row r="66" spans="1:30" ht="15" customHeight="1" x14ac:dyDescent="0.3">
      <c r="A66" s="49"/>
      <c r="B66" s="55">
        <v>11</v>
      </c>
      <c r="C66" s="53" t="str">
        <f>'[1]INPUT EQUIPMENT'!B59</f>
        <v>Motor Water jet Pump 1#3</v>
      </c>
      <c r="D66" s="55" t="s">
        <v>66</v>
      </c>
      <c r="E66" s="55">
        <v>0.69</v>
      </c>
      <c r="F66" s="55">
        <v>1.33</v>
      </c>
      <c r="G66" s="55">
        <v>0.24</v>
      </c>
      <c r="H66" s="55">
        <v>0.88</v>
      </c>
      <c r="I66" s="55">
        <v>1.3</v>
      </c>
      <c r="J66" s="55">
        <v>0.68</v>
      </c>
      <c r="K66" s="55">
        <v>0.8</v>
      </c>
      <c r="L66" s="55">
        <v>0.99</v>
      </c>
      <c r="M66" s="55">
        <v>0.54</v>
      </c>
      <c r="N66" s="55">
        <v>0.97</v>
      </c>
      <c r="O66" s="55">
        <v>0.88</v>
      </c>
      <c r="P66" s="55">
        <v>0.67</v>
      </c>
      <c r="Q66" s="59" t="s">
        <v>65</v>
      </c>
      <c r="R66" s="59" t="s">
        <v>65</v>
      </c>
      <c r="S66" s="59" t="s">
        <v>65</v>
      </c>
      <c r="T66" s="59" t="s">
        <v>65</v>
      </c>
      <c r="U66" s="59" t="s">
        <v>65</v>
      </c>
      <c r="V66" s="59" t="s">
        <v>65</v>
      </c>
      <c r="W66" s="52">
        <f t="shared" si="41"/>
        <v>1.33</v>
      </c>
      <c r="X66" s="52" t="str">
        <f>IF(W66=0,"STAND BY",IF(W66&lt;1.5,"NORMAL",IF(W66&lt;2.9,"PREWARNING",IF(W66&lt;4.6,"WARNING","ALARM"))))</f>
        <v>NORMAL</v>
      </c>
      <c r="Y66" s="39"/>
      <c r="Z66" s="37" t="s">
        <v>52</v>
      </c>
    </row>
    <row r="67" spans="1:30" ht="15" customHeight="1" x14ac:dyDescent="0.3">
      <c r="A67" s="49"/>
      <c r="B67" s="55">
        <v>12</v>
      </c>
      <c r="C67" s="53" t="str">
        <f>'[1]INPUT EQUIPMENT'!B60</f>
        <v>Motor Water jet Pump 2#3</v>
      </c>
      <c r="D67" s="55" t="s">
        <v>66</v>
      </c>
      <c r="E67" s="55">
        <v>0</v>
      </c>
      <c r="F67" s="55">
        <v>0</v>
      </c>
      <c r="G67" s="55">
        <v>0</v>
      </c>
      <c r="H67" s="55">
        <v>0</v>
      </c>
      <c r="I67" s="55">
        <v>0</v>
      </c>
      <c r="J67" s="55">
        <v>0</v>
      </c>
      <c r="K67" s="55">
        <v>0</v>
      </c>
      <c r="L67" s="55">
        <v>0</v>
      </c>
      <c r="M67" s="55">
        <v>0</v>
      </c>
      <c r="N67" s="55">
        <v>0</v>
      </c>
      <c r="O67" s="55">
        <v>0</v>
      </c>
      <c r="P67" s="55">
        <v>0</v>
      </c>
      <c r="Q67" s="59" t="s">
        <v>65</v>
      </c>
      <c r="R67" s="59" t="s">
        <v>65</v>
      </c>
      <c r="S67" s="59" t="s">
        <v>65</v>
      </c>
      <c r="T67" s="59" t="s">
        <v>65</v>
      </c>
      <c r="U67" s="59" t="s">
        <v>65</v>
      </c>
      <c r="V67" s="59" t="s">
        <v>65</v>
      </c>
      <c r="W67" s="52">
        <f t="shared" si="41"/>
        <v>0</v>
      </c>
      <c r="X67" s="52" t="str">
        <f>IF(W67=0,"STAND BY",IF(W67&lt;1.5,"NORMAL",IF(W67&lt;2.9,"PREWARNING",IF(W67&lt;4.6,"WARNING","ALARM"))))</f>
        <v>STAND BY</v>
      </c>
      <c r="Y67" s="39"/>
      <c r="Z67" s="37" t="s">
        <v>52</v>
      </c>
    </row>
    <row r="68" spans="1:30" ht="15" customHeight="1" x14ac:dyDescent="0.3">
      <c r="A68" s="49"/>
      <c r="B68" s="55">
        <v>13</v>
      </c>
      <c r="C68" s="53" t="str">
        <f>'[1]INPUT EQUIPMENT'!B61</f>
        <v>Motor Boiler Feed Pump 1#3</v>
      </c>
      <c r="D68" s="55" t="s">
        <v>64</v>
      </c>
      <c r="E68" s="55">
        <v>0.65</v>
      </c>
      <c r="F68" s="55">
        <v>1.68</v>
      </c>
      <c r="G68" s="55">
        <v>1.1499999999999999</v>
      </c>
      <c r="H68" s="55">
        <v>0.85</v>
      </c>
      <c r="I68" s="55">
        <v>1.25</v>
      </c>
      <c r="J68" s="55">
        <v>1.1499999999999999</v>
      </c>
      <c r="K68" s="55">
        <v>0.91</v>
      </c>
      <c r="L68" s="55">
        <v>1.94</v>
      </c>
      <c r="M68" s="55">
        <v>1.51</v>
      </c>
      <c r="N68" s="55">
        <v>0.74</v>
      </c>
      <c r="O68" s="55">
        <v>1.8</v>
      </c>
      <c r="P68" s="55">
        <v>1.18</v>
      </c>
      <c r="Q68" s="56">
        <v>0.67</v>
      </c>
      <c r="R68" s="56">
        <v>0.97</v>
      </c>
      <c r="S68" s="56">
        <v>0.22</v>
      </c>
      <c r="T68" s="56">
        <v>0.98</v>
      </c>
      <c r="U68" s="56">
        <v>0.88</v>
      </c>
      <c r="V68" s="56">
        <v>0.27</v>
      </c>
      <c r="W68" s="52">
        <f t="shared" si="41"/>
        <v>1.94</v>
      </c>
      <c r="X68" s="52" t="str">
        <f>IF(W68=0,"STAND BY",IF(W68&lt;2.4,"NORMAL",IF(W68&lt;7.2,"PREWARNING",IF(W68&lt;7.2,"WARNING","ALARM"))))</f>
        <v>NORMAL</v>
      </c>
      <c r="Y68" s="39"/>
      <c r="Z68" s="37" t="s">
        <v>52</v>
      </c>
    </row>
    <row r="69" spans="1:30" ht="15" customHeight="1" x14ac:dyDescent="0.3">
      <c r="A69" s="49"/>
      <c r="B69" s="55">
        <v>14</v>
      </c>
      <c r="C69" s="53" t="str">
        <f>'[1]INPUT EQUIPMENT'!B62</f>
        <v>Motor Boiler Feed Pump 2#3</v>
      </c>
      <c r="D69" s="55" t="s">
        <v>64</v>
      </c>
      <c r="E69" s="55">
        <v>0</v>
      </c>
      <c r="F69" s="55">
        <v>0</v>
      </c>
      <c r="G69" s="55">
        <v>0</v>
      </c>
      <c r="H69" s="55">
        <v>0</v>
      </c>
      <c r="I69" s="55">
        <v>0</v>
      </c>
      <c r="J69" s="55">
        <v>0</v>
      </c>
      <c r="K69" s="55">
        <v>0</v>
      </c>
      <c r="L69" s="55">
        <v>0</v>
      </c>
      <c r="M69" s="55">
        <v>0</v>
      </c>
      <c r="N69" s="55">
        <v>0</v>
      </c>
      <c r="O69" s="55">
        <v>0</v>
      </c>
      <c r="P69" s="55">
        <v>0</v>
      </c>
      <c r="Q69" s="56">
        <v>0</v>
      </c>
      <c r="R69" s="56">
        <v>0</v>
      </c>
      <c r="S69" s="56">
        <v>0</v>
      </c>
      <c r="T69" s="56">
        <v>0</v>
      </c>
      <c r="U69" s="56">
        <v>0</v>
      </c>
      <c r="V69" s="56">
        <v>0</v>
      </c>
      <c r="W69" s="52">
        <f t="shared" si="41"/>
        <v>0</v>
      </c>
      <c r="X69" s="52" t="str">
        <f>IF(W69=0,"STAND BY",IF(W69&lt;2.4,"NORMAL",IF(W69&lt;7.2,"PREWARNING",IF(W69&lt;7.2,"WARNING","ALARM"))))</f>
        <v>STAND BY</v>
      </c>
      <c r="Y69" s="39"/>
    </row>
    <row r="70" spans="1:30" ht="15" customHeight="1" x14ac:dyDescent="0.3">
      <c r="A70" s="49"/>
      <c r="B70" s="55">
        <v>15</v>
      </c>
      <c r="C70" s="53" t="str">
        <f>'[1]INPUT EQUIPMENT'!B63</f>
        <v>Motor CCWP 1#3</v>
      </c>
      <c r="D70" s="55" t="s">
        <v>66</v>
      </c>
      <c r="E70" s="55">
        <v>1</v>
      </c>
      <c r="F70" s="55">
        <v>0.84</v>
      </c>
      <c r="G70" s="55">
        <v>0.93</v>
      </c>
      <c r="H70" s="55">
        <v>1.53</v>
      </c>
      <c r="I70" s="55">
        <v>2.4700000000000002</v>
      </c>
      <c r="J70" s="55">
        <v>1.48</v>
      </c>
      <c r="K70" s="55">
        <v>1.27</v>
      </c>
      <c r="L70" s="55">
        <v>1.27</v>
      </c>
      <c r="M70" s="55">
        <v>0.74</v>
      </c>
      <c r="N70" s="55">
        <v>0.79</v>
      </c>
      <c r="O70" s="55">
        <v>0.56999999999999995</v>
      </c>
      <c r="P70" s="55">
        <v>1.1100000000000001</v>
      </c>
      <c r="Q70" s="59" t="s">
        <v>65</v>
      </c>
      <c r="R70" s="59" t="s">
        <v>65</v>
      </c>
      <c r="S70" s="59" t="s">
        <v>65</v>
      </c>
      <c r="T70" s="59" t="s">
        <v>65</v>
      </c>
      <c r="U70" s="59" t="s">
        <v>65</v>
      </c>
      <c r="V70" s="59" t="s">
        <v>65</v>
      </c>
      <c r="W70" s="52">
        <f t="shared" si="41"/>
        <v>2.4700000000000002</v>
      </c>
      <c r="X70" s="52" t="str">
        <f>IF(W70=0,"STAND BY",IF(W70&lt;1.5,"NORMAL",IF(W70&lt;2.8,"PREWARNING",IF(W70&lt;4.6,"WARNING","ALARM"))))</f>
        <v>PREWARNING</v>
      </c>
      <c r="Y70" s="39"/>
      <c r="Z70" s="37" t="s">
        <v>50</v>
      </c>
    </row>
    <row r="71" spans="1:30" ht="15" customHeight="1" x14ac:dyDescent="0.3">
      <c r="A71" s="49"/>
      <c r="B71" s="55">
        <v>16</v>
      </c>
      <c r="C71" s="53" t="str">
        <f>'[1]INPUT EQUIPMENT'!B64</f>
        <v>Motor CCWP 2#3</v>
      </c>
      <c r="D71" s="55" t="s">
        <v>66</v>
      </c>
      <c r="E71" s="55">
        <v>1.08</v>
      </c>
      <c r="F71" s="55">
        <v>1.3</v>
      </c>
      <c r="G71" s="55">
        <v>0.57999999999999996</v>
      </c>
      <c r="H71" s="55">
        <v>2</v>
      </c>
      <c r="I71" s="55">
        <v>2.15</v>
      </c>
      <c r="J71" s="55">
        <v>1.79</v>
      </c>
      <c r="K71" s="55">
        <v>1.9</v>
      </c>
      <c r="L71" s="55">
        <v>1.05</v>
      </c>
      <c r="M71" s="55">
        <v>1.54</v>
      </c>
      <c r="N71" s="55">
        <v>1.26</v>
      </c>
      <c r="O71" s="55">
        <v>1.1499999999999999</v>
      </c>
      <c r="P71" s="55">
        <v>1.82</v>
      </c>
      <c r="Q71" s="59" t="s">
        <v>65</v>
      </c>
      <c r="R71" s="59" t="s">
        <v>65</v>
      </c>
      <c r="S71" s="59" t="s">
        <v>65</v>
      </c>
      <c r="T71" s="59" t="s">
        <v>65</v>
      </c>
      <c r="U71" s="59" t="s">
        <v>65</v>
      </c>
      <c r="V71" s="59" t="s">
        <v>65</v>
      </c>
      <c r="W71" s="52">
        <f>MAX(E71:V71)</f>
        <v>2.15</v>
      </c>
      <c r="X71" s="52" t="str">
        <f t="shared" ref="X71" si="50">IF(W71=0,"STAND BY",IF(W71&lt;1.5,"NORMAL",IF(W71&lt;2.9,"PREWARNING",IF(W71&lt;4.6,"WARNING","ALARM"))))</f>
        <v>PREWARNING</v>
      </c>
      <c r="Y71" s="39"/>
      <c r="Z71" s="37" t="s">
        <v>45</v>
      </c>
    </row>
    <row r="72" spans="1:30" ht="15" customHeight="1" x14ac:dyDescent="0.3">
      <c r="A72" s="49"/>
      <c r="B72" s="55">
        <v>17</v>
      </c>
      <c r="C72" s="53" t="str">
        <f>'[1]INPUT EQUIPMENT'!B65</f>
        <v>Motor CWP 355 Kw 1#3</v>
      </c>
      <c r="D72" s="55" t="s">
        <v>64</v>
      </c>
      <c r="E72" s="55">
        <v>3.68</v>
      </c>
      <c r="F72" s="55">
        <v>2.79</v>
      </c>
      <c r="G72" s="55">
        <v>2.42</v>
      </c>
      <c r="H72" s="55">
        <v>2.04</v>
      </c>
      <c r="I72" s="55">
        <v>1.45</v>
      </c>
      <c r="J72" s="55">
        <v>2.46</v>
      </c>
      <c r="K72" s="55">
        <v>1.06</v>
      </c>
      <c r="L72" s="55">
        <v>1.1599999999999999</v>
      </c>
      <c r="M72" s="55">
        <v>1.66</v>
      </c>
      <c r="N72" s="59" t="s">
        <v>65</v>
      </c>
      <c r="O72" s="59" t="s">
        <v>65</v>
      </c>
      <c r="P72" s="59" t="s">
        <v>65</v>
      </c>
      <c r="Q72" s="59" t="s">
        <v>65</v>
      </c>
      <c r="R72" s="59" t="s">
        <v>65</v>
      </c>
      <c r="S72" s="59" t="s">
        <v>65</v>
      </c>
      <c r="T72" s="59" t="s">
        <v>65</v>
      </c>
      <c r="U72" s="59" t="s">
        <v>65</v>
      </c>
      <c r="V72" s="59" t="s">
        <v>65</v>
      </c>
      <c r="W72" s="52">
        <f t="shared" si="41"/>
        <v>3.68</v>
      </c>
      <c r="X72" s="52" t="str">
        <f t="shared" ref="X72:X73" si="51">IF(W72=0,"STAND BY",IF(W72&lt;2.4,"NORMAL",IF(W72&lt;4.6,"PREWARNING",IF(W72&lt;7.2,"WARNING","ALARM"))))</f>
        <v>PREWARNING</v>
      </c>
      <c r="Y72" s="39"/>
      <c r="Z72" s="37" t="s">
        <v>53</v>
      </c>
      <c r="AA72" s="37"/>
    </row>
    <row r="73" spans="1:30" ht="15" customHeight="1" x14ac:dyDescent="0.3">
      <c r="A73" s="49"/>
      <c r="B73" s="55">
        <v>18</v>
      </c>
      <c r="C73" s="53" t="str">
        <f>'[1]INPUT EQUIPMENT'!B66</f>
        <v>Motor CWP 355 Kw 2#3</v>
      </c>
      <c r="D73" s="55" t="s">
        <v>64</v>
      </c>
      <c r="E73" s="55">
        <v>0</v>
      </c>
      <c r="F73" s="55">
        <v>0</v>
      </c>
      <c r="G73" s="55">
        <v>0</v>
      </c>
      <c r="H73" s="55">
        <v>0</v>
      </c>
      <c r="I73" s="55">
        <v>0</v>
      </c>
      <c r="J73" s="55">
        <v>0</v>
      </c>
      <c r="K73" s="55">
        <v>0</v>
      </c>
      <c r="L73" s="55">
        <v>0</v>
      </c>
      <c r="M73" s="55">
        <v>0</v>
      </c>
      <c r="N73" s="59" t="s">
        <v>65</v>
      </c>
      <c r="O73" s="59" t="s">
        <v>65</v>
      </c>
      <c r="P73" s="59" t="s">
        <v>65</v>
      </c>
      <c r="Q73" s="59" t="s">
        <v>65</v>
      </c>
      <c r="R73" s="59" t="s">
        <v>65</v>
      </c>
      <c r="S73" s="59" t="s">
        <v>65</v>
      </c>
      <c r="T73" s="59" t="s">
        <v>65</v>
      </c>
      <c r="U73" s="59" t="s">
        <v>65</v>
      </c>
      <c r="V73" s="59" t="s">
        <v>65</v>
      </c>
      <c r="W73" s="52">
        <f t="shared" si="41"/>
        <v>0</v>
      </c>
      <c r="X73" s="52" t="str">
        <f t="shared" si="51"/>
        <v>STAND BY</v>
      </c>
      <c r="Y73" s="39"/>
      <c r="AA73" s="37"/>
    </row>
    <row r="74" spans="1:30" ht="15" customHeight="1" x14ac:dyDescent="0.3">
      <c r="A74" s="49"/>
      <c r="B74" s="55">
        <v>19</v>
      </c>
      <c r="C74" s="53" t="str">
        <f>'[1]INPUT EQUIPMENT'!B67</f>
        <v>Motor BWRO 1#3</v>
      </c>
      <c r="D74" s="55" t="s">
        <v>66</v>
      </c>
      <c r="E74" s="55">
        <v>1.87</v>
      </c>
      <c r="F74" s="55">
        <v>2.09</v>
      </c>
      <c r="G74" s="59" t="s">
        <v>65</v>
      </c>
      <c r="H74" s="55">
        <v>0.5</v>
      </c>
      <c r="I74" s="55">
        <v>0.6</v>
      </c>
      <c r="J74" s="55">
        <v>0.38</v>
      </c>
      <c r="K74" s="59" t="s">
        <v>65</v>
      </c>
      <c r="L74" s="59" t="s">
        <v>65</v>
      </c>
      <c r="M74" s="59" t="s">
        <v>65</v>
      </c>
      <c r="N74" s="59" t="s">
        <v>65</v>
      </c>
      <c r="O74" s="59" t="s">
        <v>65</v>
      </c>
      <c r="P74" s="59" t="s">
        <v>65</v>
      </c>
      <c r="Q74" s="59" t="s">
        <v>65</v>
      </c>
      <c r="R74" s="59" t="s">
        <v>65</v>
      </c>
      <c r="S74" s="59" t="s">
        <v>65</v>
      </c>
      <c r="T74" s="59" t="s">
        <v>65</v>
      </c>
      <c r="U74" s="59" t="s">
        <v>65</v>
      </c>
      <c r="V74" s="59" t="s">
        <v>65</v>
      </c>
      <c r="W74" s="52">
        <f t="shared" si="41"/>
        <v>2.09</v>
      </c>
      <c r="X74" s="52" t="str">
        <f>IF(W74=0,"STAND BY",IF(W74&lt;1.4,"NORMAL",IF(W74&lt;2.9,"PREWARNING",IF(W74&lt;4.6,"WARNING","ALARM"))))</f>
        <v>PREWARNING</v>
      </c>
      <c r="Y74" s="39"/>
      <c r="AA74" s="37" t="s">
        <v>83</v>
      </c>
    </row>
    <row r="75" spans="1:30" ht="15" customHeight="1" x14ac:dyDescent="0.3">
      <c r="A75" s="49"/>
      <c r="B75" s="55">
        <v>20</v>
      </c>
      <c r="C75" s="53" t="str">
        <f>'[1]INPUT EQUIPMENT'!B68</f>
        <v>Motor BWRO 2#3</v>
      </c>
      <c r="D75" s="55" t="s">
        <v>66</v>
      </c>
      <c r="E75" s="55">
        <v>0</v>
      </c>
      <c r="F75" s="55">
        <v>0</v>
      </c>
      <c r="G75" s="59" t="s">
        <v>65</v>
      </c>
      <c r="H75" s="55">
        <v>0</v>
      </c>
      <c r="I75" s="55">
        <v>0</v>
      </c>
      <c r="J75" s="55">
        <v>0</v>
      </c>
      <c r="K75" s="59" t="s">
        <v>65</v>
      </c>
      <c r="L75" s="59" t="s">
        <v>65</v>
      </c>
      <c r="M75" s="59" t="s">
        <v>65</v>
      </c>
      <c r="N75" s="59" t="s">
        <v>65</v>
      </c>
      <c r="O75" s="59" t="s">
        <v>65</v>
      </c>
      <c r="P75" s="59" t="s">
        <v>65</v>
      </c>
      <c r="Q75" s="59" t="s">
        <v>65</v>
      </c>
      <c r="R75" s="59" t="s">
        <v>65</v>
      </c>
      <c r="S75" s="59" t="s">
        <v>65</v>
      </c>
      <c r="T75" s="59" t="s">
        <v>65</v>
      </c>
      <c r="U75" s="59" t="s">
        <v>65</v>
      </c>
      <c r="V75" s="59" t="s">
        <v>65</v>
      </c>
      <c r="W75" s="52">
        <f t="shared" si="41"/>
        <v>0</v>
      </c>
      <c r="X75" s="52" t="str">
        <f>IF(W75=0,"STAND BY",IF(W75&lt;1.5,"NORMAL",IF(W75&lt;2.9,"PREWARNING",IF(W75&lt;4.6,"WARNING","ALARM"))))</f>
        <v>STAND BY</v>
      </c>
      <c r="Y75" s="39"/>
      <c r="AA75" s="37" t="s">
        <v>83</v>
      </c>
    </row>
    <row r="76" spans="1:30" ht="15" customHeight="1" x14ac:dyDescent="0.3">
      <c r="A76" s="49"/>
      <c r="B76" s="55">
        <v>21</v>
      </c>
      <c r="C76" s="53" t="str">
        <f>'[1]INPUT EQUIPMENT'!B69</f>
        <v>Motor SWRO 1#3</v>
      </c>
      <c r="D76" s="55" t="s">
        <v>66</v>
      </c>
      <c r="E76" s="55">
        <v>0</v>
      </c>
      <c r="F76" s="55">
        <v>0</v>
      </c>
      <c r="G76" s="55">
        <v>0</v>
      </c>
      <c r="H76" s="55">
        <v>0</v>
      </c>
      <c r="I76" s="55">
        <v>0</v>
      </c>
      <c r="J76" s="55">
        <v>0</v>
      </c>
      <c r="K76" s="59" t="s">
        <v>65</v>
      </c>
      <c r="L76" s="59" t="s">
        <v>65</v>
      </c>
      <c r="M76" s="59" t="s">
        <v>65</v>
      </c>
      <c r="N76" s="59" t="s">
        <v>65</v>
      </c>
      <c r="O76" s="59" t="s">
        <v>65</v>
      </c>
      <c r="P76" s="59" t="s">
        <v>65</v>
      </c>
      <c r="Q76" s="59" t="s">
        <v>65</v>
      </c>
      <c r="R76" s="59" t="s">
        <v>65</v>
      </c>
      <c r="S76" s="59" t="s">
        <v>65</v>
      </c>
      <c r="T76" s="59" t="s">
        <v>65</v>
      </c>
      <c r="U76" s="59" t="s">
        <v>65</v>
      </c>
      <c r="V76" s="59" t="s">
        <v>65</v>
      </c>
      <c r="W76" s="52">
        <f t="shared" si="41"/>
        <v>0</v>
      </c>
      <c r="X76" s="52" t="str">
        <f>IF(W76=0,"STAND BY",IF(W76&lt;1.5,"NORMAL",IF(W76&lt;2.9,"PREWARNING",IF(W76&lt;4.6,"WARNING","ALARM"))))</f>
        <v>STAND BY</v>
      </c>
      <c r="Y76" s="39"/>
      <c r="AA76" s="37" t="s">
        <v>83</v>
      </c>
    </row>
    <row r="77" spans="1:30" ht="15" customHeight="1" x14ac:dyDescent="0.3">
      <c r="A77" s="49"/>
      <c r="B77" s="55">
        <v>22</v>
      </c>
      <c r="C77" s="53" t="str">
        <f>'[1]INPUT EQUIPMENT'!B70</f>
        <v>Motor SWRO 2#3</v>
      </c>
      <c r="D77" s="55" t="s">
        <v>66</v>
      </c>
      <c r="E77" s="55">
        <v>0</v>
      </c>
      <c r="F77" s="55">
        <v>0</v>
      </c>
      <c r="G77" s="55">
        <v>0</v>
      </c>
      <c r="H77" s="55">
        <v>0</v>
      </c>
      <c r="I77" s="55">
        <v>0</v>
      </c>
      <c r="J77" s="55">
        <v>0</v>
      </c>
      <c r="K77" s="59" t="s">
        <v>65</v>
      </c>
      <c r="L77" s="59" t="s">
        <v>65</v>
      </c>
      <c r="M77" s="59" t="s">
        <v>65</v>
      </c>
      <c r="N77" s="59" t="s">
        <v>65</v>
      </c>
      <c r="O77" s="59" t="s">
        <v>65</v>
      </c>
      <c r="P77" s="59" t="s">
        <v>65</v>
      </c>
      <c r="Q77" s="59" t="s">
        <v>65</v>
      </c>
      <c r="R77" s="59" t="s">
        <v>65</v>
      </c>
      <c r="S77" s="59" t="s">
        <v>65</v>
      </c>
      <c r="T77" s="59" t="s">
        <v>65</v>
      </c>
      <c r="U77" s="59" t="s">
        <v>65</v>
      </c>
      <c r="V77" s="59" t="s">
        <v>65</v>
      </c>
      <c r="W77" s="52">
        <f t="shared" si="41"/>
        <v>0</v>
      </c>
      <c r="X77" s="52" t="str">
        <f>IF(W77=0,"STAND BY",IF(W77&lt;1.5,"NORMAL",IF(W77&lt;2.9,"PREWARNING",IF(W77&lt;4.6,"WARNING","ALARM"))))</f>
        <v>STAND BY</v>
      </c>
      <c r="Y77" s="39"/>
      <c r="AA77" s="37" t="s">
        <v>83</v>
      </c>
    </row>
    <row r="78" spans="1:30" ht="15" customHeight="1" x14ac:dyDescent="0.3">
      <c r="A78" s="49"/>
      <c r="B78" s="55">
        <v>24</v>
      </c>
      <c r="C78" s="53" t="s">
        <v>84</v>
      </c>
      <c r="D78" s="55" t="s">
        <v>66</v>
      </c>
      <c r="E78" s="55">
        <v>0.79</v>
      </c>
      <c r="F78" s="55">
        <v>0.95</v>
      </c>
      <c r="G78" s="55">
        <v>0.53</v>
      </c>
      <c r="H78" s="55">
        <v>0.47</v>
      </c>
      <c r="I78" s="55">
        <v>0.46</v>
      </c>
      <c r="J78" s="55">
        <v>0.49</v>
      </c>
      <c r="K78" s="59" t="s">
        <v>65</v>
      </c>
      <c r="L78" s="59" t="s">
        <v>65</v>
      </c>
      <c r="M78" s="59" t="s">
        <v>65</v>
      </c>
      <c r="N78" s="59" t="s">
        <v>65</v>
      </c>
      <c r="O78" s="59" t="s">
        <v>65</v>
      </c>
      <c r="P78" s="59" t="s">
        <v>65</v>
      </c>
      <c r="Q78" s="59" t="s">
        <v>65</v>
      </c>
      <c r="R78" s="59" t="s">
        <v>65</v>
      </c>
      <c r="S78" s="59" t="s">
        <v>65</v>
      </c>
      <c r="T78" s="59" t="s">
        <v>65</v>
      </c>
      <c r="U78" s="59" t="s">
        <v>65</v>
      </c>
      <c r="V78" s="59" t="s">
        <v>65</v>
      </c>
      <c r="W78" s="52">
        <f t="shared" si="41"/>
        <v>0.95</v>
      </c>
      <c r="X78" s="52" t="str">
        <f t="shared" ref="X78:X80" si="52">IF(W78=0,"STAND BY",IF(W78&lt;1.5,"NORMAL",IF(W78&lt;2.9,"PREWARNING",IF(W78&lt;4.6,"WARNING","ALARM"))))</f>
        <v>NORMAL</v>
      </c>
      <c r="Y78" s="39"/>
      <c r="AA78" s="37" t="s">
        <v>85</v>
      </c>
    </row>
    <row r="79" spans="1:30" ht="15" customHeight="1" x14ac:dyDescent="0.3">
      <c r="A79" s="49"/>
      <c r="B79" s="55">
        <v>25</v>
      </c>
      <c r="C79" s="53" t="s">
        <v>86</v>
      </c>
      <c r="D79" s="55" t="s">
        <v>66</v>
      </c>
      <c r="E79" s="55">
        <v>0.75</v>
      </c>
      <c r="F79" s="55">
        <v>1.02</v>
      </c>
      <c r="G79" s="55">
        <v>0.45</v>
      </c>
      <c r="H79" s="55">
        <v>0.15</v>
      </c>
      <c r="I79" s="55">
        <v>0.35</v>
      </c>
      <c r="J79" s="55">
        <v>0.62</v>
      </c>
      <c r="K79" s="59" t="s">
        <v>65</v>
      </c>
      <c r="L79" s="59" t="s">
        <v>65</v>
      </c>
      <c r="M79" s="59" t="s">
        <v>65</v>
      </c>
      <c r="N79" s="59" t="s">
        <v>65</v>
      </c>
      <c r="O79" s="59" t="s">
        <v>65</v>
      </c>
      <c r="P79" s="59" t="s">
        <v>65</v>
      </c>
      <c r="Q79" s="59" t="s">
        <v>65</v>
      </c>
      <c r="R79" s="59" t="s">
        <v>65</v>
      </c>
      <c r="S79" s="59" t="s">
        <v>65</v>
      </c>
      <c r="T79" s="59" t="s">
        <v>65</v>
      </c>
      <c r="U79" s="59" t="s">
        <v>65</v>
      </c>
      <c r="V79" s="59" t="s">
        <v>65</v>
      </c>
      <c r="W79" s="52">
        <f t="shared" si="41"/>
        <v>1.02</v>
      </c>
      <c r="X79" s="52" t="str">
        <f t="shared" si="52"/>
        <v>NORMAL</v>
      </c>
      <c r="Y79" s="39"/>
      <c r="AC79" s="40">
        <v>11</v>
      </c>
      <c r="AD79" s="40" t="s">
        <v>87</v>
      </c>
    </row>
    <row r="80" spans="1:30" ht="15" customHeight="1" x14ac:dyDescent="0.3">
      <c r="A80" s="49"/>
      <c r="B80" s="55">
        <v>26</v>
      </c>
      <c r="C80" s="53" t="s">
        <v>88</v>
      </c>
      <c r="D80" s="55" t="s">
        <v>66</v>
      </c>
      <c r="E80" s="55">
        <v>0.69</v>
      </c>
      <c r="F80" s="55">
        <v>0.98</v>
      </c>
      <c r="G80" s="55">
        <v>0.23</v>
      </c>
      <c r="H80" s="55">
        <v>1.36</v>
      </c>
      <c r="I80" s="55">
        <v>1.19</v>
      </c>
      <c r="J80" s="55">
        <v>0.93</v>
      </c>
      <c r="K80" s="55">
        <v>1.0900000000000001</v>
      </c>
      <c r="L80" s="55">
        <v>1.35</v>
      </c>
      <c r="M80" s="55">
        <v>1.06</v>
      </c>
      <c r="N80" s="55">
        <v>0.95</v>
      </c>
      <c r="O80" s="55">
        <v>1.52</v>
      </c>
      <c r="P80" s="55">
        <v>1.0900000000000001</v>
      </c>
      <c r="Q80" s="59" t="s">
        <v>65</v>
      </c>
      <c r="R80" s="59" t="s">
        <v>65</v>
      </c>
      <c r="S80" s="59" t="s">
        <v>65</v>
      </c>
      <c r="T80" s="59" t="s">
        <v>65</v>
      </c>
      <c r="U80" s="59" t="s">
        <v>65</v>
      </c>
      <c r="V80" s="59" t="s">
        <v>65</v>
      </c>
      <c r="W80" s="52">
        <f t="shared" si="41"/>
        <v>1.52</v>
      </c>
      <c r="X80" s="52" t="str">
        <f t="shared" si="52"/>
        <v>PREWARNING</v>
      </c>
      <c r="Y80" s="39"/>
      <c r="AA80" s="37" t="s">
        <v>85</v>
      </c>
    </row>
    <row r="81" spans="1:30" ht="15" customHeight="1" x14ac:dyDescent="0.3">
      <c r="A81" s="49"/>
      <c r="B81" s="55">
        <v>27</v>
      </c>
      <c r="C81" s="53" t="s">
        <v>89</v>
      </c>
      <c r="D81" s="55"/>
      <c r="E81" s="55">
        <v>5.64</v>
      </c>
      <c r="F81" s="55">
        <v>13.96</v>
      </c>
      <c r="G81" s="55">
        <v>4.8600000000000003</v>
      </c>
      <c r="H81" s="55">
        <v>4.8</v>
      </c>
      <c r="I81" s="55">
        <v>5.36</v>
      </c>
      <c r="J81" s="55">
        <v>5.83</v>
      </c>
      <c r="K81" s="55">
        <v>2.44</v>
      </c>
      <c r="L81" s="55">
        <v>1.81</v>
      </c>
      <c r="M81" s="55">
        <v>6.13</v>
      </c>
      <c r="N81" s="55">
        <v>2.4900000000000002</v>
      </c>
      <c r="O81" s="55">
        <v>2.91</v>
      </c>
      <c r="P81" s="55">
        <v>6.46</v>
      </c>
      <c r="Q81" s="59" t="s">
        <v>65</v>
      </c>
      <c r="R81" s="59" t="s">
        <v>65</v>
      </c>
      <c r="S81" s="59" t="s">
        <v>65</v>
      </c>
      <c r="T81" s="59" t="s">
        <v>65</v>
      </c>
      <c r="U81" s="59" t="s">
        <v>65</v>
      </c>
      <c r="V81" s="59" t="s">
        <v>65</v>
      </c>
      <c r="W81" s="52">
        <f t="shared" si="41"/>
        <v>13.96</v>
      </c>
      <c r="X81" s="52" t="str">
        <f>IF(W81=0,"STAND BY",IF(W81&lt;2.8,"NORMAL",IF(W81&lt;11,"PREWARNING",IF(W81&lt;18,"WARNING","ALARM"))))</f>
        <v>WARNING</v>
      </c>
      <c r="Y81" s="39"/>
      <c r="AC81" s="40">
        <v>12</v>
      </c>
      <c r="AD81" s="40" t="s">
        <v>90</v>
      </c>
    </row>
    <row r="82" spans="1:30" ht="15" customHeight="1" x14ac:dyDescent="0.3">
      <c r="A82" s="49"/>
      <c r="B82" s="55">
        <v>28</v>
      </c>
      <c r="C82" s="53" t="s">
        <v>91</v>
      </c>
      <c r="D82" s="55" t="s">
        <v>66</v>
      </c>
      <c r="E82" s="55">
        <v>0.89</v>
      </c>
      <c r="F82" s="55">
        <v>2.5499999999999998</v>
      </c>
      <c r="G82" s="55">
        <v>2.33</v>
      </c>
      <c r="H82" s="55">
        <v>2.86</v>
      </c>
      <c r="I82" s="55">
        <v>4.9400000000000004</v>
      </c>
      <c r="J82" s="55">
        <v>2.04</v>
      </c>
      <c r="K82" s="55">
        <v>4.3</v>
      </c>
      <c r="L82" s="55">
        <v>3.76</v>
      </c>
      <c r="M82" s="55">
        <v>3.25</v>
      </c>
      <c r="N82" s="55">
        <v>2.46</v>
      </c>
      <c r="O82" s="55">
        <v>6.44</v>
      </c>
      <c r="P82" s="55">
        <v>1.1100000000000001</v>
      </c>
      <c r="Q82" s="59" t="s">
        <v>65</v>
      </c>
      <c r="R82" s="59" t="s">
        <v>65</v>
      </c>
      <c r="S82" s="59" t="s">
        <v>65</v>
      </c>
      <c r="T82" s="59" t="s">
        <v>65</v>
      </c>
      <c r="U82" s="59" t="s">
        <v>65</v>
      </c>
      <c r="V82" s="59" t="s">
        <v>65</v>
      </c>
      <c r="W82" s="52">
        <f t="shared" si="41"/>
        <v>6.44</v>
      </c>
      <c r="X82" s="52" t="str">
        <f t="shared" ref="X82:X84" si="53">IF(W82=0,"STAND BY",IF(W82&lt;1.5,"NORMAL",IF(W82&lt;2.9,"PREWARNING",IF(W82&lt;4.6,"WARNING","ALARM"))))</f>
        <v>ALARM</v>
      </c>
      <c r="Y82" s="39"/>
      <c r="AA82" s="37" t="s">
        <v>85</v>
      </c>
    </row>
    <row r="83" spans="1:30" ht="15" customHeight="1" x14ac:dyDescent="0.3">
      <c r="A83" s="49"/>
      <c r="B83" s="55">
        <v>29</v>
      </c>
      <c r="C83" s="53" t="s">
        <v>92</v>
      </c>
      <c r="D83" s="55" t="s">
        <v>66</v>
      </c>
      <c r="E83" s="55">
        <v>0</v>
      </c>
      <c r="F83" s="55">
        <v>0</v>
      </c>
      <c r="G83" s="55">
        <v>0</v>
      </c>
      <c r="H83" s="55">
        <v>0</v>
      </c>
      <c r="I83" s="55">
        <v>0</v>
      </c>
      <c r="J83" s="55">
        <v>0</v>
      </c>
      <c r="K83" s="55">
        <v>0</v>
      </c>
      <c r="L83" s="55">
        <v>0</v>
      </c>
      <c r="M83" s="55">
        <v>0</v>
      </c>
      <c r="N83" s="55">
        <v>0</v>
      </c>
      <c r="O83" s="55">
        <v>0</v>
      </c>
      <c r="P83" s="55">
        <v>0</v>
      </c>
      <c r="Q83" s="59" t="s">
        <v>65</v>
      </c>
      <c r="R83" s="59" t="s">
        <v>65</v>
      </c>
      <c r="S83" s="59" t="s">
        <v>65</v>
      </c>
      <c r="T83" s="59" t="s">
        <v>65</v>
      </c>
      <c r="U83" s="59" t="s">
        <v>65</v>
      </c>
      <c r="V83" s="59" t="s">
        <v>65</v>
      </c>
      <c r="W83" s="52">
        <f t="shared" si="41"/>
        <v>0</v>
      </c>
      <c r="X83" s="52" t="str">
        <f t="shared" si="53"/>
        <v>STAND BY</v>
      </c>
      <c r="Y83" s="39"/>
      <c r="AC83" s="40">
        <v>11</v>
      </c>
      <c r="AD83" s="40" t="s">
        <v>87</v>
      </c>
    </row>
    <row r="84" spans="1:30" ht="15" customHeight="1" x14ac:dyDescent="0.3">
      <c r="A84" s="49"/>
      <c r="B84" s="55">
        <v>30</v>
      </c>
      <c r="C84" s="53" t="s">
        <v>93</v>
      </c>
      <c r="D84" s="55" t="s">
        <v>66</v>
      </c>
      <c r="E84" s="55">
        <v>0</v>
      </c>
      <c r="F84" s="55">
        <v>0</v>
      </c>
      <c r="G84" s="55">
        <v>0</v>
      </c>
      <c r="H84" s="55">
        <v>0</v>
      </c>
      <c r="I84" s="55">
        <v>0</v>
      </c>
      <c r="J84" s="55">
        <v>0</v>
      </c>
      <c r="K84" s="55">
        <v>0</v>
      </c>
      <c r="L84" s="55">
        <v>0</v>
      </c>
      <c r="M84" s="55">
        <v>0</v>
      </c>
      <c r="N84" s="55">
        <v>0</v>
      </c>
      <c r="O84" s="55">
        <v>0</v>
      </c>
      <c r="P84" s="55">
        <v>0</v>
      </c>
      <c r="Q84" s="59" t="s">
        <v>65</v>
      </c>
      <c r="R84" s="59" t="s">
        <v>65</v>
      </c>
      <c r="S84" s="59" t="s">
        <v>65</v>
      </c>
      <c r="T84" s="59" t="s">
        <v>65</v>
      </c>
      <c r="U84" s="59" t="s">
        <v>65</v>
      </c>
      <c r="V84" s="59" t="s">
        <v>65</v>
      </c>
      <c r="W84" s="52">
        <f>MAX(E84:V84)</f>
        <v>0</v>
      </c>
      <c r="X84" s="52" t="str">
        <f t="shared" si="53"/>
        <v>STAND BY</v>
      </c>
      <c r="Y84" s="39"/>
      <c r="AA84" s="37" t="s">
        <v>85</v>
      </c>
    </row>
    <row r="85" spans="1:30" ht="15" customHeight="1" x14ac:dyDescent="0.3">
      <c r="A85" s="49"/>
      <c r="B85" s="55">
        <v>31</v>
      </c>
      <c r="C85" s="53" t="s">
        <v>94</v>
      </c>
      <c r="D85" s="55" t="s">
        <v>66</v>
      </c>
      <c r="E85" s="55">
        <v>0</v>
      </c>
      <c r="F85" s="55">
        <v>0</v>
      </c>
      <c r="G85" s="55">
        <v>0</v>
      </c>
      <c r="H85" s="55">
        <v>0</v>
      </c>
      <c r="I85" s="55">
        <v>0</v>
      </c>
      <c r="J85" s="55">
        <v>0</v>
      </c>
      <c r="K85" s="55">
        <v>0</v>
      </c>
      <c r="L85" s="55">
        <v>0</v>
      </c>
      <c r="M85" s="55">
        <v>0</v>
      </c>
      <c r="N85" s="55">
        <v>0</v>
      </c>
      <c r="O85" s="55">
        <v>0</v>
      </c>
      <c r="P85" s="55">
        <v>0</v>
      </c>
      <c r="Q85" s="59" t="s">
        <v>65</v>
      </c>
      <c r="R85" s="59" t="s">
        <v>65</v>
      </c>
      <c r="S85" s="59" t="s">
        <v>65</v>
      </c>
      <c r="T85" s="59" t="s">
        <v>65</v>
      </c>
      <c r="U85" s="59" t="s">
        <v>65</v>
      </c>
      <c r="V85" s="59" t="s">
        <v>65</v>
      </c>
      <c r="W85" s="52">
        <f t="shared" si="41"/>
        <v>0</v>
      </c>
      <c r="X85" s="52" t="str">
        <f>IF(W85=0,"STAND BY",IF(W85&lt;2.8,"NORMAL",IF(W85&lt;11,"PREWARNING",IF(W85&lt;18,"WARNING","ALARM"))))</f>
        <v>STAND BY</v>
      </c>
      <c r="Y85" s="39"/>
      <c r="AC85" s="40">
        <v>12</v>
      </c>
      <c r="AD85" s="40" t="s">
        <v>90</v>
      </c>
    </row>
    <row r="86" spans="1:30" ht="15" customHeight="1" x14ac:dyDescent="0.3">
      <c r="A86" s="65"/>
      <c r="B86" s="66"/>
      <c r="C86" s="67"/>
      <c r="D86" s="68"/>
      <c r="E86" s="69"/>
      <c r="F86" s="69"/>
      <c r="G86" s="69"/>
      <c r="H86" s="69"/>
      <c r="I86" s="69"/>
      <c r="J86" s="69"/>
      <c r="K86" s="69"/>
      <c r="L86" s="69"/>
      <c r="M86" s="69"/>
      <c r="N86" s="69"/>
      <c r="O86" s="69"/>
      <c r="P86" s="69"/>
      <c r="Q86" s="70"/>
      <c r="R86" s="70"/>
      <c r="S86" s="70"/>
      <c r="T86" s="70"/>
      <c r="U86" s="70"/>
      <c r="V86" s="70"/>
      <c r="W86" s="69"/>
      <c r="X86" s="69"/>
      <c r="Y86" s="71"/>
    </row>
    <row r="87" spans="1:30" ht="19.5" customHeight="1" x14ac:dyDescent="0.3">
      <c r="A87" s="49"/>
      <c r="B87" s="72"/>
      <c r="C87" s="61" t="str">
        <f>'[1]INPUT EQUIPMENT'!A75</f>
        <v>COAL ASH HANDLING</v>
      </c>
      <c r="D87" s="73"/>
      <c r="E87" s="74"/>
      <c r="F87" s="74"/>
      <c r="G87" s="74"/>
      <c r="H87" s="74"/>
      <c r="I87" s="74"/>
      <c r="J87" s="74"/>
      <c r="K87" s="74"/>
      <c r="L87" s="74"/>
      <c r="M87" s="74"/>
      <c r="N87" s="74"/>
      <c r="O87" s="74"/>
      <c r="P87" s="74"/>
      <c r="Q87" s="74"/>
      <c r="R87" s="74"/>
      <c r="S87" s="74"/>
      <c r="T87" s="74"/>
      <c r="U87" s="74"/>
      <c r="V87" s="74"/>
      <c r="W87" s="74"/>
      <c r="X87" s="74"/>
      <c r="Y87" s="39"/>
    </row>
    <row r="88" spans="1:30" ht="15" customHeight="1" x14ac:dyDescent="0.3">
      <c r="A88" s="49"/>
      <c r="B88" s="55">
        <v>1</v>
      </c>
      <c r="C88" s="53" t="str">
        <f>'[1]INPUT EQUIPMENT'!B76</f>
        <v>BC 4.1</v>
      </c>
      <c r="D88" s="55" t="s">
        <v>66</v>
      </c>
      <c r="E88" s="52">
        <v>1.28</v>
      </c>
      <c r="F88" s="52">
        <v>2.5499999999999998</v>
      </c>
      <c r="G88" s="52">
        <v>1.43</v>
      </c>
      <c r="H88" s="52">
        <v>2.0299999999999998</v>
      </c>
      <c r="I88" s="52">
        <v>2.61</v>
      </c>
      <c r="J88" s="52">
        <v>1.84</v>
      </c>
      <c r="K88" s="52">
        <v>1.62</v>
      </c>
      <c r="L88" s="52">
        <v>1.61</v>
      </c>
      <c r="M88" s="52">
        <v>1.6</v>
      </c>
      <c r="N88" s="52">
        <v>1.2</v>
      </c>
      <c r="O88" s="52">
        <v>1.79</v>
      </c>
      <c r="P88" s="52">
        <v>1.27</v>
      </c>
      <c r="Q88" s="52">
        <v>1.68</v>
      </c>
      <c r="R88" s="52">
        <v>1.39</v>
      </c>
      <c r="S88" s="52">
        <v>1.93</v>
      </c>
      <c r="T88" s="52">
        <v>1.76</v>
      </c>
      <c r="U88" s="52">
        <v>1.43</v>
      </c>
      <c r="V88" s="52">
        <v>1.64</v>
      </c>
      <c r="W88" s="52">
        <f>MAX(E88:V88)</f>
        <v>2.61</v>
      </c>
      <c r="X88" s="52" t="str">
        <f>IF(W88=0,"STAND BY",IF(W88&lt;2.4,"NORMAL",IF(W88&lt;4.6,"PREWARNING",IF(W88&lt;7.1,"WARNING","ALARM"))))</f>
        <v>PREWARNING</v>
      </c>
      <c r="Y88" s="39"/>
      <c r="Z88" s="37" t="s">
        <v>49</v>
      </c>
    </row>
    <row r="89" spans="1:30" ht="15" customHeight="1" x14ac:dyDescent="0.3">
      <c r="A89" s="49"/>
      <c r="B89" s="55">
        <v>2</v>
      </c>
      <c r="C89" s="53" t="str">
        <f>'[1]INPUT EQUIPMENT'!B77</f>
        <v>BC 4.2</v>
      </c>
      <c r="D89" s="55" t="s">
        <v>66</v>
      </c>
      <c r="E89" s="52">
        <v>0.69</v>
      </c>
      <c r="F89" s="52">
        <v>1.03</v>
      </c>
      <c r="G89" s="52">
        <v>0.62</v>
      </c>
      <c r="H89" s="52">
        <v>0.77</v>
      </c>
      <c r="I89" s="52">
        <v>1.18</v>
      </c>
      <c r="J89" s="52">
        <v>0.74</v>
      </c>
      <c r="K89" s="52">
        <v>0.9</v>
      </c>
      <c r="L89" s="52">
        <v>1.06</v>
      </c>
      <c r="M89" s="52">
        <v>1.32</v>
      </c>
      <c r="N89" s="52">
        <v>1.06</v>
      </c>
      <c r="O89" s="52">
        <v>0.94</v>
      </c>
      <c r="P89" s="52">
        <v>1.61</v>
      </c>
      <c r="Q89" s="52">
        <v>0.97</v>
      </c>
      <c r="R89" s="52">
        <v>1.07</v>
      </c>
      <c r="S89" s="52">
        <v>1.39</v>
      </c>
      <c r="T89" s="52">
        <v>0.99</v>
      </c>
      <c r="U89" s="52">
        <v>1.19</v>
      </c>
      <c r="V89" s="52">
        <v>1.28</v>
      </c>
      <c r="W89" s="52">
        <f t="shared" ref="W89:W101" si="54">MAX(E89:V89)</f>
        <v>1.61</v>
      </c>
      <c r="X89" s="52" t="str">
        <f t="shared" ref="X89:X97" si="55">IF(W89=0,"STAND BY",IF(W89&lt;2.4,"NORMAL",IF(W89&lt;4.6,"PREWARNING",IF(W89&lt;7.1,"WARNING","ALARM"))))</f>
        <v>NORMAL</v>
      </c>
      <c r="Y89" s="39"/>
      <c r="Z89" s="37" t="s">
        <v>49</v>
      </c>
    </row>
    <row r="90" spans="1:30" ht="15" customHeight="1" x14ac:dyDescent="0.3">
      <c r="A90" s="49"/>
      <c r="B90" s="55">
        <v>3</v>
      </c>
      <c r="C90" s="53" t="str">
        <f>'[1]INPUT EQUIPMENT'!B78</f>
        <v>BC 5.1</v>
      </c>
      <c r="D90" s="55" t="s">
        <v>66</v>
      </c>
      <c r="E90" s="52">
        <v>1.77</v>
      </c>
      <c r="F90" s="52">
        <v>2.17</v>
      </c>
      <c r="G90" s="52">
        <v>1.35</v>
      </c>
      <c r="H90" s="52">
        <v>1.95</v>
      </c>
      <c r="I90" s="52">
        <v>1.7</v>
      </c>
      <c r="J90" s="52">
        <v>1.23</v>
      </c>
      <c r="K90" s="52">
        <v>1.83</v>
      </c>
      <c r="L90" s="52">
        <v>1.47</v>
      </c>
      <c r="M90" s="52">
        <v>2.23</v>
      </c>
      <c r="N90" s="52">
        <v>1.64</v>
      </c>
      <c r="O90" s="52">
        <v>1.45</v>
      </c>
      <c r="P90" s="52">
        <v>1.1100000000000001</v>
      </c>
      <c r="Q90" s="52">
        <v>1.46</v>
      </c>
      <c r="R90" s="52">
        <v>1.57</v>
      </c>
      <c r="S90" s="52">
        <v>2.11</v>
      </c>
      <c r="T90" s="52">
        <v>1.63</v>
      </c>
      <c r="U90" s="52">
        <v>1.59</v>
      </c>
      <c r="V90" s="52">
        <v>2.17</v>
      </c>
      <c r="W90" s="52">
        <f t="shared" si="54"/>
        <v>2.23</v>
      </c>
      <c r="X90" s="52" t="str">
        <f t="shared" si="55"/>
        <v>NORMAL</v>
      </c>
      <c r="Y90" s="39"/>
      <c r="Z90" s="37" t="s">
        <v>53</v>
      </c>
    </row>
    <row r="91" spans="1:30" ht="15" customHeight="1" x14ac:dyDescent="0.3">
      <c r="A91" s="49"/>
      <c r="B91" s="55">
        <v>4</v>
      </c>
      <c r="C91" s="53" t="str">
        <f>'[1]INPUT EQUIPMENT'!B79</f>
        <v>BC 5.2</v>
      </c>
      <c r="D91" s="55" t="s">
        <v>66</v>
      </c>
      <c r="E91" s="52">
        <v>1.08</v>
      </c>
      <c r="F91" s="52">
        <v>1.86</v>
      </c>
      <c r="G91" s="52">
        <v>0.91</v>
      </c>
      <c r="H91" s="52">
        <v>2.14</v>
      </c>
      <c r="I91" s="52">
        <v>1.55</v>
      </c>
      <c r="J91" s="52">
        <v>0.88</v>
      </c>
      <c r="K91" s="52">
        <v>1.82</v>
      </c>
      <c r="L91" s="52">
        <v>1.47</v>
      </c>
      <c r="M91" s="52">
        <v>2.2200000000000002</v>
      </c>
      <c r="N91" s="52">
        <v>1.43</v>
      </c>
      <c r="O91" s="52">
        <v>1.43</v>
      </c>
      <c r="P91" s="52">
        <v>1.1100000000000001</v>
      </c>
      <c r="Q91" s="52">
        <v>1.47</v>
      </c>
      <c r="R91" s="52">
        <v>1.62</v>
      </c>
      <c r="S91" s="52">
        <v>1.05</v>
      </c>
      <c r="T91" s="52">
        <v>1.41</v>
      </c>
      <c r="U91" s="52">
        <v>1.51</v>
      </c>
      <c r="V91" s="52">
        <v>1</v>
      </c>
      <c r="W91" s="52">
        <f t="shared" si="54"/>
        <v>2.2200000000000002</v>
      </c>
      <c r="X91" s="52" t="str">
        <f t="shared" si="55"/>
        <v>NORMAL</v>
      </c>
      <c r="Y91" s="39"/>
      <c r="Z91" s="37" t="s">
        <v>59</v>
      </c>
    </row>
    <row r="92" spans="1:30" ht="15" customHeight="1" x14ac:dyDescent="0.3">
      <c r="A92" s="49"/>
      <c r="B92" s="55">
        <v>5</v>
      </c>
      <c r="C92" s="53" t="str">
        <f>'[1]INPUT EQUIPMENT'!B80</f>
        <v>BC 7.1</v>
      </c>
      <c r="D92" s="55" t="s">
        <v>66</v>
      </c>
      <c r="E92" s="52">
        <v>1.25</v>
      </c>
      <c r="F92" s="52">
        <v>1.74</v>
      </c>
      <c r="G92" s="52">
        <v>0.73</v>
      </c>
      <c r="H92" s="52">
        <v>1.64</v>
      </c>
      <c r="I92" s="52">
        <v>1.68</v>
      </c>
      <c r="J92" s="52">
        <v>0.75</v>
      </c>
      <c r="K92" s="52">
        <v>3.04</v>
      </c>
      <c r="L92" s="52">
        <v>2.37</v>
      </c>
      <c r="M92" s="52">
        <v>2.09</v>
      </c>
      <c r="N92" s="52">
        <v>2.08</v>
      </c>
      <c r="O92" s="52">
        <v>1.41</v>
      </c>
      <c r="P92" s="52">
        <v>1.1100000000000001</v>
      </c>
      <c r="Q92" s="52">
        <v>0.35</v>
      </c>
      <c r="R92" s="52">
        <v>0.71</v>
      </c>
      <c r="S92" s="52">
        <v>0.87</v>
      </c>
      <c r="T92" s="52">
        <v>0.39</v>
      </c>
      <c r="U92" s="52">
        <v>1</v>
      </c>
      <c r="V92" s="52">
        <v>1.07</v>
      </c>
      <c r="W92" s="52">
        <f t="shared" si="54"/>
        <v>3.04</v>
      </c>
      <c r="X92" s="52" t="str">
        <f t="shared" si="55"/>
        <v>PREWARNING</v>
      </c>
      <c r="Y92" s="39"/>
      <c r="Z92" s="37" t="s">
        <v>62</v>
      </c>
    </row>
    <row r="93" spans="1:30" ht="15" customHeight="1" x14ac:dyDescent="0.3">
      <c r="A93" s="49"/>
      <c r="B93" s="55">
        <v>6</v>
      </c>
      <c r="C93" s="53" t="str">
        <f>'[1]INPUT EQUIPMENT'!B81</f>
        <v>BC 7. 2</v>
      </c>
      <c r="D93" s="55" t="s">
        <v>66</v>
      </c>
      <c r="E93" s="52">
        <v>4.41</v>
      </c>
      <c r="F93" s="52">
        <v>3.36</v>
      </c>
      <c r="G93" s="52">
        <v>3.52</v>
      </c>
      <c r="H93" s="52">
        <v>8.81</v>
      </c>
      <c r="I93" s="52">
        <v>7.61</v>
      </c>
      <c r="J93" s="52">
        <v>4.2</v>
      </c>
      <c r="K93" s="52">
        <v>1.88</v>
      </c>
      <c r="L93" s="52">
        <v>2.31</v>
      </c>
      <c r="M93" s="52">
        <v>7.51</v>
      </c>
      <c r="N93" s="52">
        <v>1.78</v>
      </c>
      <c r="O93" s="52">
        <v>2.16</v>
      </c>
      <c r="P93" s="52">
        <v>7.03</v>
      </c>
      <c r="Q93" s="52">
        <v>0.45</v>
      </c>
      <c r="R93" s="52">
        <v>0.77</v>
      </c>
      <c r="S93" s="52">
        <v>1.0900000000000001</v>
      </c>
      <c r="T93" s="52">
        <v>0.41</v>
      </c>
      <c r="U93" s="52">
        <v>0.56999999999999995</v>
      </c>
      <c r="V93" s="52">
        <v>1.07</v>
      </c>
      <c r="W93" s="52">
        <f t="shared" si="54"/>
        <v>8.81</v>
      </c>
      <c r="X93" s="52" t="str">
        <f t="shared" si="55"/>
        <v>ALARM</v>
      </c>
      <c r="Y93" s="39"/>
      <c r="Z93" s="37" t="s">
        <v>53</v>
      </c>
    </row>
    <row r="94" spans="1:30" ht="15" customHeight="1" x14ac:dyDescent="0.3">
      <c r="A94" s="49"/>
      <c r="B94" s="55">
        <v>7</v>
      </c>
      <c r="C94" s="53" t="str">
        <f>'[1]INPUT EQUIPMENT'!B82</f>
        <v>BC 8.1</v>
      </c>
      <c r="D94" s="55" t="s">
        <v>66</v>
      </c>
      <c r="E94" s="52">
        <v>2.72</v>
      </c>
      <c r="F94" s="52">
        <v>3.56</v>
      </c>
      <c r="G94" s="59" t="s">
        <v>65</v>
      </c>
      <c r="H94" s="52">
        <v>2.36</v>
      </c>
      <c r="I94" s="52">
        <v>2.82</v>
      </c>
      <c r="J94" s="52">
        <v>2.4700000000000002</v>
      </c>
      <c r="K94" s="52">
        <v>1.44</v>
      </c>
      <c r="L94" s="52">
        <v>1.67</v>
      </c>
      <c r="M94" s="52">
        <v>2.79</v>
      </c>
      <c r="N94" s="52">
        <v>1.86</v>
      </c>
      <c r="O94" s="52">
        <v>2.89</v>
      </c>
      <c r="P94" s="52">
        <v>2.42</v>
      </c>
      <c r="Q94" s="52">
        <v>1.08</v>
      </c>
      <c r="R94" s="52">
        <v>1.07</v>
      </c>
      <c r="S94" s="52">
        <v>0.34</v>
      </c>
      <c r="T94" s="52">
        <v>1.08</v>
      </c>
      <c r="U94" s="52">
        <v>1.02</v>
      </c>
      <c r="V94" s="52">
        <v>0.28999999999999998</v>
      </c>
      <c r="W94" s="52">
        <f t="shared" si="54"/>
        <v>3.56</v>
      </c>
      <c r="X94" s="52" t="str">
        <f>IF(W94=0,"STAND BY",IF(W94&lt;2.4,"NORMAL",IF(W94&lt;4.6,"PREWARNING",IF(W94&lt;7.1,"WARNING","ALARM"))))</f>
        <v>PREWARNING</v>
      </c>
      <c r="Y94" s="39"/>
      <c r="Z94" s="37" t="s">
        <v>45</v>
      </c>
    </row>
    <row r="95" spans="1:30" ht="15" customHeight="1" x14ac:dyDescent="0.3">
      <c r="A95" s="49"/>
      <c r="B95" s="55">
        <v>8</v>
      </c>
      <c r="C95" s="53" t="str">
        <f>'[1]INPUT EQUIPMENT'!B83</f>
        <v>BC 8.2</v>
      </c>
      <c r="D95" s="55" t="s">
        <v>66</v>
      </c>
      <c r="E95" s="52">
        <v>3.14</v>
      </c>
      <c r="F95" s="52">
        <v>3.01</v>
      </c>
      <c r="G95" s="59" t="s">
        <v>65</v>
      </c>
      <c r="H95" s="52">
        <v>1.87</v>
      </c>
      <c r="I95" s="52">
        <v>2.37</v>
      </c>
      <c r="J95" s="52">
        <v>1.57</v>
      </c>
      <c r="K95" s="52">
        <v>1.95</v>
      </c>
      <c r="L95" s="52">
        <v>1.95</v>
      </c>
      <c r="M95" s="52">
        <v>1.64</v>
      </c>
      <c r="N95" s="52">
        <v>1.95</v>
      </c>
      <c r="O95" s="52">
        <v>1.78</v>
      </c>
      <c r="P95" s="52">
        <v>1.95</v>
      </c>
      <c r="Q95" s="52">
        <v>1.73</v>
      </c>
      <c r="R95" s="52">
        <v>1.91</v>
      </c>
      <c r="S95" s="52">
        <v>0.61</v>
      </c>
      <c r="T95" s="52">
        <v>1.07</v>
      </c>
      <c r="U95" s="52">
        <v>1.34</v>
      </c>
      <c r="V95" s="52">
        <v>0.57999999999999996</v>
      </c>
      <c r="W95" s="52">
        <f t="shared" si="54"/>
        <v>3.14</v>
      </c>
      <c r="X95" s="52" t="str">
        <f t="shared" si="55"/>
        <v>PREWARNING</v>
      </c>
      <c r="Y95" s="39"/>
      <c r="Z95" s="37" t="s">
        <v>46</v>
      </c>
    </row>
    <row r="96" spans="1:30" ht="15" customHeight="1" x14ac:dyDescent="0.3">
      <c r="A96" s="49"/>
      <c r="B96" s="55">
        <v>9</v>
      </c>
      <c r="C96" s="53" t="str">
        <f>'[1]INPUT EQUIPMENT'!B84</f>
        <v>BC 10.1</v>
      </c>
      <c r="D96" s="55" t="s">
        <v>66</v>
      </c>
      <c r="E96" s="52">
        <v>2.62</v>
      </c>
      <c r="F96" s="52">
        <v>3.96</v>
      </c>
      <c r="G96" s="59" t="s">
        <v>65</v>
      </c>
      <c r="H96" s="52">
        <v>1.47</v>
      </c>
      <c r="I96" s="52">
        <v>3.3</v>
      </c>
      <c r="J96" s="52">
        <v>2.75</v>
      </c>
      <c r="K96" s="52">
        <v>1.45</v>
      </c>
      <c r="L96" s="52">
        <v>1.53</v>
      </c>
      <c r="M96" s="59" t="s">
        <v>65</v>
      </c>
      <c r="N96" s="52">
        <v>2.08</v>
      </c>
      <c r="O96" s="52">
        <v>1.32</v>
      </c>
      <c r="P96" s="52">
        <v>2.36</v>
      </c>
      <c r="Q96" s="52">
        <v>1.08</v>
      </c>
      <c r="R96" s="52">
        <v>1.28</v>
      </c>
      <c r="S96" s="52">
        <v>2.08</v>
      </c>
      <c r="T96" s="52">
        <v>1.5</v>
      </c>
      <c r="U96" s="52">
        <v>1.28</v>
      </c>
      <c r="V96" s="52">
        <v>2.17</v>
      </c>
      <c r="W96" s="52">
        <f t="shared" si="54"/>
        <v>3.96</v>
      </c>
      <c r="X96" s="52" t="str">
        <f>IF(W96=0,"STAND BY",IF(W96&lt;2.4,"NORMAL",IF(W96&lt;4.6,"PREWARNING",IF(W96&lt;7.1,"WARNING","ALARM"))))</f>
        <v>PREWARNING</v>
      </c>
      <c r="Y96" s="39"/>
      <c r="Z96" s="37" t="s">
        <v>45</v>
      </c>
    </row>
    <row r="97" spans="1:31" ht="15" customHeight="1" x14ac:dyDescent="0.3">
      <c r="A97" s="49"/>
      <c r="B97" s="55">
        <v>10</v>
      </c>
      <c r="C97" s="53" t="str">
        <f>'[1]INPUT EQUIPMENT'!B85</f>
        <v>BC 10.2</v>
      </c>
      <c r="D97" s="55" t="s">
        <v>66</v>
      </c>
      <c r="E97" s="52">
        <v>2.59</v>
      </c>
      <c r="F97" s="52">
        <v>1.7</v>
      </c>
      <c r="G97" s="59" t="s">
        <v>65</v>
      </c>
      <c r="H97" s="52">
        <v>1.46</v>
      </c>
      <c r="I97" s="52">
        <v>1.41</v>
      </c>
      <c r="J97" s="52">
        <v>1.57</v>
      </c>
      <c r="K97" s="52">
        <v>1.05</v>
      </c>
      <c r="L97" s="52">
        <v>0.56000000000000005</v>
      </c>
      <c r="M97" s="59" t="s">
        <v>65</v>
      </c>
      <c r="N97" s="52">
        <v>1.31</v>
      </c>
      <c r="O97" s="52">
        <v>0.66</v>
      </c>
      <c r="P97" s="52">
        <v>1.1299999999999999</v>
      </c>
      <c r="Q97" s="52">
        <v>2.04</v>
      </c>
      <c r="R97" s="52">
        <v>0.67</v>
      </c>
      <c r="S97" s="52">
        <v>0.95</v>
      </c>
      <c r="T97" s="52">
        <v>2.04</v>
      </c>
      <c r="U97" s="52">
        <v>0.57999999999999996</v>
      </c>
      <c r="V97" s="52">
        <v>0.79</v>
      </c>
      <c r="W97" s="52">
        <f t="shared" si="54"/>
        <v>2.59</v>
      </c>
      <c r="X97" s="52" t="str">
        <f t="shared" si="55"/>
        <v>PREWARNING</v>
      </c>
      <c r="Y97" s="39"/>
      <c r="Z97" s="37" t="s">
        <v>46</v>
      </c>
    </row>
    <row r="98" spans="1:31" ht="15" customHeight="1" x14ac:dyDescent="0.3">
      <c r="A98" s="49"/>
      <c r="B98" s="55">
        <v>11</v>
      </c>
      <c r="C98" s="53" t="str">
        <f>'[1]INPUT EQUIPMENT'!B86</f>
        <v>ROLLER SCREEN 1</v>
      </c>
      <c r="D98" s="55" t="s">
        <v>66</v>
      </c>
      <c r="E98" s="52">
        <v>8.2100000000000009</v>
      </c>
      <c r="F98" s="52">
        <v>7.34</v>
      </c>
      <c r="G98" s="59" t="s">
        <v>65</v>
      </c>
      <c r="H98" s="52">
        <v>5.5</v>
      </c>
      <c r="I98" s="52">
        <v>4.78</v>
      </c>
      <c r="J98" s="52">
        <v>4.3600000000000003</v>
      </c>
      <c r="K98" s="59" t="s">
        <v>65</v>
      </c>
      <c r="L98" s="59" t="s">
        <v>65</v>
      </c>
      <c r="M98" s="59" t="s">
        <v>65</v>
      </c>
      <c r="N98" s="59" t="s">
        <v>65</v>
      </c>
      <c r="O98" s="59" t="s">
        <v>65</v>
      </c>
      <c r="P98" s="59" t="s">
        <v>65</v>
      </c>
      <c r="Q98" s="59" t="s">
        <v>65</v>
      </c>
      <c r="R98" s="59" t="s">
        <v>65</v>
      </c>
      <c r="S98" s="59" t="s">
        <v>65</v>
      </c>
      <c r="T98" s="59" t="s">
        <v>65</v>
      </c>
      <c r="U98" s="59" t="s">
        <v>65</v>
      </c>
      <c r="V98" s="59" t="s">
        <v>65</v>
      </c>
      <c r="W98" s="52">
        <f t="shared" si="54"/>
        <v>8.2100000000000009</v>
      </c>
      <c r="X98" s="52" t="str">
        <f>IF(W98=0,"STAND BY",IF(W98&lt;4.6,"NORMAL",IF(W98&lt;6.6,"PREWARNING",IF(W98&lt;7.6,"WARNING","ALARM"))))</f>
        <v>ALARM</v>
      </c>
      <c r="Y98" s="39"/>
      <c r="Z98" s="37" t="s">
        <v>45</v>
      </c>
    </row>
    <row r="99" spans="1:31" ht="15" customHeight="1" x14ac:dyDescent="0.3">
      <c r="A99" s="49"/>
      <c r="B99" s="55">
        <v>12</v>
      </c>
      <c r="C99" s="53" t="str">
        <f>'[1]INPUT EQUIPMENT'!B87</f>
        <v>ROLLER SCREEN 2</v>
      </c>
      <c r="D99" s="55" t="s">
        <v>66</v>
      </c>
      <c r="E99" s="52">
        <v>6.43</v>
      </c>
      <c r="F99" s="52">
        <v>6.77</v>
      </c>
      <c r="G99" s="59" t="s">
        <v>65</v>
      </c>
      <c r="H99" s="52">
        <v>4.3099999999999996</v>
      </c>
      <c r="I99" s="52">
        <v>3.63</v>
      </c>
      <c r="J99" s="52">
        <v>3.45</v>
      </c>
      <c r="K99" s="59" t="s">
        <v>65</v>
      </c>
      <c r="L99" s="59" t="s">
        <v>65</v>
      </c>
      <c r="M99" s="59" t="s">
        <v>65</v>
      </c>
      <c r="N99" s="59" t="s">
        <v>65</v>
      </c>
      <c r="O99" s="59" t="s">
        <v>65</v>
      </c>
      <c r="P99" s="59" t="s">
        <v>65</v>
      </c>
      <c r="Q99" s="59" t="s">
        <v>65</v>
      </c>
      <c r="R99" s="59" t="s">
        <v>65</v>
      </c>
      <c r="S99" s="59" t="s">
        <v>65</v>
      </c>
      <c r="T99" s="59" t="s">
        <v>65</v>
      </c>
      <c r="U99" s="59" t="s">
        <v>65</v>
      </c>
      <c r="V99" s="59" t="s">
        <v>65</v>
      </c>
      <c r="W99" s="52">
        <f t="shared" si="54"/>
        <v>6.77</v>
      </c>
      <c r="X99" s="52" t="str">
        <f>IF(W99=0,"STAND BY",IF(W99&lt;4.6,"NORMAL",IF(W99&lt;6.6,"PREWARNING",IF(W99&lt;7.6,"WARNING","ALARM"))))</f>
        <v>WARNING</v>
      </c>
      <c r="Y99" s="39"/>
      <c r="Z99" s="37" t="s">
        <v>45</v>
      </c>
    </row>
    <row r="100" spans="1:31" ht="15" customHeight="1" x14ac:dyDescent="0.3">
      <c r="A100" s="49"/>
      <c r="B100" s="55">
        <v>13</v>
      </c>
      <c r="C100" s="53" t="str">
        <f>'[1]INPUT EQUIPMENT'!B88</f>
        <v>Motor Crusser 185kW 1</v>
      </c>
      <c r="D100" s="55" t="s">
        <v>66</v>
      </c>
      <c r="E100" s="52">
        <v>2.64</v>
      </c>
      <c r="F100" s="52">
        <v>5.71</v>
      </c>
      <c r="G100" s="52">
        <v>1.62</v>
      </c>
      <c r="H100" s="52">
        <v>4.2699999999999996</v>
      </c>
      <c r="I100" s="52">
        <v>6.33</v>
      </c>
      <c r="J100" s="52">
        <v>1.69</v>
      </c>
      <c r="K100" s="52">
        <v>4.55</v>
      </c>
      <c r="L100" s="52">
        <v>7.83</v>
      </c>
      <c r="M100" s="52">
        <v>7.4</v>
      </c>
      <c r="N100" s="52">
        <v>5.54</v>
      </c>
      <c r="O100" s="52">
        <v>6.73</v>
      </c>
      <c r="P100" s="52">
        <v>9.42</v>
      </c>
      <c r="Q100" s="59" t="s">
        <v>65</v>
      </c>
      <c r="R100" s="59" t="s">
        <v>65</v>
      </c>
      <c r="S100" s="59" t="s">
        <v>65</v>
      </c>
      <c r="T100" s="59" t="s">
        <v>65</v>
      </c>
      <c r="U100" s="59" t="s">
        <v>65</v>
      </c>
      <c r="V100" s="59" t="s">
        <v>65</v>
      </c>
      <c r="W100" s="52">
        <f t="shared" si="54"/>
        <v>9.42</v>
      </c>
      <c r="X100" s="52" t="str">
        <f>IF(W100=0,"STAND BY",IF(W100&lt;4.6,"NORMAL",IF(W100&lt;7.1,"PREWARNING",IF(W100&lt;8.01,"WARNING","ALARM"))))</f>
        <v>ALARM</v>
      </c>
      <c r="Y100" s="39"/>
      <c r="Z100" s="37" t="s">
        <v>53</v>
      </c>
    </row>
    <row r="101" spans="1:31" ht="15" customHeight="1" x14ac:dyDescent="0.3">
      <c r="A101" s="49"/>
      <c r="B101" s="55">
        <v>14</v>
      </c>
      <c r="C101" s="53" t="str">
        <f>'[1]INPUT EQUIPMENT'!B89</f>
        <v>Motor Crusser 185kW 2</v>
      </c>
      <c r="D101" s="54" t="s">
        <v>66</v>
      </c>
      <c r="E101" s="52">
        <v>2.19</v>
      </c>
      <c r="F101" s="52">
        <v>5.25</v>
      </c>
      <c r="G101" s="52">
        <v>1.57</v>
      </c>
      <c r="H101" s="52">
        <v>2.57</v>
      </c>
      <c r="I101" s="52">
        <v>5.63</v>
      </c>
      <c r="J101" s="52">
        <v>2.67</v>
      </c>
      <c r="K101" s="52">
        <v>1.76</v>
      </c>
      <c r="L101" s="52">
        <v>5.73</v>
      </c>
      <c r="M101" s="52">
        <v>4.34</v>
      </c>
      <c r="N101" s="52">
        <v>3.57</v>
      </c>
      <c r="O101" s="52">
        <v>3.01</v>
      </c>
      <c r="P101" s="52">
        <v>5.29</v>
      </c>
      <c r="Q101" s="59" t="s">
        <v>65</v>
      </c>
      <c r="R101" s="59" t="s">
        <v>65</v>
      </c>
      <c r="S101" s="59" t="s">
        <v>65</v>
      </c>
      <c r="T101" s="59" t="s">
        <v>65</v>
      </c>
      <c r="U101" s="59" t="s">
        <v>65</v>
      </c>
      <c r="V101" s="59" t="s">
        <v>65</v>
      </c>
      <c r="W101" s="52">
        <f t="shared" si="54"/>
        <v>5.73</v>
      </c>
      <c r="X101" s="52" t="str">
        <f>IF(W101=0,"STAND BY",IF(W101&lt;4.6,"NORMAL",IF(W101&lt;7.1,"PREWARNING",IF(W101&lt;8.01,"WARNING","ALARM"))))</f>
        <v>PREWARNING</v>
      </c>
      <c r="Y101" s="39"/>
      <c r="Z101" s="37" t="s">
        <v>53</v>
      </c>
    </row>
    <row r="102" spans="1:31" ht="15" customHeight="1" x14ac:dyDescent="0.3">
      <c r="A102" s="65"/>
      <c r="B102" s="66"/>
      <c r="C102" s="67"/>
      <c r="D102" s="68"/>
      <c r="E102" s="69"/>
      <c r="F102" s="69"/>
      <c r="G102" s="69"/>
      <c r="H102" s="69"/>
      <c r="I102" s="69"/>
      <c r="J102" s="69"/>
      <c r="K102" s="69"/>
      <c r="L102" s="69"/>
      <c r="M102" s="69"/>
      <c r="N102" s="69"/>
      <c r="O102" s="69"/>
      <c r="P102" s="69"/>
      <c r="Q102" s="70"/>
      <c r="R102" s="70"/>
      <c r="S102" s="70"/>
      <c r="T102" s="70"/>
      <c r="U102" s="70"/>
      <c r="V102" s="70"/>
      <c r="W102" s="69"/>
      <c r="X102" s="69"/>
      <c r="Y102" s="71"/>
    </row>
    <row r="103" spans="1:31" ht="15" hidden="1" customHeight="1" x14ac:dyDescent="0.3">
      <c r="A103" s="49"/>
      <c r="B103" s="52">
        <v>22</v>
      </c>
      <c r="C103" s="53" t="str">
        <f>'[1]INPUT EQUIPMENT'!B92</f>
        <v>Compressor For Instrument 1#1</v>
      </c>
      <c r="D103" s="54"/>
      <c r="E103" s="52"/>
      <c r="F103" s="52"/>
      <c r="G103" s="52"/>
      <c r="H103" s="52"/>
      <c r="I103" s="52"/>
      <c r="J103" s="52"/>
      <c r="K103" s="52"/>
      <c r="L103" s="52"/>
      <c r="M103" s="52"/>
      <c r="N103" s="52"/>
      <c r="O103" s="52"/>
      <c r="P103" s="52"/>
      <c r="Q103" s="52"/>
      <c r="R103" s="52"/>
      <c r="S103" s="52"/>
      <c r="T103" s="52"/>
      <c r="U103" s="52"/>
      <c r="V103" s="52"/>
      <c r="W103" s="52">
        <f t="shared" ref="W103:W111" si="56">MAX(E103:V103)</f>
        <v>0</v>
      </c>
      <c r="X103" s="52" t="str">
        <f t="shared" ref="X103:X111" si="57">IF(W103=0,"STAND BY",IF(W103&lt;1.5,"NORMAL",IF(W103&lt;2.9,"PREWARNING",IF(W103&lt;4.6,"WARNING","ALARM"))))</f>
        <v>STAND BY</v>
      </c>
      <c r="Y103" s="39"/>
    </row>
    <row r="104" spans="1:31" ht="15" hidden="1" customHeight="1" x14ac:dyDescent="0.3">
      <c r="A104" s="49"/>
      <c r="B104" s="52">
        <v>23</v>
      </c>
      <c r="C104" s="53" t="str">
        <f>'[1]INPUT EQUIPMENT'!B93</f>
        <v>Compressor For Instrument 2#1</v>
      </c>
      <c r="D104" s="54"/>
      <c r="E104" s="52"/>
      <c r="F104" s="52"/>
      <c r="G104" s="52"/>
      <c r="H104" s="52"/>
      <c r="I104" s="52"/>
      <c r="J104" s="52"/>
      <c r="K104" s="52"/>
      <c r="L104" s="52"/>
      <c r="M104" s="52"/>
      <c r="N104" s="52"/>
      <c r="O104" s="52"/>
      <c r="P104" s="52"/>
      <c r="Q104" s="52"/>
      <c r="R104" s="52"/>
      <c r="S104" s="52"/>
      <c r="T104" s="52"/>
      <c r="U104" s="52"/>
      <c r="V104" s="52"/>
      <c r="W104" s="52">
        <f t="shared" si="56"/>
        <v>0</v>
      </c>
      <c r="X104" s="52" t="str">
        <f t="shared" si="57"/>
        <v>STAND BY</v>
      </c>
      <c r="Y104" s="39"/>
    </row>
    <row r="105" spans="1:31" ht="15" hidden="1" customHeight="1" x14ac:dyDescent="0.3">
      <c r="A105" s="49"/>
      <c r="B105" s="52">
        <v>24</v>
      </c>
      <c r="C105" s="53" t="str">
        <f>'[1]INPUT EQUIPMENT'!B94</f>
        <v>Compressor For Instrument 3#1</v>
      </c>
      <c r="D105" s="54"/>
      <c r="E105" s="52"/>
      <c r="F105" s="52"/>
      <c r="G105" s="52"/>
      <c r="H105" s="52"/>
      <c r="I105" s="52"/>
      <c r="J105" s="52"/>
      <c r="K105" s="52"/>
      <c r="L105" s="52"/>
      <c r="M105" s="52"/>
      <c r="N105" s="52"/>
      <c r="O105" s="52"/>
      <c r="P105" s="52"/>
      <c r="Q105" s="52"/>
      <c r="R105" s="52"/>
      <c r="S105" s="52"/>
      <c r="T105" s="52"/>
      <c r="U105" s="52"/>
      <c r="V105" s="52"/>
      <c r="W105" s="52">
        <f t="shared" si="56"/>
        <v>0</v>
      </c>
      <c r="X105" s="52" t="str">
        <f t="shared" si="57"/>
        <v>STAND BY</v>
      </c>
      <c r="Y105" s="39"/>
    </row>
    <row r="106" spans="1:31" ht="15" hidden="1" customHeight="1" x14ac:dyDescent="0.3">
      <c r="A106" s="49"/>
      <c r="B106" s="52">
        <v>25</v>
      </c>
      <c r="C106" s="53" t="str">
        <f>'[1]INPUT EQUIPMENT'!B95</f>
        <v>Compressor For Ash Handling 1#1</v>
      </c>
      <c r="D106" s="54"/>
      <c r="E106" s="52"/>
      <c r="F106" s="52"/>
      <c r="G106" s="52"/>
      <c r="H106" s="52"/>
      <c r="I106" s="52"/>
      <c r="J106" s="52"/>
      <c r="K106" s="52"/>
      <c r="L106" s="52"/>
      <c r="M106" s="52"/>
      <c r="N106" s="52"/>
      <c r="O106" s="52"/>
      <c r="P106" s="52"/>
      <c r="Q106" s="52"/>
      <c r="R106" s="52"/>
      <c r="S106" s="52"/>
      <c r="T106" s="52"/>
      <c r="U106" s="52"/>
      <c r="V106" s="52"/>
      <c r="W106" s="52">
        <f t="shared" si="56"/>
        <v>0</v>
      </c>
      <c r="X106" s="52" t="str">
        <f t="shared" si="57"/>
        <v>STAND BY</v>
      </c>
      <c r="Y106" s="39"/>
    </row>
    <row r="107" spans="1:31" ht="15" hidden="1" customHeight="1" x14ac:dyDescent="0.3">
      <c r="A107" s="49"/>
      <c r="B107" s="52">
        <v>26</v>
      </c>
      <c r="C107" s="53" t="str">
        <f>'[1]INPUT EQUIPMENT'!B96</f>
        <v>Compressor For Ash Handling 2#1</v>
      </c>
      <c r="D107" s="54"/>
      <c r="E107" s="52"/>
      <c r="F107" s="52"/>
      <c r="G107" s="52"/>
      <c r="H107" s="52"/>
      <c r="I107" s="52"/>
      <c r="J107" s="52"/>
      <c r="K107" s="52"/>
      <c r="L107" s="52"/>
      <c r="M107" s="52"/>
      <c r="N107" s="52"/>
      <c r="O107" s="52"/>
      <c r="P107" s="52"/>
      <c r="Q107" s="52"/>
      <c r="R107" s="52"/>
      <c r="S107" s="52"/>
      <c r="T107" s="52"/>
      <c r="U107" s="52"/>
      <c r="V107" s="52"/>
      <c r="W107" s="52">
        <f t="shared" si="56"/>
        <v>0</v>
      </c>
      <c r="X107" s="52" t="str">
        <f t="shared" si="57"/>
        <v>STAND BY</v>
      </c>
      <c r="Y107" s="39"/>
      <c r="AA107" s="75"/>
      <c r="AB107" s="75"/>
      <c r="AC107" s="75"/>
      <c r="AD107" s="75"/>
      <c r="AE107" s="76"/>
    </row>
    <row r="108" spans="1:31" ht="15" hidden="1" customHeight="1" x14ac:dyDescent="0.3">
      <c r="A108" s="49"/>
      <c r="B108" s="52">
        <v>27</v>
      </c>
      <c r="C108" s="53" t="str">
        <f>'[1]INPUT EQUIPMENT'!B97</f>
        <v>Compressor For Ash Handling 3#1</v>
      </c>
      <c r="D108" s="54"/>
      <c r="E108" s="52"/>
      <c r="F108" s="52"/>
      <c r="G108" s="52"/>
      <c r="H108" s="52"/>
      <c r="I108" s="52"/>
      <c r="J108" s="52"/>
      <c r="K108" s="52"/>
      <c r="L108" s="52"/>
      <c r="M108" s="52"/>
      <c r="N108" s="52"/>
      <c r="O108" s="52"/>
      <c r="P108" s="52"/>
      <c r="Q108" s="52"/>
      <c r="R108" s="52"/>
      <c r="S108" s="52"/>
      <c r="T108" s="52"/>
      <c r="U108" s="52"/>
      <c r="V108" s="52"/>
      <c r="W108" s="52">
        <f t="shared" si="56"/>
        <v>0</v>
      </c>
      <c r="X108" s="52" t="str">
        <f t="shared" si="57"/>
        <v>STAND BY</v>
      </c>
      <c r="Y108" s="39"/>
    </row>
    <row r="109" spans="1:31" ht="15" hidden="1" customHeight="1" x14ac:dyDescent="0.3">
      <c r="A109" s="49"/>
      <c r="B109" s="52">
        <v>28</v>
      </c>
      <c r="C109" s="53" t="str">
        <f>'[1]INPUT EQUIPMENT'!B98</f>
        <v>Compressor For Service 1#1</v>
      </c>
      <c r="D109" s="54"/>
      <c r="E109" s="52"/>
      <c r="F109" s="52"/>
      <c r="G109" s="52"/>
      <c r="H109" s="52"/>
      <c r="I109" s="52"/>
      <c r="J109" s="52"/>
      <c r="K109" s="52"/>
      <c r="L109" s="52"/>
      <c r="M109" s="52"/>
      <c r="N109" s="52"/>
      <c r="O109" s="52"/>
      <c r="P109" s="52"/>
      <c r="Q109" s="52"/>
      <c r="R109" s="52"/>
      <c r="S109" s="52"/>
      <c r="T109" s="52"/>
      <c r="U109" s="52"/>
      <c r="V109" s="52"/>
      <c r="W109" s="52">
        <f t="shared" si="56"/>
        <v>0</v>
      </c>
      <c r="X109" s="52" t="str">
        <f t="shared" si="57"/>
        <v>STAND BY</v>
      </c>
      <c r="Y109" s="39"/>
    </row>
    <row r="110" spans="1:31" ht="15" hidden="1" customHeight="1" x14ac:dyDescent="0.3">
      <c r="A110" s="49"/>
      <c r="B110" s="52">
        <v>29</v>
      </c>
      <c r="C110" s="53" t="str">
        <f>'[1]INPUT EQUIPMENT'!B99</f>
        <v>Compressor For Service 2#1</v>
      </c>
      <c r="D110" s="54"/>
      <c r="E110" s="52"/>
      <c r="F110" s="52"/>
      <c r="G110" s="52"/>
      <c r="H110" s="52"/>
      <c r="I110" s="52"/>
      <c r="J110" s="52"/>
      <c r="K110" s="52"/>
      <c r="L110" s="52"/>
      <c r="M110" s="52"/>
      <c r="N110" s="52"/>
      <c r="O110" s="52"/>
      <c r="P110" s="52"/>
      <c r="Q110" s="52"/>
      <c r="R110" s="52"/>
      <c r="S110" s="52"/>
      <c r="T110" s="52"/>
      <c r="U110" s="52"/>
      <c r="V110" s="52"/>
      <c r="W110" s="52">
        <f t="shared" si="56"/>
        <v>0</v>
      </c>
      <c r="X110" s="52" t="str">
        <f t="shared" si="57"/>
        <v>STAND BY</v>
      </c>
      <c r="Y110" s="39"/>
    </row>
    <row r="111" spans="1:31" ht="15" hidden="1" customHeight="1" x14ac:dyDescent="0.3">
      <c r="A111" s="49"/>
      <c r="B111" s="52">
        <v>30</v>
      </c>
      <c r="C111" s="53" t="str">
        <f>'[1]INPUT EQUIPMENT'!B100</f>
        <v>Compressor For Service 3#1</v>
      </c>
      <c r="D111" s="54"/>
      <c r="E111" s="52"/>
      <c r="F111" s="52"/>
      <c r="G111" s="52"/>
      <c r="H111" s="52"/>
      <c r="I111" s="52"/>
      <c r="J111" s="52"/>
      <c r="K111" s="52"/>
      <c r="L111" s="52"/>
      <c r="M111" s="52"/>
      <c r="N111" s="52"/>
      <c r="O111" s="52"/>
      <c r="P111" s="52"/>
      <c r="Q111" s="52"/>
      <c r="R111" s="52"/>
      <c r="S111" s="52"/>
      <c r="T111" s="52"/>
      <c r="U111" s="52"/>
      <c r="V111" s="52"/>
      <c r="W111" s="52">
        <f t="shared" si="56"/>
        <v>0</v>
      </c>
      <c r="X111" s="52" t="str">
        <f t="shared" si="57"/>
        <v>STAND BY</v>
      </c>
      <c r="Y111" s="39"/>
    </row>
    <row r="112" spans="1:31" ht="15" customHeight="1" x14ac:dyDescent="0.3">
      <c r="A112" s="65"/>
      <c r="B112" s="77"/>
      <c r="C112" s="77"/>
      <c r="D112" s="77"/>
      <c r="E112" s="78"/>
      <c r="F112" s="78"/>
      <c r="G112" s="78"/>
      <c r="H112" s="78"/>
      <c r="I112" s="78"/>
      <c r="J112" s="78"/>
      <c r="K112" s="78"/>
      <c r="L112" s="78"/>
      <c r="M112" s="78"/>
      <c r="N112" s="78"/>
      <c r="O112" s="78"/>
      <c r="P112" s="78"/>
      <c r="Q112" s="78"/>
      <c r="R112" s="78"/>
      <c r="S112" s="78"/>
      <c r="T112" s="78"/>
      <c r="U112" s="78"/>
      <c r="V112" s="78"/>
      <c r="W112" s="79"/>
      <c r="X112" s="79"/>
      <c r="Y112" s="71"/>
    </row>
    <row r="113" spans="27:31" ht="15" customHeight="1" x14ac:dyDescent="0.3"/>
    <row r="122" spans="27:31" x14ac:dyDescent="0.3">
      <c r="AA122" s="75"/>
      <c r="AB122" s="75"/>
      <c r="AC122" s="75"/>
      <c r="AD122" s="75"/>
      <c r="AE122" s="76"/>
    </row>
    <row r="141" spans="27:31" x14ac:dyDescent="0.3">
      <c r="AA141" s="75"/>
      <c r="AB141" s="75"/>
      <c r="AC141" s="75"/>
      <c r="AD141" s="75"/>
      <c r="AE141" s="76"/>
    </row>
  </sheetData>
  <mergeCells count="19">
    <mergeCell ref="A1:C4"/>
    <mergeCell ref="D1:S1"/>
    <mergeCell ref="T1:V1"/>
    <mergeCell ref="W1:Y1"/>
    <mergeCell ref="D2:S2"/>
    <mergeCell ref="T2:V2"/>
    <mergeCell ref="W2:Y2"/>
    <mergeCell ref="D3:S3"/>
    <mergeCell ref="T3:V3"/>
    <mergeCell ref="W3:Y3"/>
    <mergeCell ref="D4:S4"/>
    <mergeCell ref="T4:V4"/>
    <mergeCell ref="W4:Y4"/>
    <mergeCell ref="B5:B6"/>
    <mergeCell ref="C5:C6"/>
    <mergeCell ref="D5:D6"/>
    <mergeCell ref="E5:V5"/>
    <mergeCell ref="W5:W6"/>
    <mergeCell ref="X5:X6"/>
  </mergeCells>
  <conditionalFormatting sqref="E6:E29">
    <cfRule type="expression" dxfId="186" priority="64">
      <formula>"0&gt;$E$141+$E$141&lt;2.4"</formula>
    </cfRule>
  </conditionalFormatting>
  <conditionalFormatting sqref="E34:E53">
    <cfRule type="expression" dxfId="185" priority="4">
      <formula>"0&gt;$E$141+$E$141&lt;2.4"</formula>
    </cfRule>
  </conditionalFormatting>
  <conditionalFormatting sqref="E55 Q98:V102">
    <cfRule type="expression" dxfId="184" priority="84">
      <formula>"0&gt;$E$141+$E$141&lt;2.4"</formula>
    </cfRule>
  </conditionalFormatting>
  <conditionalFormatting sqref="E75:E76">
    <cfRule type="expression" dxfId="183" priority="176">
      <formula>"0&gt;$E$141+$E$141&lt;2.4"</formula>
    </cfRule>
  </conditionalFormatting>
  <conditionalFormatting sqref="E74:F74">
    <cfRule type="expression" dxfId="182" priority="178">
      <formula>"0&gt;$E$141+$E$141&lt;2.4"</formula>
    </cfRule>
  </conditionalFormatting>
  <conditionalFormatting sqref="E9:H9">
    <cfRule type="expression" dxfId="181" priority="185">
      <formula>"0&gt;$E$141+$E$141&lt;2.4"</formula>
    </cfRule>
  </conditionalFormatting>
  <conditionalFormatting sqref="E36:H36">
    <cfRule type="expression" dxfId="180" priority="82">
      <formula>"0&gt;$E$141+$E$141&lt;2.4"</formula>
    </cfRule>
  </conditionalFormatting>
  <conditionalFormatting sqref="E71:J71">
    <cfRule type="expression" dxfId="179" priority="181">
      <formula>"0&gt;$E$141+$E$141&lt;2.4"</formula>
    </cfRule>
  </conditionalFormatting>
  <conditionalFormatting sqref="E77:J80">
    <cfRule type="expression" dxfId="178" priority="52">
      <formula>"0&gt;$E$141+$E$141&lt;2.4"</formula>
    </cfRule>
  </conditionalFormatting>
  <conditionalFormatting sqref="E15:M15">
    <cfRule type="expression" dxfId="177" priority="184">
      <formula>"0&gt;$E$141+$E$141&lt;2.4"</formula>
    </cfRule>
  </conditionalFormatting>
  <conditionalFormatting sqref="E42:M42">
    <cfRule type="expression" dxfId="176" priority="81">
      <formula>"0&gt;$E$141+$E$141&lt;2.4"</formula>
    </cfRule>
  </conditionalFormatting>
  <conditionalFormatting sqref="E8:P8">
    <cfRule type="expression" dxfId="175" priority="186">
      <formula>"0&gt;$E$141+$E$141&lt;2.4"</formula>
    </cfRule>
  </conditionalFormatting>
  <conditionalFormatting sqref="E10:P14">
    <cfRule type="expression" dxfId="174" priority="165">
      <formula>"0&gt;$E$141+$E$141&lt;2.4"</formula>
    </cfRule>
  </conditionalFormatting>
  <conditionalFormatting sqref="E30:P33">
    <cfRule type="expression" dxfId="173" priority="10">
      <formula>"0&gt;$E$141+$E$141&lt;2.4"</formula>
    </cfRule>
  </conditionalFormatting>
  <conditionalFormatting sqref="E35:P35">
    <cfRule type="expression" dxfId="172" priority="83">
      <formula>"0&gt;$E$141+$E$141&lt;2.4"</formula>
    </cfRule>
  </conditionalFormatting>
  <conditionalFormatting sqref="E37:P41">
    <cfRule type="expression" dxfId="171" priority="77">
      <formula>"0&gt;$E$141+$E$141&lt;2.4"</formula>
    </cfRule>
  </conditionalFormatting>
  <conditionalFormatting sqref="E62:P70">
    <cfRule type="expression" dxfId="170" priority="92">
      <formula>"0&gt;$E$141+$E$141&lt;2.4"</formula>
    </cfRule>
  </conditionalFormatting>
  <conditionalFormatting sqref="E79:P79">
    <cfRule type="expression" dxfId="169" priority="53">
      <formula>"0&gt;$E$141+$E$141&lt;2.4"</formula>
    </cfRule>
  </conditionalFormatting>
  <conditionalFormatting sqref="E81:P85">
    <cfRule type="expression" dxfId="168" priority="43">
      <formula>"0&gt;$E$141+$E$141&lt;2.4"</formula>
    </cfRule>
  </conditionalFormatting>
  <conditionalFormatting sqref="E72:Q73">
    <cfRule type="expression" dxfId="167" priority="179">
      <formula>"0&gt;$E$141+$E$141&lt;2.4"</formula>
    </cfRule>
  </conditionalFormatting>
  <conditionalFormatting sqref="E54:V54">
    <cfRule type="expression" dxfId="166" priority="27">
      <formula>"0&gt;$E$141+$E$141&lt;2.4"</formula>
    </cfRule>
  </conditionalFormatting>
  <conditionalFormatting sqref="E56:V61">
    <cfRule type="expression" dxfId="165" priority="194">
      <formula>"0&gt;$E$141+$E$141&lt;2.4"</formula>
    </cfRule>
  </conditionalFormatting>
  <conditionalFormatting sqref="F75">
    <cfRule type="expression" dxfId="164" priority="177">
      <formula>"0&gt;$E$141+$E$141&lt;2.4"</formula>
    </cfRule>
  </conditionalFormatting>
  <conditionalFormatting sqref="F76:J76">
    <cfRule type="expression" dxfId="163" priority="175">
      <formula>"0&gt;$E$141+$E$141&lt;2.4"</formula>
    </cfRule>
  </conditionalFormatting>
  <conditionalFormatting sqref="F53:V53">
    <cfRule type="expression" dxfId="162" priority="60">
      <formula>"0&gt;$E$141+$E$141&lt;2.4"</formula>
    </cfRule>
  </conditionalFormatting>
  <conditionalFormatting sqref="G21:G22">
    <cfRule type="expression" dxfId="161" priority="85">
      <formula>"0&gt;$E$141+$E$141&lt;2.4"</formula>
    </cfRule>
  </conditionalFormatting>
  <conditionalFormatting sqref="G25:G26">
    <cfRule type="expression" dxfId="160" priority="93">
      <formula>"0&gt;$E$141+$E$141&lt;2.4"</formula>
    </cfRule>
  </conditionalFormatting>
  <conditionalFormatting sqref="G48:G50">
    <cfRule type="expression" dxfId="159" priority="1">
      <formula>"0&gt;$E$141+$E$141&lt;2.4"</formula>
    </cfRule>
  </conditionalFormatting>
  <conditionalFormatting sqref="G94:G99">
    <cfRule type="expression" dxfId="158" priority="187">
      <formula>"0&gt;$E$141+$E$141&lt;2.4"</formula>
    </cfRule>
  </conditionalFormatting>
  <conditionalFormatting sqref="G74:J75">
    <cfRule type="expression" dxfId="157" priority="75">
      <formula>"0&gt;$E$141+$E$141&lt;2.4"</formula>
    </cfRule>
  </conditionalFormatting>
  <conditionalFormatting sqref="K25:M29">
    <cfRule type="expression" dxfId="156" priority="66">
      <formula>"0&gt;$E$141+$E$141&lt;2.4"</formula>
    </cfRule>
  </conditionalFormatting>
  <conditionalFormatting sqref="K70:P71">
    <cfRule type="expression" dxfId="155" priority="180">
      <formula>"0&gt;$E$141+$E$141&lt;2.4"</formula>
    </cfRule>
  </conditionalFormatting>
  <conditionalFormatting sqref="K74:P80">
    <cfRule type="expression" dxfId="154" priority="51">
      <formula>"0&gt;$E$141+$E$141&lt;2.4"</formula>
    </cfRule>
  </conditionalFormatting>
  <conditionalFormatting sqref="K98:P99">
    <cfRule type="expression" dxfId="153" priority="190">
      <formula>"0&gt;$E$141+$E$141&lt;2.4"</formula>
    </cfRule>
  </conditionalFormatting>
  <conditionalFormatting sqref="K78:V79">
    <cfRule type="expression" dxfId="152" priority="59">
      <formula>"0&gt;$E$141+$E$141&lt;2.4"</formula>
    </cfRule>
  </conditionalFormatting>
  <conditionalFormatting sqref="L71:P71">
    <cfRule type="expression" dxfId="151" priority="188">
      <formula>"0&gt;$E$141+$E$141&lt;2.4"</formula>
    </cfRule>
  </conditionalFormatting>
  <conditionalFormatting sqref="M96:M97">
    <cfRule type="expression" dxfId="150" priority="172">
      <formula>"0&gt;$E$141+$E$141&lt;2.4"</formula>
    </cfRule>
  </conditionalFormatting>
  <conditionalFormatting sqref="N15:P16">
    <cfRule type="expression" dxfId="149" priority="173">
      <formula>"0&gt;$E$141+$E$141&lt;2.4"</formula>
    </cfRule>
  </conditionalFormatting>
  <conditionalFormatting sqref="N21:P29">
    <cfRule type="expression" dxfId="148" priority="65">
      <formula>"0&gt;$E$141+$E$141&lt;2.4"</formula>
    </cfRule>
  </conditionalFormatting>
  <conditionalFormatting sqref="N42:P43">
    <cfRule type="expression" dxfId="147" priority="78">
      <formula>"0&gt;$E$141+$E$141&lt;2.4"</formula>
    </cfRule>
  </conditionalFormatting>
  <conditionalFormatting sqref="N48:P50">
    <cfRule type="expression" dxfId="146" priority="2">
      <formula>"0&gt;$E$141+$E$141&lt;2.4"</formula>
    </cfRule>
  </conditionalFormatting>
  <conditionalFormatting sqref="N51:V52">
    <cfRule type="expression" dxfId="145" priority="79">
      <formula>"0&gt;$E$141+$E$141&lt;2.4"</formula>
    </cfRule>
  </conditionalFormatting>
  <conditionalFormatting sqref="P72">
    <cfRule type="expression" dxfId="144" priority="193">
      <formula>"0&gt;$E$141+$E$141&lt;2.4"</formula>
    </cfRule>
  </conditionalFormatting>
  <conditionalFormatting sqref="Q8:V33">
    <cfRule type="expression" dxfId="143" priority="21">
      <formula>"0&gt;$E$141+$E$141&lt;2.4"</formula>
    </cfRule>
  </conditionalFormatting>
  <conditionalFormatting sqref="Q35:V50">
    <cfRule type="expression" dxfId="142" priority="3">
      <formula>"0&gt;$E$141+$E$141&lt;2.4"</formula>
    </cfRule>
  </conditionalFormatting>
  <conditionalFormatting sqref="Q62:V77">
    <cfRule type="expression" dxfId="141" priority="195">
      <formula>"0&gt;$E$141+$E$141&lt;2.4"</formula>
    </cfRule>
  </conditionalFormatting>
  <conditionalFormatting sqref="Q80:V86">
    <cfRule type="expression" dxfId="140" priority="50">
      <formula>"0&gt;$E$141+$E$141&lt;2.4"</formula>
    </cfRule>
  </conditionalFormatting>
  <conditionalFormatting sqref="X8:X33">
    <cfRule type="cellIs" dxfId="139" priority="11" operator="equal">
      <formula>"ALARM"</formula>
    </cfRule>
    <cfRule type="cellIs" dxfId="138" priority="12" operator="equal">
      <formula>"WARNING"</formula>
    </cfRule>
    <cfRule type="cellIs" dxfId="137" priority="13" operator="equal">
      <formula>"PREWARNING"</formula>
    </cfRule>
    <cfRule type="cellIs" dxfId="136" priority="14" operator="equal">
      <formula>"NORMAL"</formula>
    </cfRule>
  </conditionalFormatting>
  <conditionalFormatting sqref="X31">
    <cfRule type="cellIs" dxfId="135" priority="15" operator="equal">
      <formula>"ALARAM"</formula>
    </cfRule>
  </conditionalFormatting>
  <conditionalFormatting sqref="X35:X54">
    <cfRule type="cellIs" dxfId="134" priority="5" operator="equal">
      <formula>"ALARM"</formula>
    </cfRule>
    <cfRule type="cellIs" dxfId="133" priority="6" operator="equal">
      <formula>"WARNING"</formula>
    </cfRule>
    <cfRule type="cellIs" dxfId="132" priority="7" operator="equal">
      <formula>"PREWARNING"</formula>
    </cfRule>
    <cfRule type="cellIs" dxfId="131" priority="8" operator="equal">
      <formula>"NORMAL"</formula>
    </cfRule>
  </conditionalFormatting>
  <conditionalFormatting sqref="X41:X45">
    <cfRule type="cellIs" dxfId="130" priority="90" operator="equal">
      <formula>"ALARAM"</formula>
    </cfRule>
  </conditionalFormatting>
  <conditionalFormatting sqref="X48:X50">
    <cfRule type="cellIs" dxfId="129" priority="9" operator="equal">
      <formula>"ALARAM"</formula>
    </cfRule>
  </conditionalFormatting>
  <conditionalFormatting sqref="X53:X54">
    <cfRule type="cellIs" dxfId="128" priority="26" operator="equal">
      <formula>"ALARAM"</formula>
    </cfRule>
  </conditionalFormatting>
  <conditionalFormatting sqref="X56:X77 X82:X86">
    <cfRule type="cellIs" dxfId="127" priority="169" operator="equal">
      <formula>"PREWARNING"</formula>
    </cfRule>
  </conditionalFormatting>
  <conditionalFormatting sqref="X56:X86">
    <cfRule type="cellIs" dxfId="126" priority="54" operator="equal">
      <formula>"ALARM"</formula>
    </cfRule>
    <cfRule type="cellIs" dxfId="125" priority="55" operator="equal">
      <formula>"WARNING"</formula>
    </cfRule>
    <cfRule type="cellIs" dxfId="124" priority="57" operator="equal">
      <formula>"NORMAL"</formula>
    </cfRule>
  </conditionalFormatting>
  <conditionalFormatting sqref="X63:X67">
    <cfRule type="cellIs" dxfId="123" priority="167" operator="equal">
      <formula>"ALARAM"</formula>
    </cfRule>
  </conditionalFormatting>
  <conditionalFormatting sqref="X70:X71">
    <cfRule type="cellIs" dxfId="122" priority="192" operator="equal">
      <formula>"ALARAM"</formula>
    </cfRule>
  </conditionalFormatting>
  <conditionalFormatting sqref="X74:X86">
    <cfRule type="cellIs" dxfId="121" priority="58" operator="equal">
      <formula>"ALARAM"</formula>
    </cfRule>
  </conditionalFormatting>
  <conditionalFormatting sqref="X78:X81">
    <cfRule type="cellIs" dxfId="120" priority="56" operator="equal">
      <formula>"PREWARNING"</formula>
    </cfRule>
  </conditionalFormatting>
  <conditionalFormatting sqref="X88:X101">
    <cfRule type="cellIs" dxfId="119" priority="36" operator="equal">
      <formula>"PREWARNING"</formula>
    </cfRule>
  </conditionalFormatting>
  <conditionalFormatting sqref="X88:X111">
    <cfRule type="cellIs" dxfId="118" priority="34" operator="equal">
      <formula>"ALARM"</formula>
    </cfRule>
    <cfRule type="cellIs" dxfId="117" priority="35" operator="equal">
      <formula>"WARNING"</formula>
    </cfRule>
    <cfRule type="cellIs" dxfId="116" priority="37" operator="equal">
      <formula>"NORMAL"</formula>
    </cfRule>
  </conditionalFormatting>
  <conditionalFormatting sqref="X102:X111">
    <cfRule type="cellIs" dxfId="115" priority="163" operator="equal">
      <formula>"PREWARNING"</formula>
    </cfRule>
    <cfRule type="cellIs" dxfId="114" priority="171" operator="equal">
      <formula>"ALARAM"</formula>
    </cfRule>
  </conditionalFormatting>
  <conditionalFormatting sqref="AN5">
    <cfRule type="cellIs" dxfId="113" priority="129" operator="equal">
      <formula>"ALARM"</formula>
    </cfRule>
    <cfRule type="cellIs" dxfId="112" priority="130" operator="equal">
      <formula>"WARNING"</formula>
    </cfRule>
    <cfRule type="cellIs" dxfId="111" priority="131" operator="equal">
      <formula>"PREWARNING"</formula>
    </cfRule>
    <cfRule type="cellIs" dxfId="110" priority="132" operator="equal">
      <formula>"NORMAL"</formula>
    </cfRule>
  </conditionalFormatting>
  <conditionalFormatting sqref="AN8">
    <cfRule type="cellIs" dxfId="109" priority="71" operator="equal">
      <formula>"ALARM"</formula>
    </cfRule>
    <cfRule type="cellIs" dxfId="108" priority="72" operator="equal">
      <formula>"WARNING"</formula>
    </cfRule>
    <cfRule type="cellIs" dxfId="107" priority="73" operator="equal">
      <formula>"PREWARNING"</formula>
    </cfRule>
    <cfRule type="cellIs" dxfId="106" priority="74" operator="equal">
      <formula>"NORMAL"</formula>
    </cfRule>
  </conditionalFormatting>
  <conditionalFormatting sqref="BB5">
    <cfRule type="cellIs" dxfId="105" priority="106" operator="equal">
      <formula>"ALARM"</formula>
    </cfRule>
    <cfRule type="cellIs" dxfId="104" priority="107" operator="equal">
      <formula>"WARNING"</formula>
    </cfRule>
    <cfRule type="cellIs" dxfId="103" priority="108" operator="equal">
      <formula>"PREWARNING"</formula>
    </cfRule>
    <cfRule type="cellIs" dxfId="102" priority="109" operator="equal">
      <formula>"NORMAL"</formula>
    </cfRule>
  </conditionalFormatting>
  <conditionalFormatting sqref="BP5">
    <cfRule type="cellIs" dxfId="101" priority="133" operator="equal">
      <formula>"ALARM"</formula>
    </cfRule>
    <cfRule type="cellIs" dxfId="100" priority="134" operator="equal">
      <formula>"WARNING"</formula>
    </cfRule>
    <cfRule type="cellIs" dxfId="99" priority="135" operator="equal">
      <formula>"PREWARNING"</formula>
    </cfRule>
    <cfRule type="cellIs" dxfId="98" priority="136" operator="equal">
      <formula>"NORMAL"</formula>
    </cfRule>
  </conditionalFormatting>
  <conditionalFormatting sqref="CD5">
    <cfRule type="cellIs" dxfId="97" priority="102" operator="equal">
      <formula>"ALARM"</formula>
    </cfRule>
    <cfRule type="cellIs" dxfId="96" priority="103" operator="equal">
      <formula>"WARNING"</formula>
    </cfRule>
    <cfRule type="cellIs" dxfId="95" priority="104" operator="equal">
      <formula>"PREWARNING"</formula>
    </cfRule>
    <cfRule type="cellIs" dxfId="94" priority="105" operator="equal">
      <formula>"NORMAL"</formula>
    </cfRule>
  </conditionalFormatting>
  <conditionalFormatting sqref="CX5">
    <cfRule type="cellIs" dxfId="93" priority="110" operator="equal">
      <formula>"ALARM"</formula>
    </cfRule>
    <cfRule type="cellIs" dxfId="92" priority="111" operator="equal">
      <formula>"WARNING"</formula>
    </cfRule>
    <cfRule type="cellIs" dxfId="91" priority="112" operator="equal">
      <formula>"PREWARNING"</formula>
    </cfRule>
    <cfRule type="cellIs" dxfId="90" priority="113" operator="equal">
      <formula>"NORMAL"</formula>
    </cfRule>
  </conditionalFormatting>
  <conditionalFormatting sqref="DR5">
    <cfRule type="cellIs" dxfId="89" priority="137" operator="equal">
      <formula>"ALARM"</formula>
    </cfRule>
    <cfRule type="cellIs" dxfId="88" priority="138" operator="equal">
      <formula>"WARNING"</formula>
    </cfRule>
    <cfRule type="cellIs" dxfId="87" priority="139" operator="equal">
      <formula>"PREWARNING"</formula>
    </cfRule>
    <cfRule type="cellIs" dxfId="86" priority="140" operator="equal">
      <formula>"NORMAL"</formula>
    </cfRule>
  </conditionalFormatting>
  <conditionalFormatting sqref="EF5">
    <cfRule type="cellIs" dxfId="85" priority="114" operator="equal">
      <formula>"ALARM"</formula>
    </cfRule>
    <cfRule type="cellIs" dxfId="84" priority="115" operator="equal">
      <formula>"ALARAM"</formula>
    </cfRule>
    <cfRule type="cellIs" dxfId="83" priority="116" operator="equal">
      <formula>"WARNING"</formula>
    </cfRule>
    <cfRule type="cellIs" dxfId="82" priority="117" operator="equal">
      <formula>"PREWARNING"</formula>
    </cfRule>
    <cfRule type="cellIs" dxfId="81" priority="118" operator="equal">
      <formula>"NORMAL"</formula>
    </cfRule>
  </conditionalFormatting>
  <conditionalFormatting sqref="ET5">
    <cfRule type="cellIs" dxfId="80" priority="94" operator="equal">
      <formula>"ALARM"</formula>
    </cfRule>
    <cfRule type="cellIs" dxfId="79" priority="95" operator="equal">
      <formula>"WARNING"</formula>
    </cfRule>
    <cfRule type="cellIs" dxfId="78" priority="96" operator="equal">
      <formula>"PREWARNING"</formula>
    </cfRule>
    <cfRule type="cellIs" dxfId="77" priority="97" operator="equal">
      <formula>"NORMAL"</formula>
    </cfRule>
  </conditionalFormatting>
  <conditionalFormatting sqref="FH5">
    <cfRule type="cellIs" dxfId="76" priority="157" operator="equal">
      <formula>"ALARM"</formula>
    </cfRule>
    <cfRule type="cellIs" dxfId="75" priority="158" operator="equal">
      <formula>"WARNING"</formula>
    </cfRule>
    <cfRule type="cellIs" dxfId="74" priority="159" operator="equal">
      <formula>"PREWARNING"</formula>
    </cfRule>
    <cfRule type="cellIs" dxfId="73" priority="160" operator="equal">
      <formula>"NORMAL"</formula>
    </cfRule>
  </conditionalFormatting>
  <conditionalFormatting sqref="FV5">
    <cfRule type="cellIs" dxfId="72" priority="153" operator="equal">
      <formula>"ALARM"</formula>
    </cfRule>
    <cfRule type="cellIs" dxfId="71" priority="154" operator="equal">
      <formula>"WARNING"</formula>
    </cfRule>
    <cfRule type="cellIs" dxfId="70" priority="155" operator="equal">
      <formula>"PREWARNING"</formula>
    </cfRule>
    <cfRule type="cellIs" dxfId="69" priority="156" operator="equal">
      <formula>"NORMAL"</formula>
    </cfRule>
  </conditionalFormatting>
  <conditionalFormatting sqref="GJ5">
    <cfRule type="cellIs" dxfId="68" priority="98" operator="equal">
      <formula>"ALARM"</formula>
    </cfRule>
    <cfRule type="cellIs" dxfId="67" priority="99" operator="equal">
      <formula>"WARNING"</formula>
    </cfRule>
    <cfRule type="cellIs" dxfId="66" priority="100" operator="equal">
      <formula>"PREWARNING"</formula>
    </cfRule>
    <cfRule type="cellIs" dxfId="65" priority="101" operator="equal">
      <formula>"NORMAL"</formula>
    </cfRule>
  </conditionalFormatting>
  <conditionalFormatting sqref="GX5">
    <cfRule type="cellIs" dxfId="64" priority="149" operator="equal">
      <formula>"ALARM"</formula>
    </cfRule>
    <cfRule type="cellIs" dxfId="63" priority="150" operator="equal">
      <formula>"WARNING"</formula>
    </cfRule>
    <cfRule type="cellIs" dxfId="62" priority="151" operator="equal">
      <formula>"PREWARNING"</formula>
    </cfRule>
    <cfRule type="cellIs" dxfId="61" priority="152" operator="equal">
      <formula>"NORMAL"</formula>
    </cfRule>
  </conditionalFormatting>
  <conditionalFormatting sqref="HL5">
    <cfRule type="cellIs" dxfId="60" priority="145" operator="equal">
      <formula>"ALARM"</formula>
    </cfRule>
    <cfRule type="cellIs" dxfId="59" priority="146" operator="equal">
      <formula>"WARNING"</formula>
    </cfRule>
    <cfRule type="cellIs" dxfId="58" priority="147" operator="equal">
      <formula>"PREWARNING"</formula>
    </cfRule>
    <cfRule type="cellIs" dxfId="57" priority="148" operator="equal">
      <formula>"NORMAL"</formula>
    </cfRule>
  </conditionalFormatting>
  <conditionalFormatting sqref="HZ5">
    <cfRule type="cellIs" dxfId="56" priority="141" operator="equal">
      <formula>"ALARM"</formula>
    </cfRule>
    <cfRule type="cellIs" dxfId="55" priority="142" operator="equal">
      <formula>"WARNING"</formula>
    </cfRule>
    <cfRule type="cellIs" dxfId="54" priority="143" operator="equal">
      <formula>"PREWARNING"</formula>
    </cfRule>
    <cfRule type="cellIs" dxfId="53" priority="144" operator="equal">
      <formula>"NORMAL"</formula>
    </cfRule>
  </conditionalFormatting>
  <conditionalFormatting sqref="IN5">
    <cfRule type="cellIs" dxfId="52" priority="124" operator="equal">
      <formula>"ALARM"</formula>
    </cfRule>
    <cfRule type="cellIs" dxfId="51" priority="125" operator="equal">
      <formula>"ALARAM"</formula>
    </cfRule>
    <cfRule type="cellIs" dxfId="50" priority="126" operator="equal">
      <formula>"WARNING"</formula>
    </cfRule>
    <cfRule type="cellIs" dxfId="49" priority="127" operator="equal">
      <formula>"PREWARNING"</formula>
    </cfRule>
    <cfRule type="cellIs" dxfId="48" priority="128" operator="equal">
      <formula>"NORMAL"</formula>
    </cfRule>
  </conditionalFormatting>
  <conditionalFormatting sqref="JB5">
    <cfRule type="cellIs" dxfId="47" priority="119" operator="equal">
      <formula>"ALARM"</formula>
    </cfRule>
    <cfRule type="cellIs" dxfId="46" priority="120" operator="equal">
      <formula>"ALARAM"</formula>
    </cfRule>
    <cfRule type="cellIs" dxfId="45" priority="121" operator="equal">
      <formula>"WARNING"</formula>
    </cfRule>
    <cfRule type="cellIs" dxfId="44" priority="122" operator="equal">
      <formula>"PREWARNING"</formula>
    </cfRule>
    <cfRule type="cellIs" dxfId="43" priority="123" operator="equal">
      <formula>"NORMAL"</formula>
    </cfRule>
  </conditionalFormatting>
  <printOptions horizontalCentered="1"/>
  <pageMargins left="0.7" right="0.7" top="0.75" bottom="0.75" header="0.3" footer="0.3"/>
  <pageSetup paperSize="9" scale="56" orientation="landscape" r:id="rId1"/>
  <headerFooter>
    <oddFooter>&amp;L&amp;K00-047PT. PLN Indonesia Power UBP PLTU Jeranjang
Jl. Raya PLTU Jeranjang, Desa Taman Ayu – Kec. Gerung
Lombok Barat – Mataram - NTB</oddFooter>
  </headerFooter>
  <rowBreaks count="1" manualBreakCount="1">
    <brk id="54" max="24"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S121"/>
  <sheetViews>
    <sheetView view="pageBreakPreview" zoomScale="70" zoomScaleNormal="100" zoomScaleSheetLayoutView="70" zoomScalePageLayoutView="85" workbookViewId="0">
      <selection activeCell="I103" sqref="I103"/>
    </sheetView>
  </sheetViews>
  <sheetFormatPr defaultColWidth="9.1796875" defaultRowHeight="14.5" x14ac:dyDescent="0.35"/>
  <cols>
    <col min="2" max="2" width="2" customWidth="1"/>
    <col min="3" max="3" width="4.26953125" bestFit="1" customWidth="1"/>
    <col min="4" max="4" width="31.54296875" customWidth="1"/>
    <col min="5" max="8" width="8.7265625" customWidth="1"/>
    <col min="9" max="9" width="14.81640625" customWidth="1"/>
    <col min="10" max="10" width="34.7265625" customWidth="1"/>
    <col min="11" max="11" width="27.453125" customWidth="1"/>
    <col min="12" max="12" width="1.7265625" customWidth="1"/>
    <col min="13" max="14" width="6.54296875" customWidth="1"/>
    <col min="15" max="15" width="19" customWidth="1"/>
    <col min="16" max="16" width="32.453125" customWidth="1"/>
    <col min="17" max="17" width="30.08984375" customWidth="1"/>
    <col min="18" max="18" width="13.26953125" customWidth="1"/>
    <col min="19" max="19" width="15.26953125" bestFit="1" customWidth="1"/>
  </cols>
  <sheetData>
    <row r="1" spans="1:19" x14ac:dyDescent="0.35">
      <c r="A1" s="81"/>
      <c r="B1" s="119"/>
      <c r="C1" s="120"/>
      <c r="D1" s="121"/>
      <c r="E1" s="128" t="s">
        <v>0</v>
      </c>
      <c r="F1" s="129"/>
      <c r="G1" s="129"/>
      <c r="H1" s="129"/>
      <c r="I1" s="129"/>
      <c r="J1" s="130"/>
      <c r="K1" s="1" t="s">
        <v>95</v>
      </c>
      <c r="L1" s="3"/>
      <c r="M1" s="82"/>
      <c r="N1" s="82"/>
      <c r="O1" s="81"/>
      <c r="P1" s="81"/>
      <c r="Q1" s="81"/>
      <c r="R1" s="81"/>
      <c r="S1" s="81"/>
    </row>
    <row r="2" spans="1:19" x14ac:dyDescent="0.35">
      <c r="A2" s="81"/>
      <c r="B2" s="122"/>
      <c r="C2" s="123"/>
      <c r="D2" s="124"/>
      <c r="E2" s="128" t="s">
        <v>3</v>
      </c>
      <c r="F2" s="129"/>
      <c r="G2" s="129"/>
      <c r="H2" s="129"/>
      <c r="I2" s="129"/>
      <c r="J2" s="130"/>
      <c r="K2" s="1" t="s">
        <v>96</v>
      </c>
      <c r="L2" s="3"/>
      <c r="M2" s="82"/>
      <c r="N2" s="82"/>
      <c r="O2" s="81"/>
      <c r="P2" s="81"/>
      <c r="Q2" s="81"/>
      <c r="R2" s="81"/>
      <c r="S2" s="81"/>
    </row>
    <row r="3" spans="1:19" x14ac:dyDescent="0.35">
      <c r="A3" s="81"/>
      <c r="B3" s="122"/>
      <c r="C3" s="123"/>
      <c r="D3" s="124"/>
      <c r="E3" s="128" t="s">
        <v>6</v>
      </c>
      <c r="F3" s="129"/>
      <c r="G3" s="129"/>
      <c r="H3" s="129"/>
      <c r="I3" s="129"/>
      <c r="J3" s="130"/>
      <c r="K3" s="1" t="s">
        <v>97</v>
      </c>
      <c r="L3" s="3"/>
      <c r="M3" s="82"/>
      <c r="N3" s="82"/>
      <c r="O3" s="81"/>
      <c r="P3" s="81"/>
      <c r="Q3" s="81"/>
      <c r="R3" s="81"/>
      <c r="S3" s="81"/>
    </row>
    <row r="4" spans="1:19" x14ac:dyDescent="0.35">
      <c r="A4" s="81"/>
      <c r="B4" s="125"/>
      <c r="C4" s="126"/>
      <c r="D4" s="127"/>
      <c r="E4" s="128" t="s">
        <v>9</v>
      </c>
      <c r="F4" s="129"/>
      <c r="G4" s="129"/>
      <c r="H4" s="129"/>
      <c r="I4" s="129"/>
      <c r="J4" s="130"/>
      <c r="K4" s="1" t="s">
        <v>98</v>
      </c>
      <c r="L4" s="3"/>
      <c r="M4" s="82"/>
      <c r="N4" s="82"/>
      <c r="O4" s="81"/>
      <c r="P4" s="81"/>
      <c r="Q4" s="81"/>
      <c r="R4" s="81"/>
      <c r="S4" s="81"/>
    </row>
    <row r="5" spans="1:19" ht="35.15" customHeight="1" x14ac:dyDescent="0.35">
      <c r="A5" s="81" t="s">
        <v>99</v>
      </c>
      <c r="B5" s="142" t="s">
        <v>100</v>
      </c>
      <c r="C5" s="142"/>
      <c r="D5" s="142"/>
      <c r="E5" s="142"/>
      <c r="F5" s="142"/>
      <c r="G5" s="142"/>
      <c r="H5" s="142"/>
      <c r="I5" s="142"/>
      <c r="J5" s="142"/>
      <c r="K5" s="142"/>
      <c r="L5" s="142"/>
      <c r="M5" s="83"/>
      <c r="N5" s="83"/>
      <c r="O5" s="81"/>
      <c r="P5" s="81"/>
      <c r="Q5" s="81"/>
      <c r="R5" s="81"/>
      <c r="S5" s="81"/>
    </row>
    <row r="6" spans="1:19" ht="15.5" x14ac:dyDescent="0.35">
      <c r="A6" s="81"/>
      <c r="B6" s="84"/>
      <c r="C6" s="85"/>
      <c r="D6" s="85"/>
      <c r="E6" s="85"/>
      <c r="F6" s="86"/>
      <c r="G6" s="86"/>
      <c r="H6" s="82"/>
      <c r="I6" s="82"/>
      <c r="J6" s="82"/>
      <c r="K6" s="82"/>
      <c r="L6" s="87"/>
      <c r="M6" s="82"/>
      <c r="N6" s="82"/>
      <c r="O6" s="81"/>
      <c r="P6" s="81"/>
      <c r="Q6" s="81"/>
      <c r="R6" s="81"/>
      <c r="S6" s="81"/>
    </row>
    <row r="7" spans="1:19" ht="45" customHeight="1" x14ac:dyDescent="0.35">
      <c r="A7" s="81"/>
      <c r="B7" s="88"/>
      <c r="C7" s="143" t="s">
        <v>39</v>
      </c>
      <c r="D7" s="143" t="s">
        <v>40</v>
      </c>
      <c r="E7" s="143" t="s">
        <v>101</v>
      </c>
      <c r="F7" s="143"/>
      <c r="G7" s="143" t="s">
        <v>102</v>
      </c>
      <c r="H7" s="143"/>
      <c r="I7" s="144" t="s">
        <v>44</v>
      </c>
      <c r="J7" s="144" t="s">
        <v>103</v>
      </c>
      <c r="K7" s="144" t="s">
        <v>104</v>
      </c>
      <c r="L7" s="87"/>
      <c r="M7" s="89"/>
      <c r="N7" s="150" t="s">
        <v>105</v>
      </c>
      <c r="O7" s="151" t="s">
        <v>106</v>
      </c>
      <c r="P7" s="151" t="s">
        <v>107</v>
      </c>
      <c r="Q7" s="151" t="s">
        <v>108</v>
      </c>
      <c r="R7" s="151" t="s">
        <v>109</v>
      </c>
      <c r="S7" s="149" t="s">
        <v>110</v>
      </c>
    </row>
    <row r="8" spans="1:19" ht="20.25" customHeight="1" x14ac:dyDescent="0.35">
      <c r="A8" s="81"/>
      <c r="B8" s="88"/>
      <c r="C8" s="143"/>
      <c r="D8" s="143"/>
      <c r="E8" s="90" t="s">
        <v>42</v>
      </c>
      <c r="F8" s="90" t="s">
        <v>111</v>
      </c>
      <c r="G8" s="90" t="s">
        <v>42</v>
      </c>
      <c r="H8" s="90" t="s">
        <v>111</v>
      </c>
      <c r="I8" s="144"/>
      <c r="J8" s="144"/>
      <c r="K8" s="144"/>
      <c r="L8" s="87"/>
      <c r="M8" s="89"/>
      <c r="N8" s="150"/>
      <c r="O8" s="151"/>
      <c r="P8" s="151"/>
      <c r="Q8" s="151"/>
      <c r="R8" s="151"/>
      <c r="S8" s="149"/>
    </row>
    <row r="9" spans="1:19" ht="15" customHeight="1" x14ac:dyDescent="0.35">
      <c r="A9" s="91"/>
      <c r="B9" s="92"/>
      <c r="C9" s="60"/>
      <c r="D9" s="60" t="str">
        <f>'[1]INPUT EQUIPMENT'!A8</f>
        <v>UNIT 1</v>
      </c>
      <c r="E9" s="60"/>
      <c r="F9" s="60"/>
      <c r="G9" s="61"/>
      <c r="H9" s="61"/>
      <c r="I9" s="61"/>
      <c r="J9" s="61"/>
      <c r="K9" s="61"/>
      <c r="L9" s="87"/>
      <c r="M9" s="89"/>
      <c r="N9" s="89"/>
      <c r="O9" s="93"/>
      <c r="P9" s="93"/>
      <c r="Q9" s="93"/>
      <c r="R9" s="93"/>
      <c r="S9" s="93"/>
    </row>
    <row r="10" spans="1:19" ht="98.5" customHeight="1" x14ac:dyDescent="0.35">
      <c r="A10" s="94">
        <v>43</v>
      </c>
      <c r="B10" s="92"/>
      <c r="C10" s="52">
        <v>1</v>
      </c>
      <c r="D10" s="95" t="str">
        <f>'[1]INPUT EQUIPMENT'!B9</f>
        <v>Motor ID Fan 1#1</v>
      </c>
      <c r="E10" s="52" t="s">
        <v>48</v>
      </c>
      <c r="F10" s="52">
        <v>1.39</v>
      </c>
      <c r="G10" s="52" t="s">
        <v>49</v>
      </c>
      <c r="H10" s="52">
        <v>1.39</v>
      </c>
      <c r="I10" s="52" t="s">
        <v>122</v>
      </c>
      <c r="J10" s="96" t="s">
        <v>123</v>
      </c>
      <c r="K10" s="96" t="s">
        <v>124</v>
      </c>
      <c r="L10" s="87"/>
      <c r="M10" s="89"/>
      <c r="N10" s="89" t="s">
        <v>112</v>
      </c>
      <c r="O10" s="93"/>
      <c r="P10" s="93"/>
      <c r="Q10" s="93"/>
      <c r="R10" s="93"/>
      <c r="S10" s="93"/>
    </row>
    <row r="11" spans="1:19" ht="105" customHeight="1" x14ac:dyDescent="0.35">
      <c r="A11" s="94">
        <v>44</v>
      </c>
      <c r="B11" s="92"/>
      <c r="C11" s="52">
        <v>2</v>
      </c>
      <c r="D11" s="95" t="str">
        <f>'[1]INPUT EQUIPMENT'!B10</f>
        <v>Motor ID Fan 2#1</v>
      </c>
      <c r="E11" s="52" t="s">
        <v>61</v>
      </c>
      <c r="F11" s="52">
        <v>1.84</v>
      </c>
      <c r="G11" s="52" t="s">
        <v>61</v>
      </c>
      <c r="H11" s="52">
        <v>1.96</v>
      </c>
      <c r="I11" s="52" t="s">
        <v>122</v>
      </c>
      <c r="J11" s="96" t="s">
        <v>125</v>
      </c>
      <c r="K11" s="96" t="s">
        <v>124</v>
      </c>
      <c r="L11" s="87"/>
      <c r="M11" s="89"/>
      <c r="N11" s="89" t="s">
        <v>113</v>
      </c>
      <c r="O11" s="93"/>
      <c r="P11" s="93"/>
      <c r="Q11" s="93"/>
      <c r="R11" s="93"/>
      <c r="S11" s="93"/>
    </row>
    <row r="12" spans="1:19" ht="103.5" customHeight="1" x14ac:dyDescent="0.35">
      <c r="A12" s="94">
        <v>45</v>
      </c>
      <c r="B12" s="92"/>
      <c r="C12" s="52">
        <v>3</v>
      </c>
      <c r="D12" s="95" t="str">
        <f>'[1]INPUT EQUIPMENT'!B11</f>
        <v>Motor Primary Air Fan 1#1</v>
      </c>
      <c r="E12" s="52" t="s">
        <v>54</v>
      </c>
      <c r="F12" s="52">
        <v>3.72</v>
      </c>
      <c r="G12" s="52" t="s">
        <v>54</v>
      </c>
      <c r="H12" s="52">
        <v>2.99</v>
      </c>
      <c r="I12" s="52" t="s">
        <v>126</v>
      </c>
      <c r="J12" s="96" t="s">
        <v>127</v>
      </c>
      <c r="K12" s="96" t="s">
        <v>124</v>
      </c>
      <c r="L12" s="87"/>
      <c r="M12" s="89"/>
      <c r="N12" s="89" t="s">
        <v>112</v>
      </c>
      <c r="O12" s="93"/>
      <c r="P12" s="97"/>
      <c r="Q12" s="93"/>
      <c r="R12" s="93"/>
      <c r="S12" s="93"/>
    </row>
    <row r="13" spans="1:19" ht="111" customHeight="1" x14ac:dyDescent="0.35">
      <c r="A13" s="94">
        <v>46</v>
      </c>
      <c r="B13" s="92"/>
      <c r="C13" s="52">
        <v>4</v>
      </c>
      <c r="D13" s="95" t="str">
        <f>'[1]INPUT EQUIPMENT'!B12</f>
        <v>Motor Primary Air Fan 2#1</v>
      </c>
      <c r="E13" s="52" t="s">
        <v>49</v>
      </c>
      <c r="F13" s="52">
        <v>1.67</v>
      </c>
      <c r="G13" s="52" t="s">
        <v>55</v>
      </c>
      <c r="H13" s="98">
        <v>1.59</v>
      </c>
      <c r="I13" s="52" t="s">
        <v>122</v>
      </c>
      <c r="J13" s="96" t="s">
        <v>128</v>
      </c>
      <c r="K13" s="96" t="s">
        <v>129</v>
      </c>
      <c r="L13" s="87"/>
      <c r="M13" s="89"/>
      <c r="N13" s="89" t="s">
        <v>113</v>
      </c>
      <c r="O13" s="93"/>
      <c r="P13" s="93"/>
      <c r="Q13" s="93"/>
      <c r="R13" s="93"/>
      <c r="S13" s="93"/>
    </row>
    <row r="14" spans="1:19" ht="117" customHeight="1" x14ac:dyDescent="0.35">
      <c r="A14" s="94">
        <v>47</v>
      </c>
      <c r="B14" s="92"/>
      <c r="C14" s="52">
        <v>5</v>
      </c>
      <c r="D14" s="95" t="str">
        <f>'[1]INPUT EQUIPMENT'!B13</f>
        <v>Motor Secondary Air Fan 1#1</v>
      </c>
      <c r="E14" s="52" t="s">
        <v>46</v>
      </c>
      <c r="F14" s="52">
        <v>2.38</v>
      </c>
      <c r="G14" s="52" t="s">
        <v>46</v>
      </c>
      <c r="H14" s="52">
        <v>2.06</v>
      </c>
      <c r="I14" s="52" t="s">
        <v>122</v>
      </c>
      <c r="J14" s="96" t="s">
        <v>130</v>
      </c>
      <c r="K14" s="96" t="s">
        <v>124</v>
      </c>
      <c r="L14" s="87"/>
      <c r="M14" s="89"/>
      <c r="N14" s="89" t="s">
        <v>112</v>
      </c>
      <c r="O14" s="93"/>
      <c r="P14" s="93"/>
      <c r="Q14" s="93"/>
      <c r="R14" s="93"/>
      <c r="S14" s="93"/>
    </row>
    <row r="15" spans="1:19" ht="200" x14ac:dyDescent="0.35">
      <c r="A15" s="94">
        <v>48</v>
      </c>
      <c r="B15" s="92"/>
      <c r="C15" s="52">
        <v>6</v>
      </c>
      <c r="D15" s="95" t="str">
        <f>'[1]INPUT EQUIPMENT'!B14</f>
        <v>Motor Secondary Air Fan 2#1</v>
      </c>
      <c r="E15" s="52" t="s">
        <v>49</v>
      </c>
      <c r="F15" s="52">
        <v>4.4800000000000004</v>
      </c>
      <c r="G15" s="52" t="s">
        <v>49</v>
      </c>
      <c r="H15" s="52">
        <v>7.31</v>
      </c>
      <c r="I15" s="52" t="s">
        <v>131</v>
      </c>
      <c r="J15" s="96" t="s">
        <v>132</v>
      </c>
      <c r="K15" s="96" t="s">
        <v>133</v>
      </c>
      <c r="L15" s="87"/>
      <c r="M15" s="89"/>
      <c r="N15" s="89" t="s">
        <v>113</v>
      </c>
      <c r="O15" s="93"/>
      <c r="P15" s="93"/>
      <c r="Q15" s="93"/>
      <c r="R15" s="93"/>
      <c r="S15" s="93"/>
    </row>
    <row r="16" spans="1:19" ht="112.5" x14ac:dyDescent="0.35">
      <c r="A16" s="94">
        <v>49</v>
      </c>
      <c r="B16" s="92"/>
      <c r="C16" s="52">
        <v>7</v>
      </c>
      <c r="D16" s="95" t="str">
        <f>'[1]INPUT EQUIPMENT'!B15</f>
        <v>Turbin-Generator#1</v>
      </c>
      <c r="E16" s="52" t="s">
        <v>45</v>
      </c>
      <c r="F16" s="52">
        <v>2.98</v>
      </c>
      <c r="G16" s="52" t="s">
        <v>48</v>
      </c>
      <c r="H16" s="52">
        <v>3.52</v>
      </c>
      <c r="I16" s="52" t="s">
        <v>122</v>
      </c>
      <c r="J16" s="96" t="s">
        <v>134</v>
      </c>
      <c r="K16" s="96" t="s">
        <v>135</v>
      </c>
      <c r="L16" s="87"/>
      <c r="M16" s="89"/>
      <c r="N16" s="89" t="s">
        <v>112</v>
      </c>
      <c r="O16" s="93"/>
      <c r="P16" s="93"/>
      <c r="Q16" s="93"/>
      <c r="R16" s="93"/>
      <c r="S16" s="93"/>
    </row>
    <row r="17" spans="1:19" ht="100" x14ac:dyDescent="0.35">
      <c r="A17" s="94">
        <v>50</v>
      </c>
      <c r="B17" s="92"/>
      <c r="C17" s="52">
        <v>8</v>
      </c>
      <c r="D17" s="95" t="str">
        <f>'[1]INPUT EQUIPMENT'!B16</f>
        <v>Motor Condensat Pump 1#1</v>
      </c>
      <c r="E17" s="52" t="s">
        <v>53</v>
      </c>
      <c r="F17" s="52">
        <v>1.1399999999999999</v>
      </c>
      <c r="G17" s="52" t="s">
        <v>53</v>
      </c>
      <c r="H17" s="52">
        <v>0.77</v>
      </c>
      <c r="I17" s="52" t="s">
        <v>122</v>
      </c>
      <c r="J17" s="96" t="s">
        <v>136</v>
      </c>
      <c r="K17" s="96" t="s">
        <v>137</v>
      </c>
      <c r="L17" s="87"/>
      <c r="M17" s="89"/>
      <c r="N17" s="89" t="s">
        <v>114</v>
      </c>
      <c r="O17" s="93"/>
      <c r="P17" s="93"/>
      <c r="Q17" s="93"/>
      <c r="R17" s="93"/>
      <c r="S17" s="93"/>
    </row>
    <row r="18" spans="1:19" x14ac:dyDescent="0.35">
      <c r="A18" s="94">
        <v>51</v>
      </c>
      <c r="B18" s="92"/>
      <c r="C18" s="52">
        <v>9</v>
      </c>
      <c r="D18" s="95" t="str">
        <f>'[1]INPUT EQUIPMENT'!B17</f>
        <v>Motor Condensat Pump 2#1</v>
      </c>
      <c r="E18" s="52" t="s">
        <v>46</v>
      </c>
      <c r="F18" s="52">
        <v>4.18</v>
      </c>
      <c r="G18" s="52" t="s">
        <v>46</v>
      </c>
      <c r="H18" s="52">
        <v>0</v>
      </c>
      <c r="I18" s="52" t="s">
        <v>138</v>
      </c>
      <c r="J18" s="96" t="s">
        <v>139</v>
      </c>
      <c r="K18" s="96" t="s">
        <v>139</v>
      </c>
      <c r="L18" s="87"/>
      <c r="M18" s="89"/>
      <c r="N18" s="89" t="s">
        <v>115</v>
      </c>
      <c r="O18" s="93"/>
      <c r="P18" s="93"/>
      <c r="Q18" s="93"/>
      <c r="R18" s="93"/>
      <c r="S18" s="93"/>
    </row>
    <row r="19" spans="1:19" ht="125" x14ac:dyDescent="0.35">
      <c r="A19" s="94">
        <v>52</v>
      </c>
      <c r="B19" s="92"/>
      <c r="C19" s="52">
        <v>10</v>
      </c>
      <c r="D19" s="95" t="str">
        <f>'[1]INPUT EQUIPMENT'!B18</f>
        <v>Motor Vacuum Pump 1#1</v>
      </c>
      <c r="E19" s="52" t="s">
        <v>54</v>
      </c>
      <c r="F19" s="52">
        <v>1.66</v>
      </c>
      <c r="G19" s="52" t="s">
        <v>54</v>
      </c>
      <c r="H19" s="52">
        <v>1.43</v>
      </c>
      <c r="I19" s="52" t="s">
        <v>122</v>
      </c>
      <c r="J19" s="96" t="s">
        <v>140</v>
      </c>
      <c r="K19" s="96" t="s">
        <v>141</v>
      </c>
      <c r="L19" s="87"/>
      <c r="M19" s="89"/>
      <c r="N19" s="89" t="s">
        <v>113</v>
      </c>
      <c r="O19" s="93"/>
      <c r="P19" s="93"/>
      <c r="Q19" s="93"/>
      <c r="R19" s="93"/>
      <c r="S19" s="93"/>
    </row>
    <row r="20" spans="1:19" ht="114.5" customHeight="1" x14ac:dyDescent="0.35">
      <c r="A20" s="94">
        <v>53</v>
      </c>
      <c r="B20" s="92"/>
      <c r="C20" s="52">
        <v>11</v>
      </c>
      <c r="D20" s="95" t="str">
        <f>'[1]INPUT EQUIPMENT'!B19</f>
        <v>Motor Vacuum Pump 2#1</v>
      </c>
      <c r="E20" s="52" t="s">
        <v>55</v>
      </c>
      <c r="F20" s="52">
        <v>2.64</v>
      </c>
      <c r="G20" s="52" t="s">
        <v>55</v>
      </c>
      <c r="H20" s="52">
        <v>1.61</v>
      </c>
      <c r="I20" s="52" t="s">
        <v>126</v>
      </c>
      <c r="J20" s="96" t="s">
        <v>142</v>
      </c>
      <c r="K20" s="96" t="s">
        <v>143</v>
      </c>
      <c r="L20" s="87"/>
      <c r="M20" s="89"/>
      <c r="N20" s="89" t="s">
        <v>113</v>
      </c>
      <c r="O20" s="93"/>
      <c r="P20" s="93"/>
      <c r="Q20" s="93"/>
      <c r="R20" s="93"/>
      <c r="S20" s="93"/>
    </row>
    <row r="21" spans="1:19" x14ac:dyDescent="0.35">
      <c r="A21" s="94">
        <v>54</v>
      </c>
      <c r="B21" s="92"/>
      <c r="C21" s="52">
        <v>12</v>
      </c>
      <c r="D21" s="95" t="str">
        <f>'[1]INPUT EQUIPMENT'!B20</f>
        <v>Motor Boiler Feed Pump 1#1</v>
      </c>
      <c r="E21" s="52" t="s">
        <v>50</v>
      </c>
      <c r="F21" s="52">
        <v>3.05</v>
      </c>
      <c r="G21" s="52" t="s">
        <v>50</v>
      </c>
      <c r="H21" s="52">
        <v>0</v>
      </c>
      <c r="I21" s="52" t="s">
        <v>138</v>
      </c>
      <c r="J21" s="96" t="s">
        <v>139</v>
      </c>
      <c r="K21" s="96" t="s">
        <v>139</v>
      </c>
      <c r="L21" s="99"/>
      <c r="M21" s="89"/>
      <c r="N21" s="89" t="s">
        <v>115</v>
      </c>
      <c r="O21" s="93"/>
      <c r="P21" s="93"/>
      <c r="Q21" s="93"/>
      <c r="R21" s="93"/>
      <c r="S21" s="93"/>
    </row>
    <row r="22" spans="1:19" ht="106.5" customHeight="1" x14ac:dyDescent="0.35">
      <c r="A22" s="94">
        <v>55</v>
      </c>
      <c r="B22" s="92"/>
      <c r="C22" s="52">
        <v>13</v>
      </c>
      <c r="D22" s="95" t="str">
        <f>'[1]INPUT EQUIPMENT'!B21</f>
        <v>Motor Boiler Feed Pump 2#1</v>
      </c>
      <c r="E22" s="52" t="s">
        <v>58</v>
      </c>
      <c r="F22" s="52">
        <v>3.86</v>
      </c>
      <c r="G22" s="52" t="s">
        <v>58</v>
      </c>
      <c r="H22" s="52">
        <v>4.17</v>
      </c>
      <c r="I22" s="52" t="s">
        <v>126</v>
      </c>
      <c r="J22" s="96" t="s">
        <v>144</v>
      </c>
      <c r="K22" s="96" t="s">
        <v>141</v>
      </c>
      <c r="L22" s="87"/>
      <c r="M22" s="89"/>
      <c r="N22" s="89" t="s">
        <v>114</v>
      </c>
      <c r="O22" s="93"/>
      <c r="P22" s="93"/>
      <c r="Q22" s="93"/>
      <c r="R22" s="93"/>
      <c r="S22" s="93"/>
    </row>
    <row r="23" spans="1:19" ht="113" customHeight="1" x14ac:dyDescent="0.35">
      <c r="A23" s="94">
        <v>56</v>
      </c>
      <c r="B23" s="92"/>
      <c r="C23" s="52">
        <v>14</v>
      </c>
      <c r="D23" s="95" t="str">
        <f>'[1]INPUT EQUIPMENT'!B22</f>
        <v>Motor CCCWP 1#1</v>
      </c>
      <c r="E23" s="52" t="s">
        <v>45</v>
      </c>
      <c r="F23" s="52">
        <v>2.62</v>
      </c>
      <c r="G23" s="52" t="s">
        <v>46</v>
      </c>
      <c r="H23" s="52">
        <v>2.5099999999999998</v>
      </c>
      <c r="I23" s="52" t="s">
        <v>126</v>
      </c>
      <c r="J23" s="96" t="s">
        <v>145</v>
      </c>
      <c r="K23" s="96" t="s">
        <v>146</v>
      </c>
      <c r="L23" s="87"/>
      <c r="M23" s="89"/>
      <c r="N23" s="89" t="s">
        <v>112</v>
      </c>
      <c r="O23" s="93"/>
      <c r="P23" s="93"/>
      <c r="Q23" s="93"/>
      <c r="R23" s="93"/>
      <c r="S23" s="93"/>
    </row>
    <row r="24" spans="1:19" ht="100" x14ac:dyDescent="0.35">
      <c r="A24" s="94">
        <v>57</v>
      </c>
      <c r="B24" s="92"/>
      <c r="C24" s="52">
        <v>15</v>
      </c>
      <c r="D24" s="95" t="str">
        <f>'[1]INPUT EQUIPMENT'!B23</f>
        <v>Motor CCCWP 2#1</v>
      </c>
      <c r="E24" s="52" t="s">
        <v>45</v>
      </c>
      <c r="F24" s="52">
        <v>1.41</v>
      </c>
      <c r="G24" s="52" t="s">
        <v>46</v>
      </c>
      <c r="H24" s="52">
        <v>1.61</v>
      </c>
      <c r="I24" s="52" t="s">
        <v>126</v>
      </c>
      <c r="J24" s="96" t="s">
        <v>147</v>
      </c>
      <c r="K24" s="96" t="s">
        <v>148</v>
      </c>
      <c r="L24" s="87"/>
      <c r="M24" s="89"/>
      <c r="N24" s="89" t="s">
        <v>113</v>
      </c>
      <c r="O24" s="93"/>
      <c r="P24" s="93"/>
      <c r="Q24" s="93"/>
      <c r="R24" s="93"/>
      <c r="S24" s="93"/>
    </row>
    <row r="25" spans="1:19" ht="112.5" x14ac:dyDescent="0.35">
      <c r="A25" s="94">
        <v>58</v>
      </c>
      <c r="B25" s="92"/>
      <c r="C25" s="52">
        <v>16</v>
      </c>
      <c r="D25" s="95" t="str">
        <f>'[1]INPUT EQUIPMENT'!B24</f>
        <v>Motor CWP 355 Kw 1#1</v>
      </c>
      <c r="E25" s="52" t="s">
        <v>46</v>
      </c>
      <c r="F25" s="52">
        <v>2.2000000000000002</v>
      </c>
      <c r="G25" s="52" t="s">
        <v>46</v>
      </c>
      <c r="H25" s="52">
        <v>1.86</v>
      </c>
      <c r="I25" s="52" t="s">
        <v>122</v>
      </c>
      <c r="J25" s="96" t="s">
        <v>149</v>
      </c>
      <c r="K25" s="96" t="s">
        <v>124</v>
      </c>
      <c r="L25" s="87"/>
      <c r="M25" s="89"/>
      <c r="N25" s="89" t="s">
        <v>113</v>
      </c>
      <c r="O25" s="93"/>
      <c r="P25" s="93"/>
      <c r="Q25" s="93"/>
      <c r="R25" s="93"/>
      <c r="S25" s="93"/>
    </row>
    <row r="26" spans="1:19" ht="106.5" customHeight="1" x14ac:dyDescent="0.35">
      <c r="A26" s="94">
        <v>59</v>
      </c>
      <c r="B26" s="92"/>
      <c r="C26" s="52">
        <v>17</v>
      </c>
      <c r="D26" s="95" t="str">
        <f>'[1]INPUT EQUIPMENT'!B25</f>
        <v>Motor CWP 355 Kw 2#1</v>
      </c>
      <c r="E26" s="52" t="s">
        <v>46</v>
      </c>
      <c r="F26" s="52">
        <v>1.43</v>
      </c>
      <c r="G26" s="52" t="s">
        <v>46</v>
      </c>
      <c r="H26" s="52">
        <v>0</v>
      </c>
      <c r="I26" s="52" t="s">
        <v>138</v>
      </c>
      <c r="J26" s="96" t="s">
        <v>150</v>
      </c>
      <c r="K26" s="96" t="s">
        <v>124</v>
      </c>
      <c r="L26" s="87"/>
      <c r="M26" s="89"/>
      <c r="N26" s="89" t="s">
        <v>112</v>
      </c>
      <c r="O26" s="93"/>
      <c r="P26" s="93"/>
      <c r="Q26" s="93"/>
      <c r="R26" s="93"/>
      <c r="S26" s="93"/>
    </row>
    <row r="27" spans="1:19" ht="112.5" customHeight="1" x14ac:dyDescent="0.35">
      <c r="A27" s="94">
        <v>60</v>
      </c>
      <c r="B27" s="92"/>
      <c r="C27" s="52">
        <v>18</v>
      </c>
      <c r="D27" s="95" t="str">
        <f>'[1]INPUT EQUIPMENT'!B26</f>
        <v>Motor BWRO 1#1</v>
      </c>
      <c r="E27" s="52" t="s">
        <v>45</v>
      </c>
      <c r="F27" s="52">
        <v>1.79</v>
      </c>
      <c r="G27" s="52" t="s">
        <v>45</v>
      </c>
      <c r="H27" s="52">
        <v>0</v>
      </c>
      <c r="I27" s="52" t="s">
        <v>138</v>
      </c>
      <c r="J27" s="96" t="s">
        <v>151</v>
      </c>
      <c r="K27" s="96" t="s">
        <v>129</v>
      </c>
      <c r="L27" s="87"/>
      <c r="M27" s="89"/>
      <c r="N27" s="89" t="s">
        <v>112</v>
      </c>
      <c r="O27" s="93"/>
      <c r="P27" s="93"/>
      <c r="Q27" s="93"/>
      <c r="R27" s="93"/>
      <c r="S27" s="93"/>
    </row>
    <row r="28" spans="1:19" ht="100.5" thickBot="1" x14ac:dyDescent="0.4">
      <c r="A28" s="94">
        <v>61</v>
      </c>
      <c r="B28" s="92"/>
      <c r="C28" s="52">
        <v>19</v>
      </c>
      <c r="D28" s="95" t="str">
        <f>'[1]INPUT EQUIPMENT'!B27</f>
        <v>Motor BWRO 2#1</v>
      </c>
      <c r="E28" s="52" t="s">
        <v>46</v>
      </c>
      <c r="F28" s="52">
        <v>1.79</v>
      </c>
      <c r="G28" s="52" t="s">
        <v>46</v>
      </c>
      <c r="H28" s="52">
        <v>1.85</v>
      </c>
      <c r="I28" s="52" t="s">
        <v>126</v>
      </c>
      <c r="J28" s="96" t="s">
        <v>152</v>
      </c>
      <c r="K28" s="96" t="s">
        <v>148</v>
      </c>
      <c r="L28" s="87"/>
      <c r="M28" s="89"/>
      <c r="N28" s="89" t="s">
        <v>113</v>
      </c>
      <c r="O28" s="93"/>
      <c r="P28" s="93"/>
      <c r="Q28" s="93"/>
      <c r="R28" s="93"/>
      <c r="S28" s="93"/>
    </row>
    <row r="29" spans="1:19" ht="125" x14ac:dyDescent="0.35">
      <c r="A29" s="94">
        <v>62</v>
      </c>
      <c r="B29" s="92"/>
      <c r="C29" s="52">
        <v>20</v>
      </c>
      <c r="D29" s="95" t="str">
        <f>'[1]INPUT EQUIPMENT'!B28</f>
        <v>Motor SWRO 1 #1</v>
      </c>
      <c r="E29" s="52" t="s">
        <v>49</v>
      </c>
      <c r="F29" s="52">
        <v>1.19</v>
      </c>
      <c r="G29" s="52" t="s">
        <v>49</v>
      </c>
      <c r="H29" s="52">
        <v>0</v>
      </c>
      <c r="I29" s="52" t="s">
        <v>138</v>
      </c>
      <c r="J29" s="96" t="s">
        <v>153</v>
      </c>
      <c r="K29" s="96" t="s">
        <v>124</v>
      </c>
      <c r="L29" s="87"/>
      <c r="M29" s="89"/>
      <c r="N29" s="89" t="s">
        <v>112</v>
      </c>
      <c r="O29" s="93"/>
      <c r="P29" s="93"/>
      <c r="Q29" s="100" t="s">
        <v>116</v>
      </c>
      <c r="R29" s="93"/>
      <c r="S29" s="93"/>
    </row>
    <row r="30" spans="1:19" ht="112.5" x14ac:dyDescent="0.35">
      <c r="A30" s="94">
        <v>63</v>
      </c>
      <c r="B30" s="92"/>
      <c r="C30" s="52">
        <v>21</v>
      </c>
      <c r="D30" s="95" t="str">
        <f>'[1]INPUT EQUIPMENT'!B29</f>
        <v>Motor SWRO 2#1</v>
      </c>
      <c r="E30" s="52" t="s">
        <v>46</v>
      </c>
      <c r="F30" s="52">
        <v>1.37</v>
      </c>
      <c r="G30" s="52" t="s">
        <v>46</v>
      </c>
      <c r="H30" s="52">
        <v>0</v>
      </c>
      <c r="I30" s="52" t="s">
        <v>138</v>
      </c>
      <c r="J30" s="96" t="s">
        <v>154</v>
      </c>
      <c r="K30" s="96" t="s">
        <v>141</v>
      </c>
      <c r="L30" s="87"/>
      <c r="M30" s="89"/>
      <c r="N30" s="89" t="s">
        <v>113</v>
      </c>
      <c r="O30" s="93"/>
      <c r="P30" s="93"/>
      <c r="Q30" s="93"/>
      <c r="R30" s="93"/>
      <c r="S30" s="93"/>
    </row>
    <row r="31" spans="1:19" ht="111" customHeight="1" x14ac:dyDescent="0.35">
      <c r="A31" s="94">
        <v>63</v>
      </c>
      <c r="B31" s="92"/>
      <c r="C31" s="52">
        <v>23</v>
      </c>
      <c r="D31" s="95" t="s">
        <v>67</v>
      </c>
      <c r="E31" s="52" t="s">
        <v>46</v>
      </c>
      <c r="F31" s="52">
        <v>1.06</v>
      </c>
      <c r="G31" s="52" t="s">
        <v>46</v>
      </c>
      <c r="H31" s="52">
        <v>1.07</v>
      </c>
      <c r="I31" s="52" t="s">
        <v>122</v>
      </c>
      <c r="J31" s="96" t="s">
        <v>155</v>
      </c>
      <c r="K31" s="96" t="s">
        <v>141</v>
      </c>
      <c r="L31" s="87"/>
      <c r="M31" s="89"/>
      <c r="N31" s="89" t="s">
        <v>114</v>
      </c>
      <c r="O31" s="93"/>
      <c r="P31" s="93"/>
      <c r="Q31" s="93"/>
      <c r="R31" s="93"/>
      <c r="S31" s="93"/>
    </row>
    <row r="32" spans="1:19" ht="100" x14ac:dyDescent="0.35">
      <c r="A32" s="94">
        <v>63</v>
      </c>
      <c r="B32" s="92"/>
      <c r="C32" s="52">
        <v>24</v>
      </c>
      <c r="D32" s="95" t="s">
        <v>117</v>
      </c>
      <c r="E32" s="52" t="s">
        <v>52</v>
      </c>
      <c r="F32" s="52">
        <v>1.53</v>
      </c>
      <c r="G32" s="52" t="s">
        <v>52</v>
      </c>
      <c r="H32" s="52">
        <v>1.51</v>
      </c>
      <c r="I32" s="52" t="s">
        <v>126</v>
      </c>
      <c r="J32" s="96" t="s">
        <v>156</v>
      </c>
      <c r="K32" s="96" t="s">
        <v>141</v>
      </c>
      <c r="L32" s="87"/>
      <c r="M32" s="89"/>
      <c r="N32" s="89" t="s">
        <v>114</v>
      </c>
      <c r="O32" s="93"/>
      <c r="P32" s="93"/>
      <c r="Q32" s="93"/>
      <c r="R32" s="93"/>
      <c r="S32" s="93"/>
    </row>
    <row r="33" spans="1:19" ht="121" customHeight="1" x14ac:dyDescent="0.35">
      <c r="A33" s="94">
        <v>63</v>
      </c>
      <c r="B33" s="92"/>
      <c r="C33" s="52">
        <v>25</v>
      </c>
      <c r="D33" s="95" t="s">
        <v>69</v>
      </c>
      <c r="E33" s="52"/>
      <c r="F33" s="52"/>
      <c r="G33" s="52" t="s">
        <v>48</v>
      </c>
      <c r="H33" s="52">
        <v>10.25</v>
      </c>
      <c r="I33" s="52" t="s">
        <v>126</v>
      </c>
      <c r="J33" s="96" t="s">
        <v>157</v>
      </c>
      <c r="K33" s="96" t="s">
        <v>158</v>
      </c>
      <c r="L33" s="87"/>
      <c r="M33" s="89"/>
      <c r="N33" s="89" t="s">
        <v>114</v>
      </c>
      <c r="O33" s="93"/>
      <c r="P33" s="93"/>
      <c r="Q33" s="93"/>
      <c r="R33" s="93"/>
      <c r="S33" s="93"/>
    </row>
    <row r="34" spans="1:19" ht="125" x14ac:dyDescent="0.35">
      <c r="A34" s="94">
        <v>63</v>
      </c>
      <c r="B34" s="92"/>
      <c r="C34" s="52">
        <v>26</v>
      </c>
      <c r="D34" s="95" t="s">
        <v>70</v>
      </c>
      <c r="E34" s="52"/>
      <c r="F34" s="52"/>
      <c r="G34" s="52"/>
      <c r="H34" s="52">
        <v>0</v>
      </c>
      <c r="I34" s="52" t="s">
        <v>138</v>
      </c>
      <c r="J34" s="96" t="s">
        <v>159</v>
      </c>
      <c r="K34" s="96" t="s">
        <v>160</v>
      </c>
      <c r="L34" s="87"/>
      <c r="M34" s="89"/>
      <c r="N34" s="89" t="s">
        <v>114</v>
      </c>
      <c r="O34" s="93"/>
      <c r="P34" s="93"/>
      <c r="Q34" s="93"/>
      <c r="R34" s="93"/>
      <c r="S34" s="93"/>
    </row>
    <row r="35" spans="1:19" ht="132.5" customHeight="1" x14ac:dyDescent="0.35">
      <c r="A35" s="94">
        <v>63</v>
      </c>
      <c r="B35" s="92"/>
      <c r="C35" s="52">
        <v>27</v>
      </c>
      <c r="D35" s="95" t="s">
        <v>71</v>
      </c>
      <c r="E35" s="52"/>
      <c r="F35" s="52"/>
      <c r="G35" s="52" t="s">
        <v>46</v>
      </c>
      <c r="H35" s="52">
        <v>1.41</v>
      </c>
      <c r="I35" s="52" t="s">
        <v>126</v>
      </c>
      <c r="J35" s="96" t="s">
        <v>161</v>
      </c>
      <c r="K35" s="96" t="s">
        <v>158</v>
      </c>
      <c r="L35" s="87"/>
      <c r="M35" s="89"/>
      <c r="N35" s="89" t="s">
        <v>114</v>
      </c>
      <c r="O35" s="93"/>
      <c r="P35" s="93"/>
      <c r="Q35" s="93"/>
      <c r="R35" s="93"/>
      <c r="S35" s="93"/>
    </row>
    <row r="36" spans="1:19" ht="15" customHeight="1" x14ac:dyDescent="0.35">
      <c r="A36" s="91"/>
      <c r="B36" s="92"/>
      <c r="C36" s="60"/>
      <c r="D36" s="60" t="str">
        <f>'[1]INPUT EQUIPMENT'!A30</f>
        <v>UNIT 2</v>
      </c>
      <c r="E36" s="60"/>
      <c r="F36" s="60"/>
      <c r="G36" s="61"/>
      <c r="H36" s="61"/>
      <c r="I36" s="61"/>
      <c r="J36" s="61"/>
      <c r="K36" s="61"/>
      <c r="L36" s="87"/>
      <c r="M36" s="89"/>
      <c r="N36" s="89"/>
      <c r="O36" s="93"/>
      <c r="P36" s="93"/>
      <c r="Q36" s="93"/>
      <c r="R36" s="93"/>
      <c r="S36" s="93"/>
    </row>
    <row r="37" spans="1:19" ht="112.5" x14ac:dyDescent="0.35">
      <c r="A37" s="94">
        <v>43</v>
      </c>
      <c r="B37" s="92"/>
      <c r="C37" s="52">
        <v>25</v>
      </c>
      <c r="D37" s="95" t="str">
        <f>'[1]INPUT EQUIPMENT'!B31</f>
        <v>Motor ID Fan 1#2</v>
      </c>
      <c r="E37" s="52" t="s">
        <v>46</v>
      </c>
      <c r="F37" s="52">
        <v>1.97</v>
      </c>
      <c r="G37" s="52" t="s">
        <v>46</v>
      </c>
      <c r="H37" s="52">
        <v>2.3199999999999998</v>
      </c>
      <c r="I37" s="52" t="s">
        <v>126</v>
      </c>
      <c r="J37" s="96" t="s">
        <v>162</v>
      </c>
      <c r="K37" s="96" t="s">
        <v>124</v>
      </c>
      <c r="L37" s="87"/>
      <c r="M37" s="89"/>
      <c r="N37" s="89" t="s">
        <v>113</v>
      </c>
      <c r="O37" s="93"/>
      <c r="P37" s="93"/>
      <c r="Q37" s="93"/>
      <c r="R37" s="93"/>
      <c r="S37" s="93"/>
    </row>
    <row r="38" spans="1:19" ht="99" customHeight="1" x14ac:dyDescent="0.35">
      <c r="A38" s="94">
        <v>44</v>
      </c>
      <c r="B38" s="92"/>
      <c r="C38" s="52">
        <v>26</v>
      </c>
      <c r="D38" s="95" t="str">
        <f>'[1]INPUT EQUIPMENT'!B32</f>
        <v>Motor ID Fan 2#2</v>
      </c>
      <c r="E38" s="52" t="s">
        <v>53</v>
      </c>
      <c r="F38" s="52">
        <v>1.85</v>
      </c>
      <c r="G38" s="52" t="s">
        <v>53</v>
      </c>
      <c r="H38" s="52">
        <v>2.34</v>
      </c>
      <c r="I38" s="52" t="s">
        <v>126</v>
      </c>
      <c r="J38" s="96" t="s">
        <v>163</v>
      </c>
      <c r="K38" s="96" t="s">
        <v>124</v>
      </c>
      <c r="L38" s="87"/>
      <c r="M38" s="89"/>
      <c r="N38" s="89" t="s">
        <v>112</v>
      </c>
      <c r="O38" s="93"/>
      <c r="P38" s="93"/>
      <c r="Q38" s="93"/>
      <c r="R38" s="93"/>
      <c r="S38" s="93"/>
    </row>
    <row r="39" spans="1:19" ht="109" customHeight="1" x14ac:dyDescent="0.35">
      <c r="A39" s="94">
        <v>45</v>
      </c>
      <c r="B39" s="92"/>
      <c r="C39" s="52">
        <v>27</v>
      </c>
      <c r="D39" s="95" t="str">
        <f>'[1]INPUT EQUIPMENT'!B33</f>
        <v>Motor Primary Air Fan 1#2</v>
      </c>
      <c r="E39" s="52" t="s">
        <v>55</v>
      </c>
      <c r="F39" s="52">
        <v>2.46</v>
      </c>
      <c r="G39" s="52" t="s">
        <v>55</v>
      </c>
      <c r="H39" s="52">
        <v>2.3199999999999998</v>
      </c>
      <c r="I39" s="52" t="s">
        <v>126</v>
      </c>
      <c r="J39" s="96" t="s">
        <v>164</v>
      </c>
      <c r="K39" s="96" t="s">
        <v>165</v>
      </c>
      <c r="L39" s="87"/>
      <c r="M39" s="89"/>
      <c r="N39" s="89" t="s">
        <v>113</v>
      </c>
      <c r="O39" s="93"/>
      <c r="P39" s="97" t="s">
        <v>118</v>
      </c>
      <c r="Q39" s="93"/>
      <c r="R39" s="93"/>
      <c r="S39" s="93"/>
    </row>
    <row r="40" spans="1:19" ht="108.5" customHeight="1" x14ac:dyDescent="0.35">
      <c r="A40" s="94">
        <v>46</v>
      </c>
      <c r="B40" s="92"/>
      <c r="C40" s="52">
        <v>28</v>
      </c>
      <c r="D40" s="95" t="str">
        <f>'[1]INPUT EQUIPMENT'!B34</f>
        <v>Motor Primary Air Fan 2#2</v>
      </c>
      <c r="E40" s="52" t="s">
        <v>46</v>
      </c>
      <c r="F40" s="52">
        <v>2.73</v>
      </c>
      <c r="G40" s="52" t="s">
        <v>46</v>
      </c>
      <c r="H40" s="52">
        <v>2.95</v>
      </c>
      <c r="I40" s="52" t="s">
        <v>126</v>
      </c>
      <c r="J40" s="96" t="s">
        <v>166</v>
      </c>
      <c r="K40" s="96" t="s">
        <v>167</v>
      </c>
      <c r="L40" s="87"/>
      <c r="M40" s="89"/>
      <c r="N40" s="89" t="s">
        <v>112</v>
      </c>
      <c r="O40" s="93"/>
      <c r="P40" s="93"/>
      <c r="Q40" s="93"/>
      <c r="R40" s="93"/>
      <c r="S40" s="93"/>
    </row>
    <row r="41" spans="1:19" ht="100" x14ac:dyDescent="0.35">
      <c r="A41" s="94">
        <v>47</v>
      </c>
      <c r="B41" s="92"/>
      <c r="C41" s="52">
        <v>29</v>
      </c>
      <c r="D41" s="95" t="str">
        <f>'[1]INPUT EQUIPMENT'!B35</f>
        <v>Motor Secondary Air Fan 1#2</v>
      </c>
      <c r="E41" s="52" t="s">
        <v>47</v>
      </c>
      <c r="F41" s="52">
        <v>2.66</v>
      </c>
      <c r="G41" s="52" t="s">
        <v>47</v>
      </c>
      <c r="H41" s="52">
        <v>3.34</v>
      </c>
      <c r="I41" s="52" t="s">
        <v>126</v>
      </c>
      <c r="J41" s="96" t="s">
        <v>168</v>
      </c>
      <c r="K41" s="96" t="s">
        <v>124</v>
      </c>
      <c r="L41" s="87"/>
      <c r="M41" s="89"/>
      <c r="N41" s="89" t="s">
        <v>113</v>
      </c>
      <c r="O41" s="93"/>
      <c r="P41" s="93"/>
      <c r="Q41" s="93"/>
      <c r="R41" s="93"/>
      <c r="S41" s="93"/>
    </row>
    <row r="42" spans="1:19" ht="99" customHeight="1" x14ac:dyDescent="0.35">
      <c r="A42" s="94">
        <v>48</v>
      </c>
      <c r="B42" s="92"/>
      <c r="C42" s="52">
        <v>30</v>
      </c>
      <c r="D42" s="95" t="str">
        <f>'[1]INPUT EQUIPMENT'!B36</f>
        <v>Motor Secondary Air Fan 2#2</v>
      </c>
      <c r="E42" s="52" t="s">
        <v>46</v>
      </c>
      <c r="F42" s="52">
        <v>3.53</v>
      </c>
      <c r="G42" s="52" t="s">
        <v>49</v>
      </c>
      <c r="H42" s="52">
        <v>2.59</v>
      </c>
      <c r="I42" s="52" t="s">
        <v>126</v>
      </c>
      <c r="J42" s="96" t="s">
        <v>169</v>
      </c>
      <c r="K42" s="96" t="s">
        <v>124</v>
      </c>
      <c r="L42" s="87"/>
      <c r="M42" s="89"/>
      <c r="N42" s="89" t="s">
        <v>112</v>
      </c>
      <c r="O42" s="93"/>
      <c r="P42" s="93"/>
      <c r="Q42" s="93"/>
      <c r="R42" s="93"/>
      <c r="S42" s="93"/>
    </row>
    <row r="43" spans="1:19" ht="125" x14ac:dyDescent="0.35">
      <c r="A43" s="94">
        <v>49</v>
      </c>
      <c r="B43" s="92"/>
      <c r="C43" s="52">
        <v>31</v>
      </c>
      <c r="D43" s="95" t="str">
        <f>'[1]INPUT EQUIPMENT'!B37</f>
        <v>Turbin-Generator#2</v>
      </c>
      <c r="E43" s="52" t="s">
        <v>56</v>
      </c>
      <c r="F43" s="52">
        <v>4.67</v>
      </c>
      <c r="G43" s="52" t="s">
        <v>56</v>
      </c>
      <c r="H43" s="52">
        <v>4.57</v>
      </c>
      <c r="I43" s="52" t="s">
        <v>126</v>
      </c>
      <c r="J43" s="96" t="s">
        <v>170</v>
      </c>
      <c r="K43" s="96" t="s">
        <v>135</v>
      </c>
      <c r="L43" s="87"/>
      <c r="M43" s="89"/>
      <c r="N43" s="89" t="s">
        <v>113</v>
      </c>
      <c r="O43" s="93"/>
      <c r="P43" s="93"/>
      <c r="Q43" s="93"/>
      <c r="R43" s="93"/>
      <c r="S43" s="93"/>
    </row>
    <row r="44" spans="1:19" ht="112.5" x14ac:dyDescent="0.35">
      <c r="A44" s="94">
        <v>50</v>
      </c>
      <c r="B44" s="92"/>
      <c r="C44" s="52">
        <v>32</v>
      </c>
      <c r="D44" s="95" t="str">
        <f>'[1]INPUT EQUIPMENT'!B38</f>
        <v>Motor Condensat Pump 1#2</v>
      </c>
      <c r="E44" s="52" t="s">
        <v>45</v>
      </c>
      <c r="F44" s="52">
        <v>1.03</v>
      </c>
      <c r="G44" s="52" t="s">
        <v>45</v>
      </c>
      <c r="H44" s="52">
        <v>0</v>
      </c>
      <c r="I44" s="52" t="s">
        <v>138</v>
      </c>
      <c r="J44" s="96" t="s">
        <v>171</v>
      </c>
      <c r="K44" s="96" t="s">
        <v>172</v>
      </c>
      <c r="L44" s="87"/>
      <c r="M44" s="89"/>
      <c r="N44" s="89" t="s">
        <v>115</v>
      </c>
      <c r="O44" s="93"/>
      <c r="P44" s="93"/>
      <c r="Q44" s="93"/>
      <c r="R44" s="93"/>
      <c r="S44" s="93"/>
    </row>
    <row r="45" spans="1:19" ht="184" customHeight="1" x14ac:dyDescent="0.35">
      <c r="A45" s="94">
        <v>51</v>
      </c>
      <c r="B45" s="92"/>
      <c r="C45" s="52">
        <v>33</v>
      </c>
      <c r="D45" s="95" t="str">
        <f>'[1]INPUT EQUIPMENT'!B39</f>
        <v>Motor Condensat Pump 2#2</v>
      </c>
      <c r="E45" s="52" t="s">
        <v>46</v>
      </c>
      <c r="F45" s="52">
        <v>4.38</v>
      </c>
      <c r="G45" s="52" t="s">
        <v>46</v>
      </c>
      <c r="H45" s="52">
        <v>3.75</v>
      </c>
      <c r="I45" s="52" t="s">
        <v>173</v>
      </c>
      <c r="J45" s="96" t="s">
        <v>174</v>
      </c>
      <c r="K45" s="96" t="s">
        <v>175</v>
      </c>
      <c r="L45" s="87"/>
      <c r="M45" s="89"/>
      <c r="N45" s="89" t="s">
        <v>114</v>
      </c>
      <c r="O45" s="93"/>
      <c r="P45" s="93"/>
      <c r="Q45" s="93"/>
      <c r="R45" s="93"/>
      <c r="S45" s="93"/>
    </row>
    <row r="46" spans="1:19" ht="112.5" x14ac:dyDescent="0.35">
      <c r="A46" s="94">
        <v>52</v>
      </c>
      <c r="B46" s="92"/>
      <c r="C46" s="52">
        <v>34</v>
      </c>
      <c r="D46" s="95" t="str">
        <f>'[1]INPUT EQUIPMENT'!B40</f>
        <v>Motor Vacuum Pump 1#2</v>
      </c>
      <c r="E46" s="52" t="s">
        <v>55</v>
      </c>
      <c r="F46" s="52">
        <v>1.87</v>
      </c>
      <c r="G46" s="52" t="s">
        <v>55</v>
      </c>
      <c r="H46" s="52">
        <v>1.99</v>
      </c>
      <c r="I46" s="52" t="s">
        <v>126</v>
      </c>
      <c r="J46" s="96" t="s">
        <v>176</v>
      </c>
      <c r="K46" s="96" t="s">
        <v>177</v>
      </c>
      <c r="L46" s="87"/>
      <c r="M46" s="89"/>
      <c r="N46" s="89" t="s">
        <v>113</v>
      </c>
      <c r="O46" s="93"/>
      <c r="P46" s="93"/>
      <c r="Q46" s="93"/>
      <c r="R46" s="93"/>
      <c r="S46" s="93"/>
    </row>
    <row r="47" spans="1:19" ht="110" customHeight="1" x14ac:dyDescent="0.35">
      <c r="A47" s="94">
        <v>53</v>
      </c>
      <c r="B47" s="92"/>
      <c r="C47" s="52">
        <v>35</v>
      </c>
      <c r="D47" s="95" t="str">
        <f>'[1]INPUT EQUIPMENT'!B41</f>
        <v>Motor Vacuum Pump 2#2</v>
      </c>
      <c r="E47" s="52" t="s">
        <v>55</v>
      </c>
      <c r="F47" s="52">
        <v>2.62</v>
      </c>
      <c r="G47" s="52" t="s">
        <v>55</v>
      </c>
      <c r="H47" s="52">
        <v>2.79</v>
      </c>
      <c r="I47" s="52" t="s">
        <v>126</v>
      </c>
      <c r="J47" s="96" t="s">
        <v>178</v>
      </c>
      <c r="K47" s="96" t="s">
        <v>177</v>
      </c>
      <c r="L47" s="87"/>
      <c r="M47" s="89"/>
      <c r="N47" s="89" t="s">
        <v>113</v>
      </c>
      <c r="O47" s="93"/>
      <c r="P47" s="93"/>
      <c r="Q47" s="93"/>
      <c r="R47" s="93"/>
      <c r="S47" s="93"/>
    </row>
    <row r="48" spans="1:19" x14ac:dyDescent="0.35">
      <c r="A48" s="94">
        <v>54</v>
      </c>
      <c r="B48" s="92"/>
      <c r="C48" s="52">
        <v>36</v>
      </c>
      <c r="D48" s="95" t="str">
        <f>'[1]INPUT EQUIPMENT'!B42</f>
        <v>Motor Boiler Feed Pump 1#2</v>
      </c>
      <c r="E48" s="52" t="s">
        <v>50</v>
      </c>
      <c r="F48" s="52">
        <v>1.28</v>
      </c>
      <c r="G48" s="52" t="s">
        <v>50</v>
      </c>
      <c r="H48" s="52">
        <v>0</v>
      </c>
      <c r="I48" s="52" t="s">
        <v>138</v>
      </c>
      <c r="J48" s="96">
        <v>0</v>
      </c>
      <c r="K48" s="96">
        <v>0</v>
      </c>
      <c r="L48" s="99"/>
      <c r="M48" s="89"/>
      <c r="N48" s="89" t="s">
        <v>114</v>
      </c>
      <c r="O48" s="93"/>
      <c r="P48" s="93"/>
      <c r="Q48" s="93"/>
      <c r="R48" s="93"/>
      <c r="S48" s="93"/>
    </row>
    <row r="49" spans="1:19" ht="100" x14ac:dyDescent="0.35">
      <c r="A49" s="94">
        <v>55</v>
      </c>
      <c r="B49" s="92"/>
      <c r="C49" s="52">
        <v>37</v>
      </c>
      <c r="D49" s="95" t="str">
        <f>'[1]INPUT EQUIPMENT'!B43</f>
        <v>Motor Boiler Feed Pump 2#2</v>
      </c>
      <c r="E49" s="52" t="s">
        <v>50</v>
      </c>
      <c r="F49" s="52">
        <v>1.76</v>
      </c>
      <c r="G49" s="52" t="s">
        <v>50</v>
      </c>
      <c r="H49" s="52">
        <v>1.51</v>
      </c>
      <c r="I49" s="52" t="s">
        <v>122</v>
      </c>
      <c r="J49" s="96" t="s">
        <v>179</v>
      </c>
      <c r="K49" s="96" t="s">
        <v>172</v>
      </c>
      <c r="L49" s="87"/>
      <c r="M49" s="89"/>
      <c r="N49" s="89" t="s">
        <v>115</v>
      </c>
      <c r="O49" s="93"/>
      <c r="P49" s="93"/>
      <c r="Q49" s="93"/>
      <c r="R49" s="93"/>
      <c r="S49" s="93"/>
    </row>
    <row r="50" spans="1:19" x14ac:dyDescent="0.35">
      <c r="A50" s="94">
        <v>56</v>
      </c>
      <c r="B50" s="92"/>
      <c r="C50" s="52">
        <v>38</v>
      </c>
      <c r="D50" s="95" t="str">
        <f>'[1]INPUT EQUIPMENT'!B44</f>
        <v>Motor CCCWP 1#2</v>
      </c>
      <c r="E50" s="52" t="s">
        <v>45</v>
      </c>
      <c r="F50" s="52">
        <v>2.33</v>
      </c>
      <c r="G50" s="52" t="s">
        <v>45</v>
      </c>
      <c r="H50" s="52">
        <v>0</v>
      </c>
      <c r="I50" s="52" t="s">
        <v>138</v>
      </c>
      <c r="J50" s="96" t="s">
        <v>139</v>
      </c>
      <c r="K50" s="96">
        <v>0</v>
      </c>
      <c r="L50" s="87"/>
      <c r="M50" s="89"/>
      <c r="N50" s="89" t="s">
        <v>113</v>
      </c>
      <c r="O50" s="93"/>
      <c r="P50" s="93"/>
      <c r="Q50" s="93"/>
      <c r="R50" s="93"/>
      <c r="S50" s="93"/>
    </row>
    <row r="51" spans="1:19" ht="125" x14ac:dyDescent="0.35">
      <c r="A51" s="94">
        <v>57</v>
      </c>
      <c r="B51" s="92"/>
      <c r="C51" s="52">
        <v>39</v>
      </c>
      <c r="D51" s="95" t="s">
        <v>119</v>
      </c>
      <c r="E51" s="52"/>
      <c r="F51" s="52"/>
      <c r="G51" s="52" t="s">
        <v>46</v>
      </c>
      <c r="H51" s="52">
        <v>1</v>
      </c>
      <c r="I51" s="52" t="s">
        <v>122</v>
      </c>
      <c r="J51" s="96" t="s">
        <v>180</v>
      </c>
      <c r="K51" s="96" t="s">
        <v>148</v>
      </c>
      <c r="L51" s="87"/>
      <c r="M51" s="89"/>
      <c r="N51" s="89" t="s">
        <v>113</v>
      </c>
      <c r="O51" s="93"/>
      <c r="P51" s="93"/>
      <c r="Q51" s="93"/>
      <c r="R51" s="93"/>
      <c r="S51" s="93"/>
    </row>
    <row r="52" spans="1:19" ht="100" x14ac:dyDescent="0.35">
      <c r="A52" s="94">
        <v>57</v>
      </c>
      <c r="B52" s="92"/>
      <c r="C52" s="52">
        <v>40</v>
      </c>
      <c r="D52" s="95" t="s">
        <v>73</v>
      </c>
      <c r="E52" s="52" t="s">
        <v>46</v>
      </c>
      <c r="F52" s="52">
        <v>4.59</v>
      </c>
      <c r="G52" s="52" t="s">
        <v>46</v>
      </c>
      <c r="H52" s="52">
        <v>1.52</v>
      </c>
      <c r="I52" s="52" t="s">
        <v>126</v>
      </c>
      <c r="J52" s="96" t="s">
        <v>181</v>
      </c>
      <c r="K52" s="96" t="s">
        <v>148</v>
      </c>
      <c r="L52" s="87"/>
      <c r="M52" s="89"/>
      <c r="N52" s="89" t="s">
        <v>113</v>
      </c>
      <c r="O52" s="93"/>
      <c r="P52" s="93"/>
      <c r="Q52" s="93"/>
      <c r="R52" s="93"/>
      <c r="S52" s="93"/>
    </row>
    <row r="53" spans="1:19" ht="112.5" x14ac:dyDescent="0.35">
      <c r="A53" s="94">
        <v>58</v>
      </c>
      <c r="B53" s="92"/>
      <c r="C53" s="52">
        <v>41</v>
      </c>
      <c r="D53" s="95" t="str">
        <f>'[1]INPUT EQUIPMENT'!B46</f>
        <v>Motor CWP 355 Kw 1#2</v>
      </c>
      <c r="E53" s="52" t="s">
        <v>46</v>
      </c>
      <c r="F53" s="52">
        <v>3.12</v>
      </c>
      <c r="G53" s="52" t="s">
        <v>46</v>
      </c>
      <c r="H53" s="52">
        <v>0</v>
      </c>
      <c r="I53" s="52" t="s">
        <v>138</v>
      </c>
      <c r="J53" s="96" t="s">
        <v>182</v>
      </c>
      <c r="K53" s="96" t="s">
        <v>124</v>
      </c>
      <c r="L53" s="87"/>
      <c r="M53" s="89"/>
      <c r="N53" s="89" t="s">
        <v>114</v>
      </c>
      <c r="O53" s="93"/>
      <c r="P53" s="93"/>
      <c r="Q53" s="93"/>
      <c r="R53" s="93"/>
      <c r="S53" s="93"/>
    </row>
    <row r="54" spans="1:19" ht="97" customHeight="1" x14ac:dyDescent="0.35">
      <c r="A54" s="94">
        <v>59</v>
      </c>
      <c r="B54" s="92"/>
      <c r="C54" s="52">
        <v>42</v>
      </c>
      <c r="D54" s="95" t="str">
        <f>'[1]INPUT EQUIPMENT'!B47</f>
        <v>Motor CWP 355 Kw 2#2</v>
      </c>
      <c r="E54" s="52" t="s">
        <v>50</v>
      </c>
      <c r="F54" s="52">
        <v>1.28</v>
      </c>
      <c r="G54" s="52" t="s">
        <v>48</v>
      </c>
      <c r="H54" s="52">
        <v>1.4</v>
      </c>
      <c r="I54" s="52" t="s">
        <v>122</v>
      </c>
      <c r="J54" s="96" t="s">
        <v>183</v>
      </c>
      <c r="K54" s="96" t="s">
        <v>124</v>
      </c>
      <c r="L54" s="87"/>
      <c r="M54" s="89"/>
      <c r="N54" s="89" t="s">
        <v>115</v>
      </c>
      <c r="O54" s="93"/>
      <c r="P54" s="93"/>
      <c r="Q54" s="93"/>
      <c r="R54" s="93"/>
      <c r="S54" s="93"/>
    </row>
    <row r="55" spans="1:19" ht="114.5" customHeight="1" x14ac:dyDescent="0.35">
      <c r="A55" s="94">
        <v>63</v>
      </c>
      <c r="B55" s="92"/>
      <c r="C55" s="52">
        <v>43</v>
      </c>
      <c r="D55" s="95" t="s">
        <v>74</v>
      </c>
      <c r="E55" s="52" t="s">
        <v>52</v>
      </c>
      <c r="F55" s="52">
        <v>2.16</v>
      </c>
      <c r="G55" s="52" t="s">
        <v>52</v>
      </c>
      <c r="H55" s="52">
        <v>2.74</v>
      </c>
      <c r="I55" s="52" t="s">
        <v>126</v>
      </c>
      <c r="J55" s="96" t="s">
        <v>184</v>
      </c>
      <c r="K55" s="96" t="s">
        <v>177</v>
      </c>
      <c r="L55" s="87"/>
      <c r="M55" s="89"/>
      <c r="N55" s="89" t="s">
        <v>114</v>
      </c>
      <c r="O55" s="93"/>
      <c r="P55" s="93"/>
      <c r="Q55" s="93"/>
      <c r="R55" s="93"/>
      <c r="S55" s="93"/>
    </row>
    <row r="56" spans="1:19" ht="108" customHeight="1" x14ac:dyDescent="0.35">
      <c r="A56" s="94">
        <v>63</v>
      </c>
      <c r="B56" s="92"/>
      <c r="C56" s="52">
        <v>44</v>
      </c>
      <c r="D56" s="95" t="s">
        <v>120</v>
      </c>
      <c r="E56" s="52" t="s">
        <v>52</v>
      </c>
      <c r="F56" s="52">
        <v>2.16</v>
      </c>
      <c r="G56" s="52" t="s">
        <v>52</v>
      </c>
      <c r="H56" s="52">
        <v>1.88</v>
      </c>
      <c r="I56" s="52" t="s">
        <v>126</v>
      </c>
      <c r="J56" s="96" t="s">
        <v>185</v>
      </c>
      <c r="K56" s="96" t="s">
        <v>177</v>
      </c>
      <c r="L56" s="87"/>
      <c r="M56" s="89"/>
      <c r="N56" s="89" t="s">
        <v>114</v>
      </c>
      <c r="O56" s="93"/>
      <c r="P56" s="93"/>
      <c r="Q56" s="93"/>
      <c r="R56" s="93"/>
      <c r="S56" s="93"/>
    </row>
    <row r="57" spans="1:19" ht="20.25" customHeight="1" x14ac:dyDescent="0.35">
      <c r="A57" s="81"/>
      <c r="B57" s="88"/>
      <c r="C57" s="60"/>
      <c r="D57" s="60" t="str">
        <f>'[1]INPUT EQUIPMENT'!A48</f>
        <v>UNIT 3</v>
      </c>
      <c r="E57" s="60"/>
      <c r="F57" s="60"/>
      <c r="G57" s="61"/>
      <c r="H57" s="61"/>
      <c r="I57" s="52"/>
      <c r="J57" s="61"/>
      <c r="K57" s="61"/>
      <c r="L57" s="87"/>
      <c r="M57" s="89"/>
      <c r="N57" s="89"/>
      <c r="O57" s="93"/>
      <c r="P57" s="93"/>
      <c r="Q57" s="93"/>
      <c r="R57" s="93"/>
      <c r="S57" s="93"/>
    </row>
    <row r="58" spans="1:19" ht="112.5" x14ac:dyDescent="0.35">
      <c r="A58" s="101">
        <v>1</v>
      </c>
      <c r="B58" s="88"/>
      <c r="C58" s="55">
        <v>25</v>
      </c>
      <c r="D58" s="95" t="str">
        <f>'[1]INPUT EQUIPMENT'!B49</f>
        <v>Motor ID Fan 1#3</v>
      </c>
      <c r="E58" s="102" t="s">
        <v>55</v>
      </c>
      <c r="F58" s="55">
        <v>1.24</v>
      </c>
      <c r="G58" s="55" t="s">
        <v>55</v>
      </c>
      <c r="H58" s="52">
        <v>1.1299999999999999</v>
      </c>
      <c r="I58" s="52" t="s">
        <v>122</v>
      </c>
      <c r="J58" s="96" t="s">
        <v>186</v>
      </c>
      <c r="K58" s="96" t="s">
        <v>158</v>
      </c>
      <c r="L58" s="87"/>
      <c r="M58" s="89"/>
      <c r="N58" s="89" t="s">
        <v>114</v>
      </c>
      <c r="O58" s="93"/>
      <c r="P58" s="93"/>
      <c r="Q58" s="93"/>
      <c r="R58" s="93"/>
      <c r="S58" s="93"/>
    </row>
    <row r="59" spans="1:19" ht="97" customHeight="1" x14ac:dyDescent="0.35">
      <c r="A59" s="101">
        <v>2</v>
      </c>
      <c r="B59" s="88"/>
      <c r="C59" s="55">
        <v>26</v>
      </c>
      <c r="D59" s="95" t="str">
        <f>'[1]INPUT EQUIPMENT'!B50</f>
        <v>Motor ID Fan 2#3</v>
      </c>
      <c r="E59" s="102" t="s">
        <v>47</v>
      </c>
      <c r="F59" s="55">
        <v>0.73</v>
      </c>
      <c r="G59" s="55" t="s">
        <v>55</v>
      </c>
      <c r="H59" s="52">
        <v>0.68</v>
      </c>
      <c r="I59" s="52" t="s">
        <v>122</v>
      </c>
      <c r="J59" s="96" t="s">
        <v>187</v>
      </c>
      <c r="K59" s="96" t="s">
        <v>160</v>
      </c>
      <c r="L59" s="87"/>
      <c r="M59" s="89"/>
      <c r="N59" s="89" t="s">
        <v>115</v>
      </c>
      <c r="O59" s="93"/>
      <c r="P59" s="93"/>
      <c r="Q59" s="93"/>
      <c r="R59" s="93"/>
      <c r="S59" s="93"/>
    </row>
    <row r="60" spans="1:19" ht="141.5" customHeight="1" x14ac:dyDescent="0.35">
      <c r="A60" s="101">
        <v>3</v>
      </c>
      <c r="B60" s="88"/>
      <c r="C60" s="55">
        <v>41</v>
      </c>
      <c r="D60" s="95" t="str">
        <f>'[1]INPUT EQUIPMENT'!B51</f>
        <v>Motor Primary Air Fan#3</v>
      </c>
      <c r="E60" s="102" t="s">
        <v>49</v>
      </c>
      <c r="F60" s="55">
        <v>2.7</v>
      </c>
      <c r="G60" s="55" t="s">
        <v>55</v>
      </c>
      <c r="H60" s="52">
        <v>2.35</v>
      </c>
      <c r="I60" s="52" t="s">
        <v>122</v>
      </c>
      <c r="J60" s="96" t="s">
        <v>188</v>
      </c>
      <c r="K60" s="96" t="s">
        <v>158</v>
      </c>
      <c r="L60" s="87"/>
      <c r="M60" s="89"/>
      <c r="N60" s="89" t="s">
        <v>115</v>
      </c>
      <c r="O60" s="93"/>
      <c r="P60" s="93"/>
      <c r="Q60" s="93"/>
      <c r="R60" s="93"/>
      <c r="S60" s="93"/>
    </row>
    <row r="61" spans="1:19" ht="112.5" x14ac:dyDescent="0.35">
      <c r="A61" s="101">
        <v>4</v>
      </c>
      <c r="B61" s="88"/>
      <c r="C61" s="55">
        <v>42</v>
      </c>
      <c r="D61" s="95" t="str">
        <f>'[1]INPUT EQUIPMENT'!B52</f>
        <v>Motor Secondary Air Fan#3</v>
      </c>
      <c r="E61" s="102" t="s">
        <v>46</v>
      </c>
      <c r="F61" s="55">
        <v>2.4300000000000002</v>
      </c>
      <c r="G61" s="55" t="s">
        <v>55</v>
      </c>
      <c r="H61" s="52">
        <v>2.83</v>
      </c>
      <c r="I61" s="52" t="s">
        <v>126</v>
      </c>
      <c r="J61" s="96" t="s">
        <v>189</v>
      </c>
      <c r="K61" s="96" t="s">
        <v>158</v>
      </c>
      <c r="L61" s="87"/>
      <c r="M61" s="89"/>
      <c r="N61" s="89" t="s">
        <v>113</v>
      </c>
      <c r="O61" s="93"/>
      <c r="P61" s="93"/>
      <c r="Q61" s="93"/>
      <c r="R61" s="93"/>
      <c r="S61" s="93"/>
    </row>
    <row r="62" spans="1:19" x14ac:dyDescent="0.35">
      <c r="A62" s="101">
        <v>5</v>
      </c>
      <c r="B62" s="88"/>
      <c r="C62" s="55">
        <v>43</v>
      </c>
      <c r="D62" s="95" t="str">
        <f>'[1]INPUT EQUIPMENT'!B53</f>
        <v>Motor Recirculating Air Fan 1#3</v>
      </c>
      <c r="E62" s="102" t="s">
        <v>58</v>
      </c>
      <c r="F62" s="55">
        <v>3.62</v>
      </c>
      <c r="G62" s="55" t="s">
        <v>58</v>
      </c>
      <c r="H62" s="52">
        <v>0</v>
      </c>
      <c r="I62" s="52" t="s">
        <v>138</v>
      </c>
      <c r="J62" s="96" t="s">
        <v>139</v>
      </c>
      <c r="K62" s="96" t="s">
        <v>139</v>
      </c>
      <c r="L62" s="87"/>
      <c r="M62" s="89"/>
      <c r="N62" s="89" t="s">
        <v>114</v>
      </c>
      <c r="O62" s="93"/>
      <c r="P62" s="93"/>
      <c r="Q62" s="93"/>
      <c r="R62" s="93"/>
      <c r="S62" s="93"/>
    </row>
    <row r="63" spans="1:19" ht="100" x14ac:dyDescent="0.35">
      <c r="A63" s="101">
        <v>6</v>
      </c>
      <c r="B63" s="88"/>
      <c r="C63" s="55">
        <v>44</v>
      </c>
      <c r="D63" s="95" t="str">
        <f>'[1]INPUT EQUIPMENT'!B54</f>
        <v>Motor Recirculating Air Fan 2#3</v>
      </c>
      <c r="E63" s="102" t="s">
        <v>53</v>
      </c>
      <c r="F63" s="55">
        <v>3.83</v>
      </c>
      <c r="G63" s="55" t="s">
        <v>52</v>
      </c>
      <c r="H63" s="52">
        <v>3.2</v>
      </c>
      <c r="I63" s="52" t="s">
        <v>126</v>
      </c>
      <c r="J63" s="96" t="s">
        <v>190</v>
      </c>
      <c r="K63" s="96" t="s">
        <v>191</v>
      </c>
      <c r="L63" s="87"/>
      <c r="M63" s="89"/>
      <c r="N63" s="89" t="s">
        <v>115</v>
      </c>
      <c r="O63" s="93"/>
      <c r="P63" s="93"/>
      <c r="Q63" s="93"/>
      <c r="R63" s="93"/>
      <c r="S63" s="93"/>
    </row>
    <row r="64" spans="1:19" ht="111" customHeight="1" x14ac:dyDescent="0.35">
      <c r="A64" s="101">
        <v>7</v>
      </c>
      <c r="B64" s="92"/>
      <c r="C64" s="55">
        <v>45</v>
      </c>
      <c r="D64" s="95" t="str">
        <f>'[1]INPUT EQUIPMENT'!B55</f>
        <v>Turbin-Generator#3</v>
      </c>
      <c r="E64" s="102" t="s">
        <v>45</v>
      </c>
      <c r="F64" s="55">
        <v>3.96</v>
      </c>
      <c r="G64" s="55" t="s">
        <v>53</v>
      </c>
      <c r="H64" s="52">
        <v>2.79</v>
      </c>
      <c r="I64" s="52" t="s">
        <v>122</v>
      </c>
      <c r="J64" s="96" t="s">
        <v>192</v>
      </c>
      <c r="K64" s="96" t="s">
        <v>193</v>
      </c>
      <c r="L64" s="87"/>
      <c r="M64" s="89"/>
      <c r="N64" s="89" t="s">
        <v>112</v>
      </c>
      <c r="O64" s="93"/>
      <c r="P64" s="93"/>
      <c r="Q64" s="93"/>
      <c r="R64" s="93"/>
      <c r="S64" s="93"/>
    </row>
    <row r="65" spans="1:19" ht="125" x14ac:dyDescent="0.35">
      <c r="A65" s="101">
        <v>8</v>
      </c>
      <c r="B65" s="92"/>
      <c r="C65" s="55">
        <v>46</v>
      </c>
      <c r="D65" s="95" t="str">
        <f>'[1]INPUT EQUIPMENT'!B56</f>
        <v>Motor Condensat Pump 1#3</v>
      </c>
      <c r="E65" s="102" t="s">
        <v>46</v>
      </c>
      <c r="F65" s="55">
        <v>2.2400000000000002</v>
      </c>
      <c r="G65" s="55" t="s">
        <v>46</v>
      </c>
      <c r="H65" s="52">
        <v>2.06</v>
      </c>
      <c r="I65" s="52" t="s">
        <v>126</v>
      </c>
      <c r="J65" s="96" t="s">
        <v>194</v>
      </c>
      <c r="K65" s="96" t="s">
        <v>195</v>
      </c>
      <c r="L65" s="87"/>
      <c r="M65" s="89"/>
      <c r="N65" s="89" t="s">
        <v>115</v>
      </c>
      <c r="O65" s="93"/>
      <c r="P65" s="93"/>
      <c r="Q65" s="93"/>
      <c r="R65" s="93"/>
      <c r="S65" s="93"/>
    </row>
    <row r="66" spans="1:19" ht="112.5" x14ac:dyDescent="0.35">
      <c r="A66" s="101">
        <v>9</v>
      </c>
      <c r="B66" s="92"/>
      <c r="C66" s="55">
        <v>47</v>
      </c>
      <c r="D66" s="95" t="str">
        <f>'[1]INPUT EQUIPMENT'!B57</f>
        <v>Motor Condensat Pump 2#3</v>
      </c>
      <c r="E66" s="102" t="s">
        <v>52</v>
      </c>
      <c r="F66" s="55">
        <v>2.75</v>
      </c>
      <c r="G66" s="55" t="s">
        <v>52</v>
      </c>
      <c r="H66" s="52">
        <v>0</v>
      </c>
      <c r="I66" s="52" t="s">
        <v>138</v>
      </c>
      <c r="J66" s="96" t="s">
        <v>196</v>
      </c>
      <c r="K66" s="96" t="s">
        <v>160</v>
      </c>
      <c r="L66" s="87"/>
      <c r="M66" s="89"/>
      <c r="N66" s="89" t="s">
        <v>114</v>
      </c>
      <c r="O66" s="93"/>
      <c r="P66" s="93"/>
      <c r="Q66" s="93"/>
      <c r="R66" s="93"/>
      <c r="S66" s="93"/>
    </row>
    <row r="67" spans="1:19" ht="110" customHeight="1" x14ac:dyDescent="0.35">
      <c r="A67" s="101">
        <v>10</v>
      </c>
      <c r="B67" s="92"/>
      <c r="C67" s="55">
        <v>48</v>
      </c>
      <c r="D67" s="95" t="str">
        <f>'[1]INPUT EQUIPMENT'!B58</f>
        <v>Motor Condensat Pump 3#3</v>
      </c>
      <c r="E67" s="102" t="s">
        <v>56</v>
      </c>
      <c r="F67" s="55">
        <v>2.06</v>
      </c>
      <c r="G67" s="55" t="s">
        <v>49</v>
      </c>
      <c r="H67" s="52">
        <v>1.75</v>
      </c>
      <c r="I67" s="52" t="s">
        <v>126</v>
      </c>
      <c r="J67" s="96" t="s">
        <v>197</v>
      </c>
      <c r="K67" s="96" t="s">
        <v>158</v>
      </c>
      <c r="L67" s="87"/>
      <c r="M67" s="89"/>
      <c r="N67" s="89" t="s">
        <v>114</v>
      </c>
      <c r="O67" s="93"/>
      <c r="P67" s="93"/>
      <c r="Q67" s="93"/>
      <c r="R67" s="93"/>
      <c r="S67" s="93"/>
    </row>
    <row r="68" spans="1:19" ht="113.5" customHeight="1" x14ac:dyDescent="0.35">
      <c r="A68" s="101">
        <v>11</v>
      </c>
      <c r="B68" s="92"/>
      <c r="C68" s="55">
        <v>49</v>
      </c>
      <c r="D68" s="95" t="str">
        <f>'[1]INPUT EQUIPMENT'!B59</f>
        <v>Motor Water jet Pump 1#3</v>
      </c>
      <c r="E68" s="102" t="s">
        <v>121</v>
      </c>
      <c r="F68" s="55">
        <v>1.39</v>
      </c>
      <c r="G68" s="55" t="s">
        <v>46</v>
      </c>
      <c r="H68" s="52">
        <v>1.33</v>
      </c>
      <c r="I68" s="52" t="s">
        <v>122</v>
      </c>
      <c r="J68" s="96" t="s">
        <v>198</v>
      </c>
      <c r="K68" s="96" t="s">
        <v>158</v>
      </c>
      <c r="L68" s="87"/>
      <c r="M68" s="89"/>
      <c r="N68" s="89" t="s">
        <v>115</v>
      </c>
      <c r="O68" s="93"/>
      <c r="P68" s="93"/>
      <c r="Q68" s="93"/>
      <c r="R68" s="93"/>
      <c r="S68" s="93"/>
    </row>
    <row r="69" spans="1:19" x14ac:dyDescent="0.35">
      <c r="A69" s="101">
        <v>12</v>
      </c>
      <c r="B69" s="92"/>
      <c r="C69" s="55">
        <v>50</v>
      </c>
      <c r="D69" s="95" t="str">
        <f>'[1]INPUT EQUIPMENT'!B60</f>
        <v>Motor Water jet Pump 2#3</v>
      </c>
      <c r="E69" s="102" t="s">
        <v>49</v>
      </c>
      <c r="F69" s="55">
        <v>1.77</v>
      </c>
      <c r="G69" s="55" t="s">
        <v>49</v>
      </c>
      <c r="H69" s="52">
        <v>0</v>
      </c>
      <c r="I69" s="52" t="s">
        <v>138</v>
      </c>
      <c r="J69" s="96" t="s">
        <v>139</v>
      </c>
      <c r="K69" s="96" t="s">
        <v>139</v>
      </c>
      <c r="L69" s="87"/>
      <c r="M69" s="89"/>
      <c r="N69" s="89" t="s">
        <v>114</v>
      </c>
      <c r="O69" s="93"/>
      <c r="P69" s="93"/>
      <c r="Q69" s="93"/>
      <c r="R69" s="93"/>
      <c r="S69" s="93"/>
    </row>
    <row r="70" spans="1:19" ht="163" customHeight="1" x14ac:dyDescent="0.35">
      <c r="A70" s="101">
        <v>13</v>
      </c>
      <c r="B70" s="92"/>
      <c r="C70" s="55">
        <v>51</v>
      </c>
      <c r="D70" s="95" t="str">
        <f>'[1]INPUT EQUIPMENT'!B61</f>
        <v>Motor Boiler Feed Pump 1#3</v>
      </c>
      <c r="E70" s="102" t="s">
        <v>58</v>
      </c>
      <c r="F70" s="55">
        <v>1.92</v>
      </c>
      <c r="G70" s="55" t="s">
        <v>52</v>
      </c>
      <c r="H70" s="52">
        <v>1.94</v>
      </c>
      <c r="I70" s="52" t="s">
        <v>122</v>
      </c>
      <c r="J70" s="96" t="s">
        <v>199</v>
      </c>
      <c r="K70" s="96" t="s">
        <v>158</v>
      </c>
      <c r="L70" s="87"/>
      <c r="M70" s="89"/>
      <c r="N70" s="89" t="s">
        <v>114</v>
      </c>
      <c r="O70" s="93"/>
      <c r="P70" s="93"/>
      <c r="Q70" s="93"/>
      <c r="R70" s="93"/>
      <c r="S70" s="93"/>
    </row>
    <row r="71" spans="1:19" x14ac:dyDescent="0.35">
      <c r="A71" s="101">
        <v>14</v>
      </c>
      <c r="B71" s="92"/>
      <c r="C71" s="55">
        <v>52</v>
      </c>
      <c r="D71" s="95" t="str">
        <f>'[1]INPUT EQUIPMENT'!B62</f>
        <v>Motor Boiler Feed Pump 2#3</v>
      </c>
      <c r="E71" s="102" t="s">
        <v>58</v>
      </c>
      <c r="F71" s="55">
        <v>5.34</v>
      </c>
      <c r="G71" s="55" t="s">
        <v>58</v>
      </c>
      <c r="H71" s="52">
        <v>0</v>
      </c>
      <c r="I71" s="52" t="s">
        <v>138</v>
      </c>
      <c r="J71" s="96" t="s">
        <v>139</v>
      </c>
      <c r="K71" s="96" t="s">
        <v>139</v>
      </c>
      <c r="L71" s="87"/>
      <c r="M71" s="89"/>
      <c r="N71" s="89" t="s">
        <v>115</v>
      </c>
      <c r="O71" s="93"/>
      <c r="P71" s="93"/>
      <c r="Q71" s="93"/>
      <c r="R71" s="93"/>
      <c r="S71" s="93"/>
    </row>
    <row r="72" spans="1:19" ht="109" customHeight="1" x14ac:dyDescent="0.35">
      <c r="A72" s="101">
        <v>15</v>
      </c>
      <c r="B72" s="92"/>
      <c r="C72" s="55">
        <v>53</v>
      </c>
      <c r="D72" s="95" t="str">
        <f>'[1]INPUT EQUIPMENT'!B63</f>
        <v>Motor CCWP 1#3</v>
      </c>
      <c r="E72" s="102" t="s">
        <v>49</v>
      </c>
      <c r="F72" s="55">
        <v>1.87</v>
      </c>
      <c r="G72" s="55" t="s">
        <v>49</v>
      </c>
      <c r="H72" s="52">
        <v>2.4700000000000002</v>
      </c>
      <c r="I72" s="52" t="s">
        <v>126</v>
      </c>
      <c r="J72" s="96" t="s">
        <v>200</v>
      </c>
      <c r="K72" s="96" t="s">
        <v>158</v>
      </c>
      <c r="L72" s="87"/>
      <c r="M72" s="89"/>
      <c r="N72" s="89" t="s">
        <v>113</v>
      </c>
      <c r="O72" s="93"/>
      <c r="P72" s="93"/>
      <c r="Q72" s="93"/>
      <c r="R72" s="93"/>
      <c r="S72" s="93"/>
    </row>
    <row r="73" spans="1:19" ht="112.5" x14ac:dyDescent="0.35">
      <c r="A73" s="101">
        <v>16</v>
      </c>
      <c r="B73" s="92"/>
      <c r="C73" s="55">
        <v>54</v>
      </c>
      <c r="D73" s="95" t="str">
        <f>'[1]INPUT EQUIPMENT'!B64</f>
        <v>Motor CCWP 2#3</v>
      </c>
      <c r="E73" s="102" t="s">
        <v>49</v>
      </c>
      <c r="F73" s="55">
        <v>2.29</v>
      </c>
      <c r="G73" s="55" t="s">
        <v>49</v>
      </c>
      <c r="H73" s="52">
        <v>2.15</v>
      </c>
      <c r="I73" s="52" t="s">
        <v>126</v>
      </c>
      <c r="J73" s="96" t="s">
        <v>201</v>
      </c>
      <c r="K73" s="96" t="s">
        <v>158</v>
      </c>
      <c r="L73" s="87"/>
      <c r="M73" s="89"/>
      <c r="N73" s="89" t="s">
        <v>115</v>
      </c>
      <c r="O73" s="93"/>
      <c r="P73" s="93"/>
      <c r="Q73" s="93"/>
      <c r="R73" s="93"/>
      <c r="S73" s="93"/>
    </row>
    <row r="74" spans="1:19" ht="100" x14ac:dyDescent="0.35">
      <c r="A74" s="101">
        <v>17</v>
      </c>
      <c r="B74" s="92"/>
      <c r="C74" s="55">
        <v>55</v>
      </c>
      <c r="D74" s="95" t="str">
        <f>'[1]INPUT EQUIPMENT'!B65</f>
        <v>Motor CWP 355 Kw 1#3</v>
      </c>
      <c r="E74" s="102" t="s">
        <v>45</v>
      </c>
      <c r="F74" s="55">
        <v>2.78</v>
      </c>
      <c r="G74" s="55" t="s">
        <v>45</v>
      </c>
      <c r="H74" s="52">
        <v>3.68</v>
      </c>
      <c r="I74" s="52" t="s">
        <v>126</v>
      </c>
      <c r="J74" s="96" t="s">
        <v>202</v>
      </c>
      <c r="K74" s="96" t="s">
        <v>158</v>
      </c>
      <c r="L74" s="87"/>
      <c r="M74" s="89"/>
      <c r="N74" s="89" t="s">
        <v>114</v>
      </c>
      <c r="O74" s="93"/>
      <c r="P74" s="93"/>
      <c r="Q74" s="93"/>
      <c r="R74" s="93"/>
      <c r="S74" s="93"/>
    </row>
    <row r="75" spans="1:19" ht="112.5" x14ac:dyDescent="0.35">
      <c r="A75" s="101">
        <v>18</v>
      </c>
      <c r="B75" s="92"/>
      <c r="C75" s="55">
        <v>56</v>
      </c>
      <c r="D75" s="95" t="str">
        <f>'[1]INPUT EQUIPMENT'!B66</f>
        <v>Motor CWP 355 Kw 2#3</v>
      </c>
      <c r="E75" s="102" t="s">
        <v>45</v>
      </c>
      <c r="F75" s="55">
        <v>2.58</v>
      </c>
      <c r="G75" s="55" t="s">
        <v>45</v>
      </c>
      <c r="H75" s="52">
        <v>0</v>
      </c>
      <c r="I75" s="52" t="s">
        <v>138</v>
      </c>
      <c r="J75" s="96" t="s">
        <v>203</v>
      </c>
      <c r="K75" s="96" t="s">
        <v>158</v>
      </c>
      <c r="L75" s="87"/>
      <c r="M75" s="89"/>
      <c r="N75" s="89" t="s">
        <v>115</v>
      </c>
      <c r="O75" s="93"/>
      <c r="P75" s="93"/>
      <c r="Q75" s="93"/>
      <c r="R75" s="93"/>
      <c r="S75" s="93"/>
    </row>
    <row r="76" spans="1:19" ht="125" x14ac:dyDescent="0.35">
      <c r="A76" s="101">
        <v>19</v>
      </c>
      <c r="B76" s="92"/>
      <c r="C76" s="55">
        <v>57</v>
      </c>
      <c r="D76" s="95" t="str">
        <f>'[1]INPUT EQUIPMENT'!B67</f>
        <v>Motor BWRO 1#3</v>
      </c>
      <c r="E76" s="102" t="s">
        <v>46</v>
      </c>
      <c r="F76" s="55">
        <v>1.89</v>
      </c>
      <c r="G76" s="55" t="s">
        <v>46</v>
      </c>
      <c r="H76" s="52">
        <v>2.09</v>
      </c>
      <c r="I76" s="52" t="s">
        <v>126</v>
      </c>
      <c r="J76" s="96" t="s">
        <v>204</v>
      </c>
      <c r="K76" s="96" t="s">
        <v>158</v>
      </c>
      <c r="L76" s="87"/>
      <c r="M76" s="89"/>
      <c r="N76" s="89" t="s">
        <v>113</v>
      </c>
      <c r="O76" s="93"/>
      <c r="P76" s="93"/>
      <c r="Q76" s="93"/>
      <c r="R76" s="93"/>
      <c r="S76" s="93"/>
    </row>
    <row r="77" spans="1:19" ht="25" x14ac:dyDescent="0.35">
      <c r="A77" s="101">
        <v>20</v>
      </c>
      <c r="B77" s="92"/>
      <c r="C77" s="55">
        <v>58</v>
      </c>
      <c r="D77" s="95" t="str">
        <f>'[1]INPUT EQUIPMENT'!B68</f>
        <v>Motor BWRO 2#3</v>
      </c>
      <c r="E77" s="102"/>
      <c r="F77" s="55">
        <v>0</v>
      </c>
      <c r="G77" s="55"/>
      <c r="H77" s="52">
        <v>0</v>
      </c>
      <c r="I77" s="52" t="s">
        <v>138</v>
      </c>
      <c r="J77" s="96" t="s">
        <v>205</v>
      </c>
      <c r="K77" s="96" t="s">
        <v>206</v>
      </c>
      <c r="L77" s="87"/>
      <c r="M77" s="89"/>
      <c r="N77" s="89" t="s">
        <v>115</v>
      </c>
      <c r="O77" s="93"/>
      <c r="P77" s="93"/>
      <c r="Q77" s="93"/>
      <c r="R77" s="93"/>
      <c r="S77" s="93"/>
    </row>
    <row r="78" spans="1:19" x14ac:dyDescent="0.35">
      <c r="A78" s="101">
        <v>21</v>
      </c>
      <c r="B78" s="92"/>
      <c r="C78" s="55">
        <v>59</v>
      </c>
      <c r="D78" s="95" t="str">
        <f>'[1]INPUT EQUIPMENT'!B69</f>
        <v>Motor SWRO 1#3</v>
      </c>
      <c r="E78" s="102" t="s">
        <v>49</v>
      </c>
      <c r="F78" s="55">
        <v>0.8</v>
      </c>
      <c r="G78" s="55" t="s">
        <v>49</v>
      </c>
      <c r="H78" s="52">
        <v>0</v>
      </c>
      <c r="I78" s="52" t="s">
        <v>138</v>
      </c>
      <c r="J78" s="96" t="s">
        <v>139</v>
      </c>
      <c r="K78" s="96" t="s">
        <v>139</v>
      </c>
      <c r="L78" s="87"/>
      <c r="M78" s="89"/>
      <c r="N78" s="89" t="s">
        <v>113</v>
      </c>
      <c r="O78" s="93"/>
      <c r="P78" s="93"/>
      <c r="Q78" s="93"/>
      <c r="R78" s="93"/>
      <c r="S78" s="93"/>
    </row>
    <row r="79" spans="1:19" x14ac:dyDescent="0.35">
      <c r="A79" s="101">
        <v>22</v>
      </c>
      <c r="B79" s="92"/>
      <c r="C79" s="55">
        <v>60</v>
      </c>
      <c r="D79" s="95" t="str">
        <f>'[1]INPUT EQUIPMENT'!B70</f>
        <v>Motor SWRO 2#3</v>
      </c>
      <c r="E79" s="102" t="s">
        <v>47</v>
      </c>
      <c r="F79" s="55">
        <v>2.31</v>
      </c>
      <c r="G79" s="55" t="s">
        <v>47</v>
      </c>
      <c r="H79" s="52">
        <v>0</v>
      </c>
      <c r="I79" s="52" t="s">
        <v>138</v>
      </c>
      <c r="J79" s="96" t="s">
        <v>207</v>
      </c>
      <c r="K79" s="96">
        <v>0</v>
      </c>
      <c r="L79" s="87"/>
      <c r="M79" s="89"/>
      <c r="N79" s="89" t="s">
        <v>115</v>
      </c>
      <c r="O79" s="93"/>
      <c r="P79" s="93"/>
      <c r="Q79" s="93"/>
      <c r="R79" s="93"/>
      <c r="S79" s="93"/>
    </row>
    <row r="80" spans="1:19" ht="103" customHeight="1" x14ac:dyDescent="0.35">
      <c r="A80" s="101"/>
      <c r="B80" s="92"/>
      <c r="C80" s="55"/>
      <c r="D80" s="103" t="s">
        <v>84</v>
      </c>
      <c r="E80" s="102" t="s">
        <v>45</v>
      </c>
      <c r="F80" s="55">
        <v>0.97</v>
      </c>
      <c r="G80" s="55" t="s">
        <v>45</v>
      </c>
      <c r="H80" s="98">
        <v>0.95</v>
      </c>
      <c r="I80" s="52" t="s">
        <v>122</v>
      </c>
      <c r="J80" s="96" t="s">
        <v>208</v>
      </c>
      <c r="K80" s="96" t="s">
        <v>158</v>
      </c>
      <c r="L80" s="87"/>
      <c r="M80" s="89"/>
      <c r="N80" s="89" t="s">
        <v>112</v>
      </c>
      <c r="O80" s="93"/>
      <c r="P80" s="93"/>
      <c r="Q80" s="93"/>
      <c r="R80" s="93"/>
      <c r="S80" s="93"/>
    </row>
    <row r="81" spans="1:19" ht="107.5" customHeight="1" x14ac:dyDescent="0.35">
      <c r="A81" s="101"/>
      <c r="B81" s="92"/>
      <c r="C81" s="55"/>
      <c r="D81" s="103" t="s">
        <v>86</v>
      </c>
      <c r="E81" s="102" t="s">
        <v>45</v>
      </c>
      <c r="F81" s="55">
        <v>1.1100000000000001</v>
      </c>
      <c r="G81" s="55" t="s">
        <v>45</v>
      </c>
      <c r="H81" s="98">
        <v>1.02</v>
      </c>
      <c r="I81" s="52" t="s">
        <v>122</v>
      </c>
      <c r="J81" s="96" t="s">
        <v>209</v>
      </c>
      <c r="K81" s="96" t="s">
        <v>158</v>
      </c>
      <c r="L81" s="87"/>
      <c r="M81" s="89"/>
      <c r="N81" s="89" t="s">
        <v>112</v>
      </c>
      <c r="O81" s="93"/>
      <c r="P81" s="93"/>
      <c r="Q81" s="93"/>
      <c r="R81" s="93"/>
      <c r="S81" s="93"/>
    </row>
    <row r="82" spans="1:19" ht="123" customHeight="1" x14ac:dyDescent="0.35">
      <c r="A82" s="101"/>
      <c r="B82" s="92"/>
      <c r="C82" s="55"/>
      <c r="D82" s="103" t="s">
        <v>88</v>
      </c>
      <c r="E82" s="102" t="s">
        <v>48</v>
      </c>
      <c r="F82" s="55">
        <v>1.33</v>
      </c>
      <c r="G82" s="55" t="s">
        <v>54</v>
      </c>
      <c r="H82" s="98">
        <v>1.52</v>
      </c>
      <c r="I82" s="52" t="s">
        <v>126</v>
      </c>
      <c r="J82" s="96" t="s">
        <v>210</v>
      </c>
      <c r="K82" s="96" t="s">
        <v>160</v>
      </c>
      <c r="L82" s="87"/>
      <c r="M82" s="89"/>
      <c r="N82" s="89" t="s">
        <v>112</v>
      </c>
      <c r="O82" s="93"/>
      <c r="P82" s="93"/>
      <c r="Q82" s="93"/>
      <c r="R82" s="93"/>
      <c r="S82" s="93"/>
    </row>
    <row r="83" spans="1:19" ht="155.5" customHeight="1" x14ac:dyDescent="0.35">
      <c r="A83" s="101"/>
      <c r="B83" s="92"/>
      <c r="C83" s="55"/>
      <c r="D83" s="103" t="s">
        <v>89</v>
      </c>
      <c r="E83" s="102" t="s">
        <v>46</v>
      </c>
      <c r="F83" s="55">
        <v>16.649999999999999</v>
      </c>
      <c r="G83" s="55" t="s">
        <v>46</v>
      </c>
      <c r="H83" s="98">
        <v>13.96</v>
      </c>
      <c r="I83" s="52" t="s">
        <v>173</v>
      </c>
      <c r="J83" s="96" t="s">
        <v>211</v>
      </c>
      <c r="K83" s="96" t="s">
        <v>158</v>
      </c>
      <c r="L83" s="87"/>
      <c r="M83" s="89"/>
      <c r="N83" s="89" t="s">
        <v>112</v>
      </c>
      <c r="O83" s="93"/>
      <c r="P83" s="93"/>
      <c r="Q83" s="93"/>
      <c r="R83" s="93"/>
      <c r="S83" s="93"/>
    </row>
    <row r="84" spans="1:19" ht="176.5" customHeight="1" x14ac:dyDescent="0.35">
      <c r="A84" s="101"/>
      <c r="B84" s="92"/>
      <c r="C84" s="55"/>
      <c r="D84" s="103" t="s">
        <v>91</v>
      </c>
      <c r="E84" s="102" t="s">
        <v>55</v>
      </c>
      <c r="F84" s="55">
        <v>3.15</v>
      </c>
      <c r="G84" s="55" t="s">
        <v>55</v>
      </c>
      <c r="H84" s="98">
        <v>6.44</v>
      </c>
      <c r="I84" s="52" t="s">
        <v>131</v>
      </c>
      <c r="J84" s="96" t="s">
        <v>212</v>
      </c>
      <c r="K84" s="96" t="s">
        <v>213</v>
      </c>
      <c r="L84" s="87"/>
      <c r="M84" s="89"/>
      <c r="N84" s="89" t="s">
        <v>112</v>
      </c>
      <c r="O84" s="93"/>
      <c r="P84" s="93"/>
      <c r="Q84" s="93"/>
      <c r="R84" s="93"/>
      <c r="S84" s="93"/>
    </row>
    <row r="85" spans="1:19" x14ac:dyDescent="0.35">
      <c r="A85" s="101"/>
      <c r="B85" s="92"/>
      <c r="C85" s="55"/>
      <c r="D85" s="103" t="s">
        <v>92</v>
      </c>
      <c r="E85" s="102" t="s">
        <v>55</v>
      </c>
      <c r="F85" s="55">
        <v>2.68</v>
      </c>
      <c r="G85" s="55" t="s">
        <v>55</v>
      </c>
      <c r="H85" s="98">
        <v>0</v>
      </c>
      <c r="I85" s="52" t="s">
        <v>138</v>
      </c>
      <c r="J85" s="96" t="s">
        <v>139</v>
      </c>
      <c r="K85" s="96" t="s">
        <v>139</v>
      </c>
      <c r="L85" s="87"/>
      <c r="M85" s="89"/>
      <c r="N85" s="89" t="s">
        <v>112</v>
      </c>
      <c r="O85" s="93"/>
      <c r="P85" s="93"/>
      <c r="Q85" s="93"/>
      <c r="R85" s="93"/>
      <c r="S85" s="93"/>
    </row>
    <row r="86" spans="1:19" x14ac:dyDescent="0.35">
      <c r="A86" s="101"/>
      <c r="B86" s="92"/>
      <c r="C86" s="55"/>
      <c r="D86" s="103" t="s">
        <v>93</v>
      </c>
      <c r="E86" s="102" t="s">
        <v>45</v>
      </c>
      <c r="F86" s="55">
        <v>1.03</v>
      </c>
      <c r="G86" s="55" t="s">
        <v>45</v>
      </c>
      <c r="H86" s="98">
        <v>0</v>
      </c>
      <c r="I86" s="52" t="s">
        <v>138</v>
      </c>
      <c r="J86" s="96" t="s">
        <v>139</v>
      </c>
      <c r="K86" s="96" t="s">
        <v>139</v>
      </c>
      <c r="L86" s="87"/>
      <c r="M86" s="89"/>
      <c r="N86" s="89" t="s">
        <v>112</v>
      </c>
      <c r="O86" s="93"/>
      <c r="P86" s="93"/>
      <c r="Q86" s="93"/>
      <c r="R86" s="93"/>
      <c r="S86" s="93"/>
    </row>
    <row r="87" spans="1:19" x14ac:dyDescent="0.35">
      <c r="A87" s="101"/>
      <c r="B87" s="92"/>
      <c r="C87" s="55"/>
      <c r="D87" s="103" t="s">
        <v>94</v>
      </c>
      <c r="E87" s="102" t="s">
        <v>46</v>
      </c>
      <c r="F87" s="55">
        <v>0.44</v>
      </c>
      <c r="G87" s="55" t="s">
        <v>46</v>
      </c>
      <c r="H87" s="98">
        <v>0</v>
      </c>
      <c r="I87" s="52" t="s">
        <v>138</v>
      </c>
      <c r="J87" s="96" t="s">
        <v>139</v>
      </c>
      <c r="K87" s="96" t="s">
        <v>139</v>
      </c>
      <c r="L87" s="87"/>
      <c r="M87" s="89"/>
      <c r="N87" s="89" t="s">
        <v>112</v>
      </c>
      <c r="O87" s="93"/>
      <c r="P87" s="93"/>
      <c r="Q87" s="93"/>
      <c r="R87" s="93"/>
      <c r="S87" s="93"/>
    </row>
    <row r="88" spans="1:19" hidden="1" x14ac:dyDescent="0.35">
      <c r="A88" s="101">
        <v>23</v>
      </c>
      <c r="B88" s="92"/>
      <c r="C88" s="55">
        <v>23</v>
      </c>
      <c r="D88" s="95" t="str">
        <f>'[1]INPUT EQUIPMENT'!B71</f>
        <v>Motor Cooling tower 1#3</v>
      </c>
      <c r="E88" s="102"/>
      <c r="F88" s="55">
        <v>0</v>
      </c>
      <c r="G88" s="55"/>
      <c r="H88" s="52">
        <v>0</v>
      </c>
      <c r="I88" s="52">
        <v>0</v>
      </c>
      <c r="J88" s="96" t="s">
        <v>139</v>
      </c>
      <c r="K88" s="96" t="s">
        <v>139</v>
      </c>
      <c r="L88" s="87"/>
      <c r="M88" s="89"/>
      <c r="N88" s="89"/>
      <c r="O88" s="93"/>
      <c r="P88" s="93"/>
      <c r="Q88" s="93"/>
      <c r="R88" s="93"/>
      <c r="S88" s="93"/>
    </row>
    <row r="89" spans="1:19" hidden="1" x14ac:dyDescent="0.35">
      <c r="A89" s="101">
        <v>24</v>
      </c>
      <c r="B89" s="92"/>
      <c r="C89" s="55">
        <v>24</v>
      </c>
      <c r="D89" s="95" t="str">
        <f>'[1]INPUT EQUIPMENT'!B72</f>
        <v>Motor Cooling tower 2#3</v>
      </c>
      <c r="E89" s="102" t="s">
        <v>46</v>
      </c>
      <c r="F89" s="55">
        <v>14.04</v>
      </c>
      <c r="G89" s="55"/>
      <c r="H89" s="52">
        <v>0</v>
      </c>
      <c r="I89" s="52">
        <v>0</v>
      </c>
      <c r="J89" s="96" t="s">
        <v>139</v>
      </c>
      <c r="K89" s="96" t="s">
        <v>139</v>
      </c>
      <c r="L89" s="87"/>
      <c r="M89" s="89"/>
      <c r="N89" s="89"/>
      <c r="O89" s="93"/>
      <c r="P89" s="93"/>
      <c r="Q89" s="93"/>
      <c r="R89" s="93"/>
      <c r="S89" s="93"/>
    </row>
    <row r="90" spans="1:19" hidden="1" x14ac:dyDescent="0.35">
      <c r="A90" s="101">
        <v>25</v>
      </c>
      <c r="B90" s="92"/>
      <c r="C90" s="55">
        <v>25</v>
      </c>
      <c r="D90" s="95" t="str">
        <f>'[1]INPUT EQUIPMENT'!B73</f>
        <v>Motor Air Compressor 1#3</v>
      </c>
      <c r="E90" s="102"/>
      <c r="F90" s="55">
        <v>0</v>
      </c>
      <c r="G90" s="55"/>
      <c r="H90" s="52">
        <v>2.61</v>
      </c>
      <c r="I90" s="52" t="s">
        <v>126</v>
      </c>
      <c r="J90" s="96" t="s">
        <v>214</v>
      </c>
      <c r="K90" s="96" t="s">
        <v>214</v>
      </c>
      <c r="L90" s="87"/>
      <c r="M90" s="89"/>
      <c r="N90" s="89"/>
      <c r="O90" s="93"/>
      <c r="P90" s="93"/>
      <c r="Q90" s="93"/>
      <c r="R90" s="93"/>
      <c r="S90" s="93"/>
    </row>
    <row r="91" spans="1:19" hidden="1" x14ac:dyDescent="0.35">
      <c r="A91" s="101">
        <v>26</v>
      </c>
      <c r="B91" s="92"/>
      <c r="C91" s="55">
        <v>26</v>
      </c>
      <c r="D91" s="95" t="str">
        <f>'[1]INPUT EQUIPMENT'!B74</f>
        <v>Motor Air Compressor 2#3</v>
      </c>
      <c r="E91" s="102"/>
      <c r="F91" s="55">
        <v>0</v>
      </c>
      <c r="G91" s="55"/>
      <c r="H91" s="52">
        <v>0</v>
      </c>
      <c r="I91" s="52" t="s">
        <v>138</v>
      </c>
      <c r="J91" s="96" t="s">
        <v>214</v>
      </c>
      <c r="K91" s="96" t="s">
        <v>214</v>
      </c>
      <c r="L91" s="87"/>
      <c r="M91" s="89"/>
      <c r="N91" s="89"/>
      <c r="O91" s="93"/>
      <c r="P91" s="93"/>
      <c r="Q91" s="93"/>
      <c r="R91" s="93"/>
      <c r="S91" s="93"/>
    </row>
    <row r="92" spans="1:19" ht="15" customHeight="1" x14ac:dyDescent="0.35">
      <c r="A92" s="104"/>
      <c r="B92" s="92"/>
      <c r="C92" s="72"/>
      <c r="D92" s="105" t="str">
        <f>'[1]INPUT EQUIPMENT'!A75</f>
        <v>COAL ASH HANDLING</v>
      </c>
      <c r="E92" s="106"/>
      <c r="F92" s="74"/>
      <c r="G92" s="107"/>
      <c r="H92" s="74"/>
      <c r="I92" s="74"/>
      <c r="J92" s="74"/>
      <c r="K92" s="74"/>
      <c r="L92" s="87"/>
      <c r="M92" s="89"/>
      <c r="N92" s="89"/>
      <c r="O92" s="93"/>
      <c r="P92" s="93"/>
      <c r="Q92" s="93"/>
      <c r="R92" s="93"/>
      <c r="S92" s="93"/>
    </row>
    <row r="93" spans="1:19" ht="100" customHeight="1" x14ac:dyDescent="0.35">
      <c r="A93" s="101">
        <v>27</v>
      </c>
      <c r="B93" s="92"/>
      <c r="C93" s="55">
        <v>61</v>
      </c>
      <c r="D93" s="95" t="str">
        <f>'[1]INPUT EQUIPMENT'!B76</f>
        <v>BC 4.1</v>
      </c>
      <c r="E93" s="52" t="s">
        <v>62</v>
      </c>
      <c r="F93" s="52">
        <v>3.41</v>
      </c>
      <c r="G93" s="52" t="s">
        <v>62</v>
      </c>
      <c r="H93" s="52">
        <v>2.61</v>
      </c>
      <c r="I93" s="46" t="s">
        <v>126</v>
      </c>
      <c r="J93" s="96" t="s">
        <v>215</v>
      </c>
      <c r="K93" s="96" t="s">
        <v>216</v>
      </c>
      <c r="L93" s="87"/>
      <c r="M93" s="89"/>
      <c r="N93" s="89" t="s">
        <v>114</v>
      </c>
      <c r="O93" s="93"/>
      <c r="P93" s="93"/>
      <c r="Q93" s="93"/>
      <c r="R93" s="93"/>
      <c r="S93" s="93"/>
    </row>
    <row r="94" spans="1:19" ht="129.5" customHeight="1" x14ac:dyDescent="0.35">
      <c r="A94" s="101">
        <v>28</v>
      </c>
      <c r="B94" s="92"/>
      <c r="C94" s="55">
        <v>62</v>
      </c>
      <c r="D94" s="95" t="str">
        <f>'[1]INPUT EQUIPMENT'!B77</f>
        <v>BC 4.2</v>
      </c>
      <c r="E94" s="52" t="s">
        <v>49</v>
      </c>
      <c r="F94" s="52">
        <v>1.85</v>
      </c>
      <c r="G94" s="52" t="s">
        <v>49</v>
      </c>
      <c r="H94" s="52">
        <v>1.61</v>
      </c>
      <c r="I94" s="46" t="s">
        <v>122</v>
      </c>
      <c r="J94" s="96" t="s">
        <v>217</v>
      </c>
      <c r="K94" s="96" t="s">
        <v>218</v>
      </c>
      <c r="L94" s="87"/>
      <c r="M94" s="89"/>
      <c r="N94" s="89" t="s">
        <v>115</v>
      </c>
      <c r="O94" s="93"/>
      <c r="P94" s="93"/>
      <c r="Q94" s="93"/>
      <c r="R94" s="93"/>
      <c r="S94" s="93"/>
    </row>
    <row r="95" spans="1:19" ht="100" x14ac:dyDescent="0.35">
      <c r="A95" s="101">
        <v>29</v>
      </c>
      <c r="B95" s="92"/>
      <c r="C95" s="55">
        <v>63</v>
      </c>
      <c r="D95" s="95" t="str">
        <f>'[1]INPUT EQUIPMENT'!B78</f>
        <v>BC 5.1</v>
      </c>
      <c r="E95" s="52" t="s">
        <v>53</v>
      </c>
      <c r="F95" s="52">
        <v>4.42</v>
      </c>
      <c r="G95" s="52" t="s">
        <v>53</v>
      </c>
      <c r="H95" s="52">
        <v>2.23</v>
      </c>
      <c r="I95" s="46" t="s">
        <v>122</v>
      </c>
      <c r="J95" s="96" t="s">
        <v>219</v>
      </c>
      <c r="K95" s="96" t="s">
        <v>216</v>
      </c>
      <c r="L95" s="87"/>
      <c r="M95" s="89"/>
      <c r="N95" s="89" t="s">
        <v>114</v>
      </c>
      <c r="O95" s="93"/>
      <c r="P95" s="93"/>
      <c r="Q95" s="93"/>
      <c r="R95" s="93"/>
      <c r="S95" s="93"/>
    </row>
    <row r="96" spans="1:19" ht="111" customHeight="1" x14ac:dyDescent="0.35">
      <c r="A96" s="101">
        <v>30</v>
      </c>
      <c r="B96" s="92"/>
      <c r="C96" s="55">
        <v>64</v>
      </c>
      <c r="D96" s="95" t="str">
        <f>'[1]INPUT EQUIPMENT'!B79</f>
        <v>BC 5.2</v>
      </c>
      <c r="E96" s="52" t="s">
        <v>53</v>
      </c>
      <c r="F96" s="52">
        <v>2.2599999999999998</v>
      </c>
      <c r="G96" s="52" t="s">
        <v>53</v>
      </c>
      <c r="H96" s="52">
        <v>2.2200000000000002</v>
      </c>
      <c r="I96" s="46" t="s">
        <v>122</v>
      </c>
      <c r="J96" s="96" t="s">
        <v>220</v>
      </c>
      <c r="K96" s="96" t="s">
        <v>218</v>
      </c>
      <c r="L96" s="87"/>
      <c r="M96" s="89"/>
      <c r="N96" s="89" t="s">
        <v>115</v>
      </c>
      <c r="O96" s="93"/>
      <c r="P96" s="93"/>
      <c r="Q96" s="93"/>
      <c r="R96" s="93"/>
      <c r="S96" s="93"/>
    </row>
    <row r="97" spans="1:19" ht="112.5" x14ac:dyDescent="0.35">
      <c r="A97" s="101">
        <v>31</v>
      </c>
      <c r="B97" s="92"/>
      <c r="C97" s="55">
        <v>65</v>
      </c>
      <c r="D97" s="95" t="str">
        <f>'[1]INPUT EQUIPMENT'!B80</f>
        <v>BC 7.1</v>
      </c>
      <c r="E97" s="52" t="s">
        <v>51</v>
      </c>
      <c r="F97" s="52">
        <v>2.73</v>
      </c>
      <c r="G97" s="52" t="s">
        <v>51</v>
      </c>
      <c r="H97" s="52">
        <v>3.04</v>
      </c>
      <c r="I97" s="46" t="s">
        <v>126</v>
      </c>
      <c r="J97" s="96" t="s">
        <v>221</v>
      </c>
      <c r="K97" s="96" t="s">
        <v>218</v>
      </c>
      <c r="L97" s="87"/>
      <c r="M97" s="89"/>
      <c r="N97" s="89" t="s">
        <v>114</v>
      </c>
      <c r="O97" s="93"/>
      <c r="P97" s="93"/>
      <c r="Q97" s="93"/>
      <c r="R97" s="93"/>
      <c r="S97" s="93"/>
    </row>
    <row r="98" spans="1:19" ht="144" customHeight="1" x14ac:dyDescent="0.35">
      <c r="A98" s="101">
        <v>32</v>
      </c>
      <c r="B98" s="92"/>
      <c r="C98" s="55">
        <v>66</v>
      </c>
      <c r="D98" s="95" t="str">
        <f>'[1]INPUT EQUIPMENT'!B81</f>
        <v>BC 7. 2</v>
      </c>
      <c r="E98" s="52" t="s">
        <v>52</v>
      </c>
      <c r="F98" s="52">
        <v>3.43</v>
      </c>
      <c r="G98" s="52" t="s">
        <v>52</v>
      </c>
      <c r="H98" s="52">
        <v>8.81</v>
      </c>
      <c r="I98" s="46" t="s">
        <v>131</v>
      </c>
      <c r="J98" s="96" t="s">
        <v>222</v>
      </c>
      <c r="K98" s="96" t="s">
        <v>223</v>
      </c>
      <c r="L98" s="87"/>
      <c r="M98" s="89"/>
      <c r="N98" s="89" t="s">
        <v>115</v>
      </c>
      <c r="O98" s="93"/>
      <c r="P98" s="93"/>
      <c r="Q98" s="93"/>
      <c r="R98" s="93"/>
      <c r="S98" s="93"/>
    </row>
    <row r="99" spans="1:19" ht="112.5" x14ac:dyDescent="0.35">
      <c r="A99" s="101">
        <v>33</v>
      </c>
      <c r="B99" s="92"/>
      <c r="C99" s="55">
        <v>67</v>
      </c>
      <c r="D99" s="95" t="str">
        <f>'[1]INPUT EQUIPMENT'!B82</f>
        <v>BC 8.1</v>
      </c>
      <c r="E99" s="52" t="s">
        <v>46</v>
      </c>
      <c r="F99" s="52">
        <v>4.38</v>
      </c>
      <c r="G99" s="52" t="s">
        <v>46</v>
      </c>
      <c r="H99" s="52">
        <v>3.56</v>
      </c>
      <c r="I99" s="46" t="s">
        <v>126</v>
      </c>
      <c r="J99" s="96" t="s">
        <v>224</v>
      </c>
      <c r="K99" s="96" t="s">
        <v>225</v>
      </c>
      <c r="L99" s="87"/>
      <c r="M99" s="89"/>
      <c r="N99" s="89" t="s">
        <v>114</v>
      </c>
      <c r="O99" s="93"/>
      <c r="P99" s="93"/>
      <c r="Q99" s="93"/>
      <c r="R99" s="93"/>
      <c r="S99" s="93"/>
    </row>
    <row r="100" spans="1:19" ht="112.5" x14ac:dyDescent="0.35">
      <c r="A100" s="101">
        <v>34</v>
      </c>
      <c r="B100" s="92"/>
      <c r="C100" s="55">
        <v>68</v>
      </c>
      <c r="D100" s="95" t="str">
        <f>'[1]INPUT EQUIPMENT'!B83</f>
        <v>BC 8.2</v>
      </c>
      <c r="E100" s="52" t="s">
        <v>52</v>
      </c>
      <c r="F100" s="52">
        <v>3.58</v>
      </c>
      <c r="G100" s="52" t="s">
        <v>52</v>
      </c>
      <c r="H100" s="52">
        <v>3.14</v>
      </c>
      <c r="I100" s="46" t="s">
        <v>126</v>
      </c>
      <c r="J100" s="96" t="s">
        <v>226</v>
      </c>
      <c r="K100" s="96" t="s">
        <v>218</v>
      </c>
      <c r="L100" s="87"/>
      <c r="M100" s="89"/>
      <c r="N100" s="89" t="s">
        <v>115</v>
      </c>
      <c r="O100" s="93"/>
      <c r="P100" s="93"/>
      <c r="Q100" s="93"/>
      <c r="R100" s="93"/>
      <c r="S100" s="93"/>
    </row>
    <row r="101" spans="1:19" ht="112.5" x14ac:dyDescent="0.35">
      <c r="A101" s="101">
        <v>35</v>
      </c>
      <c r="B101" s="92"/>
      <c r="C101" s="55">
        <v>69</v>
      </c>
      <c r="D101" s="95" t="str">
        <f>'[1]INPUT EQUIPMENT'!B84</f>
        <v>BC 10.1</v>
      </c>
      <c r="E101" s="52" t="s">
        <v>49</v>
      </c>
      <c r="F101" s="52">
        <v>4.13</v>
      </c>
      <c r="G101" s="52" t="s">
        <v>49</v>
      </c>
      <c r="H101" s="52">
        <v>3.96</v>
      </c>
      <c r="I101" s="46" t="s">
        <v>126</v>
      </c>
      <c r="J101" s="96" t="s">
        <v>227</v>
      </c>
      <c r="K101" s="96" t="s">
        <v>225</v>
      </c>
      <c r="L101" s="87"/>
      <c r="M101" s="89"/>
      <c r="N101" s="89" t="s">
        <v>114</v>
      </c>
      <c r="O101" s="93"/>
      <c r="P101" s="93"/>
      <c r="Q101" s="93"/>
      <c r="R101" s="93"/>
      <c r="S101" s="93"/>
    </row>
    <row r="102" spans="1:19" ht="112.5" x14ac:dyDescent="0.35">
      <c r="A102" s="101">
        <v>36</v>
      </c>
      <c r="B102" s="92"/>
      <c r="C102" s="55">
        <v>70</v>
      </c>
      <c r="D102" s="95" t="str">
        <f>'[1]INPUT EQUIPMENT'!B85</f>
        <v>BC 10.2</v>
      </c>
      <c r="E102" s="52" t="s">
        <v>45</v>
      </c>
      <c r="F102" s="52">
        <v>2.39</v>
      </c>
      <c r="G102" s="52" t="s">
        <v>45</v>
      </c>
      <c r="H102" s="52">
        <v>2.59</v>
      </c>
      <c r="I102" s="46" t="s">
        <v>126</v>
      </c>
      <c r="J102" s="96" t="s">
        <v>228</v>
      </c>
      <c r="K102" s="96" t="s">
        <v>218</v>
      </c>
      <c r="L102" s="87"/>
      <c r="M102" s="89"/>
      <c r="N102" s="89" t="s">
        <v>115</v>
      </c>
      <c r="O102" s="93"/>
      <c r="P102" s="93"/>
      <c r="Q102" s="93"/>
      <c r="R102" s="93"/>
      <c r="S102" s="93"/>
    </row>
    <row r="103" spans="1:19" ht="111" customHeight="1" x14ac:dyDescent="0.35">
      <c r="A103" s="101">
        <v>37</v>
      </c>
      <c r="B103" s="92"/>
      <c r="C103" s="55">
        <v>71</v>
      </c>
      <c r="D103" s="95" t="str">
        <f>'[1]INPUT EQUIPMENT'!B86</f>
        <v>ROLLER SCREEN 1</v>
      </c>
      <c r="E103" s="52" t="s">
        <v>45</v>
      </c>
      <c r="F103" s="52">
        <v>6.02</v>
      </c>
      <c r="G103" s="52" t="s">
        <v>45</v>
      </c>
      <c r="H103" s="52">
        <v>8.2100000000000009</v>
      </c>
      <c r="I103" s="46" t="s">
        <v>131</v>
      </c>
      <c r="J103" s="96" t="s">
        <v>229</v>
      </c>
      <c r="K103" s="96" t="s">
        <v>225</v>
      </c>
      <c r="L103" s="87"/>
      <c r="M103" s="89"/>
      <c r="N103" s="89" t="s">
        <v>114</v>
      </c>
      <c r="O103" s="93"/>
      <c r="P103" s="93"/>
      <c r="Q103" s="93"/>
      <c r="R103" s="93"/>
      <c r="S103" s="93"/>
    </row>
    <row r="104" spans="1:19" ht="111" customHeight="1" x14ac:dyDescent="0.35">
      <c r="A104" s="101">
        <v>38</v>
      </c>
      <c r="B104" s="92"/>
      <c r="C104" s="55">
        <v>72</v>
      </c>
      <c r="D104" s="95" t="str">
        <f>'[1]INPUT EQUIPMENT'!B87</f>
        <v>ROLLER SCREEN 2</v>
      </c>
      <c r="E104" s="52" t="s">
        <v>45</v>
      </c>
      <c r="F104" s="52">
        <v>4.95</v>
      </c>
      <c r="G104" s="52" t="s">
        <v>45</v>
      </c>
      <c r="H104" s="52">
        <v>6.77</v>
      </c>
      <c r="I104" s="46" t="s">
        <v>173</v>
      </c>
      <c r="J104" s="96" t="s">
        <v>230</v>
      </c>
      <c r="K104" s="96" t="s">
        <v>225</v>
      </c>
      <c r="L104" s="87"/>
      <c r="M104" s="89"/>
      <c r="N104" s="89" t="s">
        <v>115</v>
      </c>
      <c r="O104" s="93"/>
      <c r="P104" s="93"/>
      <c r="Q104" s="93"/>
      <c r="R104" s="93"/>
      <c r="S104" s="93"/>
    </row>
    <row r="105" spans="1:19" hidden="1" x14ac:dyDescent="0.35">
      <c r="A105" s="101">
        <v>39</v>
      </c>
      <c r="B105" s="92"/>
      <c r="C105" s="55">
        <v>73</v>
      </c>
      <c r="D105" s="95" t="str">
        <f>'[1]INPUT EQUIPMENT'!B90</f>
        <v>VIBRATING FEEDER 1</v>
      </c>
      <c r="E105" s="52" t="s">
        <v>45</v>
      </c>
      <c r="F105" s="52" t="e">
        <v>#REF!</v>
      </c>
      <c r="G105" s="52" t="s">
        <v>45</v>
      </c>
      <c r="H105" s="52" t="e">
        <v>#REF!</v>
      </c>
      <c r="I105" s="46" t="e">
        <v>#REF!</v>
      </c>
      <c r="J105" s="96"/>
      <c r="K105" s="96"/>
      <c r="L105" s="87"/>
      <c r="M105" s="89"/>
      <c r="N105" s="89"/>
      <c r="O105" s="93"/>
      <c r="P105" s="93"/>
      <c r="Q105" s="93"/>
      <c r="R105" s="93"/>
      <c r="S105" s="93"/>
    </row>
    <row r="106" spans="1:19" hidden="1" x14ac:dyDescent="0.35">
      <c r="A106" s="101">
        <v>40</v>
      </c>
      <c r="B106" s="92"/>
      <c r="C106" s="55">
        <v>74</v>
      </c>
      <c r="D106" s="95" t="str">
        <f>'[1]INPUT EQUIPMENT'!B91</f>
        <v>VIBRATING FEEDER 2</v>
      </c>
      <c r="E106" s="52"/>
      <c r="F106" s="52" t="e">
        <v>#REF!</v>
      </c>
      <c r="G106" s="52"/>
      <c r="H106" s="52" t="e">
        <v>#REF!</v>
      </c>
      <c r="I106" s="46" t="e">
        <v>#REF!</v>
      </c>
      <c r="J106" s="96"/>
      <c r="K106" s="96"/>
      <c r="L106" s="87"/>
      <c r="M106" s="89"/>
      <c r="N106" s="89"/>
      <c r="O106" s="93"/>
      <c r="P106" s="93"/>
      <c r="Q106" s="93"/>
      <c r="R106" s="93"/>
      <c r="S106" s="93"/>
    </row>
    <row r="107" spans="1:19" ht="100" customHeight="1" x14ac:dyDescent="0.35">
      <c r="A107" s="101">
        <v>41</v>
      </c>
      <c r="B107" s="92"/>
      <c r="C107" s="55">
        <v>75</v>
      </c>
      <c r="D107" s="95" t="str">
        <f>'[1]INPUT EQUIPMENT'!B88</f>
        <v>Motor Crusser 185kW 1</v>
      </c>
      <c r="E107" s="52" t="s">
        <v>46</v>
      </c>
      <c r="F107" s="52">
        <v>6.98</v>
      </c>
      <c r="G107" s="52" t="s">
        <v>46</v>
      </c>
      <c r="H107" s="52">
        <v>9.42</v>
      </c>
      <c r="I107" s="46" t="s">
        <v>131</v>
      </c>
      <c r="J107" s="96" t="s">
        <v>231</v>
      </c>
      <c r="K107" s="96" t="s">
        <v>225</v>
      </c>
      <c r="L107" s="87"/>
      <c r="M107" s="89"/>
      <c r="N107" s="89" t="s">
        <v>114</v>
      </c>
      <c r="O107" s="93"/>
      <c r="P107" s="93"/>
      <c r="Q107" s="93"/>
      <c r="R107" s="93"/>
      <c r="S107" s="93"/>
    </row>
    <row r="108" spans="1:19" ht="112.5" x14ac:dyDescent="0.35">
      <c r="A108" s="101">
        <v>42</v>
      </c>
      <c r="B108" s="92"/>
      <c r="C108" s="55">
        <v>76</v>
      </c>
      <c r="D108" s="95" t="str">
        <f>'[1]INPUT EQUIPMENT'!B89</f>
        <v>Motor Crusser 185kW 2</v>
      </c>
      <c r="E108" s="52" t="s">
        <v>52</v>
      </c>
      <c r="F108" s="52">
        <v>4.67</v>
      </c>
      <c r="G108" s="52" t="s">
        <v>52</v>
      </c>
      <c r="H108" s="52">
        <v>5.73</v>
      </c>
      <c r="I108" s="46" t="s">
        <v>126</v>
      </c>
      <c r="J108" s="96" t="s">
        <v>232</v>
      </c>
      <c r="K108" s="96" t="s">
        <v>225</v>
      </c>
      <c r="L108" s="87"/>
      <c r="M108" s="89"/>
      <c r="N108" s="89" t="s">
        <v>115</v>
      </c>
      <c r="O108" s="93"/>
      <c r="P108" s="93"/>
      <c r="Q108" s="93"/>
      <c r="R108" s="93"/>
      <c r="S108" s="93"/>
    </row>
    <row r="109" spans="1:19" ht="15" hidden="1" customHeight="1" x14ac:dyDescent="0.35">
      <c r="A109" s="94">
        <v>64</v>
      </c>
      <c r="B109" s="92"/>
      <c r="C109" s="52">
        <v>64</v>
      </c>
      <c r="D109" s="53" t="str">
        <f>'[1]INPUT EQUIPMENT'!B92</f>
        <v>Compressor For Instrument 1#1</v>
      </c>
      <c r="E109" s="108"/>
      <c r="F109" s="52">
        <v>1.19</v>
      </c>
      <c r="G109" s="109"/>
      <c r="H109" s="52"/>
      <c r="I109" s="52"/>
      <c r="J109" s="96"/>
      <c r="K109" s="96"/>
      <c r="L109" s="87"/>
      <c r="M109" s="82"/>
      <c r="N109" s="82"/>
      <c r="O109" s="81"/>
      <c r="P109" s="81"/>
      <c r="Q109" s="81"/>
      <c r="R109" s="81"/>
      <c r="S109" s="81"/>
    </row>
    <row r="110" spans="1:19" ht="15" hidden="1" customHeight="1" x14ac:dyDescent="0.35">
      <c r="A110" s="94">
        <v>65</v>
      </c>
      <c r="B110" s="92"/>
      <c r="C110" s="52">
        <v>65</v>
      </c>
      <c r="D110" s="53" t="str">
        <f>'[1]INPUT EQUIPMENT'!B93</f>
        <v>Compressor For Instrument 2#1</v>
      </c>
      <c r="E110" s="108"/>
      <c r="F110" s="52"/>
      <c r="G110" s="109" t="s">
        <v>46</v>
      </c>
      <c r="H110" s="52"/>
      <c r="I110" s="52"/>
      <c r="J110" s="96"/>
      <c r="K110" s="96"/>
      <c r="L110" s="87"/>
      <c r="M110" s="82"/>
      <c r="N110" s="82"/>
      <c r="O110" s="81"/>
      <c r="P110" s="81"/>
      <c r="Q110" s="81"/>
      <c r="R110" s="81"/>
      <c r="S110" s="81"/>
    </row>
    <row r="111" spans="1:19" ht="15" hidden="1" customHeight="1" x14ac:dyDescent="0.35">
      <c r="A111" s="94">
        <v>66</v>
      </c>
      <c r="B111" s="92"/>
      <c r="C111" s="52">
        <v>66</v>
      </c>
      <c r="D111" s="53" t="str">
        <f>'[1]INPUT EQUIPMENT'!B94</f>
        <v>Compressor For Instrument 3#1</v>
      </c>
      <c r="E111" s="108"/>
      <c r="F111" s="52"/>
      <c r="G111" s="109"/>
      <c r="H111" s="52"/>
      <c r="I111" s="52"/>
      <c r="J111" s="96"/>
      <c r="K111" s="96"/>
      <c r="L111" s="87"/>
      <c r="M111" s="82"/>
      <c r="N111" s="82"/>
      <c r="O111" s="81"/>
      <c r="P111" s="81"/>
      <c r="Q111" s="81"/>
      <c r="R111" s="81"/>
      <c r="S111" s="81"/>
    </row>
    <row r="112" spans="1:19" ht="15" hidden="1" customHeight="1" x14ac:dyDescent="0.35">
      <c r="A112" s="94">
        <v>67</v>
      </c>
      <c r="B112" s="92"/>
      <c r="C112" s="52">
        <v>67</v>
      </c>
      <c r="D112" s="53" t="str">
        <f>'[1]INPUT EQUIPMENT'!B95</f>
        <v>Compressor For Ash Handling 1#1</v>
      </c>
      <c r="E112" s="108"/>
      <c r="F112" s="52"/>
      <c r="G112" s="109"/>
      <c r="H112" s="52"/>
      <c r="I112" s="52"/>
      <c r="J112" s="96"/>
      <c r="K112" s="96"/>
      <c r="L112" s="87"/>
      <c r="M112" s="82"/>
      <c r="N112" s="82"/>
      <c r="O112" s="81"/>
      <c r="P112" s="81"/>
      <c r="Q112" s="81"/>
      <c r="R112" s="81"/>
      <c r="S112" s="81"/>
    </row>
    <row r="113" spans="1:12" ht="15" hidden="1" customHeight="1" x14ac:dyDescent="0.35">
      <c r="A113" s="94">
        <v>68</v>
      </c>
      <c r="B113" s="92"/>
      <c r="C113" s="52">
        <v>68</v>
      </c>
      <c r="D113" s="53" t="str">
        <f>'[1]INPUT EQUIPMENT'!B96</f>
        <v>Compressor For Ash Handling 2#1</v>
      </c>
      <c r="E113" s="108"/>
      <c r="F113" s="52"/>
      <c r="G113" s="109"/>
      <c r="H113" s="52"/>
      <c r="I113" s="52"/>
      <c r="J113" s="96"/>
      <c r="K113" s="96"/>
      <c r="L113" s="87"/>
    </row>
    <row r="114" spans="1:12" ht="15" hidden="1" customHeight="1" x14ac:dyDescent="0.35">
      <c r="A114" s="94">
        <v>69</v>
      </c>
      <c r="B114" s="92"/>
      <c r="C114" s="52">
        <v>69</v>
      </c>
      <c r="D114" s="53" t="str">
        <f>'[1]INPUT EQUIPMENT'!B97</f>
        <v>Compressor For Ash Handling 3#1</v>
      </c>
      <c r="E114" s="108"/>
      <c r="F114" s="52"/>
      <c r="G114" s="109"/>
      <c r="H114" s="52"/>
      <c r="I114" s="52"/>
      <c r="J114" s="96"/>
      <c r="K114" s="96"/>
      <c r="L114" s="87"/>
    </row>
    <row r="115" spans="1:12" ht="15" hidden="1" customHeight="1" x14ac:dyDescent="0.35">
      <c r="A115" s="94">
        <v>70</v>
      </c>
      <c r="B115" s="92"/>
      <c r="C115" s="52">
        <v>70</v>
      </c>
      <c r="D115" s="53" t="str">
        <f>'[1]INPUT EQUIPMENT'!B98</f>
        <v>Compressor For Service 1#1</v>
      </c>
      <c r="E115" s="108"/>
      <c r="F115" s="52"/>
      <c r="G115" s="109"/>
      <c r="H115" s="52"/>
      <c r="I115" s="52"/>
      <c r="J115" s="96"/>
      <c r="K115" s="96"/>
      <c r="L115" s="87"/>
    </row>
    <row r="116" spans="1:12" ht="15" hidden="1" customHeight="1" x14ac:dyDescent="0.35">
      <c r="A116" s="94">
        <v>71</v>
      </c>
      <c r="B116" s="92"/>
      <c r="C116" s="52">
        <v>71</v>
      </c>
      <c r="D116" s="53" t="str">
        <f>'[1]INPUT EQUIPMENT'!B99</f>
        <v>Compressor For Service 2#1</v>
      </c>
      <c r="E116" s="108"/>
      <c r="F116" s="52"/>
      <c r="G116" s="109"/>
      <c r="H116" s="52"/>
      <c r="I116" s="52"/>
      <c r="J116" s="96"/>
      <c r="K116" s="96"/>
      <c r="L116" s="87"/>
    </row>
    <row r="117" spans="1:12" hidden="1" x14ac:dyDescent="0.35">
      <c r="A117" s="94">
        <v>72</v>
      </c>
      <c r="B117" s="92"/>
      <c r="C117" s="52">
        <v>72</v>
      </c>
      <c r="D117" s="53" t="str">
        <f>'[1]INPUT EQUIPMENT'!B100</f>
        <v>Compressor For Service 3#1</v>
      </c>
      <c r="E117" s="108"/>
      <c r="F117" s="52"/>
      <c r="G117" s="109"/>
      <c r="H117" s="52"/>
      <c r="I117" s="52"/>
      <c r="J117" s="52"/>
      <c r="K117" s="52"/>
      <c r="L117" s="87"/>
    </row>
    <row r="118" spans="1:12" x14ac:dyDescent="0.35">
      <c r="B118" s="110"/>
      <c r="C118" s="111"/>
      <c r="D118" s="111"/>
      <c r="E118" s="111"/>
      <c r="F118" s="112"/>
      <c r="G118" s="113"/>
      <c r="H118" s="112"/>
      <c r="I118" s="112"/>
      <c r="J118" s="112"/>
      <c r="K118" s="112"/>
      <c r="L118" s="114"/>
    </row>
    <row r="119" spans="1:12" x14ac:dyDescent="0.35">
      <c r="A119" s="81"/>
      <c r="B119" s="81"/>
      <c r="C119" s="81"/>
      <c r="D119" s="81"/>
      <c r="E119" s="81"/>
      <c r="F119" s="82"/>
      <c r="G119" s="115"/>
      <c r="H119" s="82"/>
      <c r="I119" s="82"/>
      <c r="J119" s="82"/>
      <c r="K119" s="82"/>
      <c r="L119" s="81"/>
    </row>
    <row r="120" spans="1:12" hidden="1" x14ac:dyDescent="0.35">
      <c r="A120" s="81"/>
      <c r="B120" s="81"/>
      <c r="C120" s="81"/>
      <c r="D120" s="81"/>
      <c r="E120" s="81"/>
      <c r="F120" s="82"/>
      <c r="G120" s="115"/>
      <c r="H120" s="82"/>
      <c r="I120" s="82"/>
      <c r="J120" s="82"/>
      <c r="K120" s="82"/>
      <c r="L120" s="81"/>
    </row>
    <row r="121" spans="1:12" x14ac:dyDescent="0.35">
      <c r="A121" s="81"/>
      <c r="B121" s="81"/>
      <c r="C121" s="81"/>
      <c r="D121" s="81"/>
      <c r="E121" s="81"/>
      <c r="F121" s="82"/>
      <c r="G121" s="115"/>
      <c r="H121" s="82"/>
      <c r="I121" s="82"/>
      <c r="J121" s="82"/>
      <c r="K121" s="82"/>
      <c r="L121" s="81"/>
    </row>
  </sheetData>
  <mergeCells count="19">
    <mergeCell ref="S7:S8"/>
    <mergeCell ref="K7:K8"/>
    <mergeCell ref="N7:N8"/>
    <mergeCell ref="O7:O8"/>
    <mergeCell ref="P7:P8"/>
    <mergeCell ref="Q7:Q8"/>
    <mergeCell ref="R7:R8"/>
    <mergeCell ref="J7:J8"/>
    <mergeCell ref="B1:D4"/>
    <mergeCell ref="E1:J1"/>
    <mergeCell ref="E2:J2"/>
    <mergeCell ref="E3:J3"/>
    <mergeCell ref="E4:J4"/>
    <mergeCell ref="B5:L5"/>
    <mergeCell ref="C7:C8"/>
    <mergeCell ref="D7:D8"/>
    <mergeCell ref="E7:F7"/>
    <mergeCell ref="G7:H7"/>
    <mergeCell ref="I7:I8"/>
  </mergeCells>
  <conditionalFormatting sqref="E58:E62">
    <cfRule type="expression" dxfId="42" priority="78">
      <formula>"0&gt;$E$141+$E$141&lt;2.4"</formula>
    </cfRule>
  </conditionalFormatting>
  <conditionalFormatting sqref="E64:E67">
    <cfRule type="expression" dxfId="41" priority="77">
      <formula>"0&gt;$E$141+$E$141&lt;2.4"</formula>
    </cfRule>
  </conditionalFormatting>
  <conditionalFormatting sqref="E69:E70">
    <cfRule type="expression" dxfId="40" priority="76">
      <formula>"0&gt;$E$141+$E$141&lt;2.4"</formula>
    </cfRule>
  </conditionalFormatting>
  <conditionalFormatting sqref="E72:E74">
    <cfRule type="expression" dxfId="39" priority="75">
      <formula>"0&gt;$E$141+$E$141&lt;2.4"</formula>
    </cfRule>
  </conditionalFormatting>
  <conditionalFormatting sqref="E77:E78">
    <cfRule type="expression" dxfId="38" priority="81">
      <formula>"0&gt;$E$141+$E$141&lt;2.4"</formula>
    </cfRule>
  </conditionalFormatting>
  <conditionalFormatting sqref="E89">
    <cfRule type="expression" dxfId="37" priority="80">
      <formula>"0&gt;$E$141+$E$141&lt;2.4"</formula>
    </cfRule>
  </conditionalFormatting>
  <conditionalFormatting sqref="G9">
    <cfRule type="expression" dxfId="36" priority="82">
      <formula>"0&gt;$E$141+$E$141&lt;2.4"</formula>
    </cfRule>
  </conditionalFormatting>
  <conditionalFormatting sqref="G36">
    <cfRule type="expression" dxfId="35" priority="57">
      <formula>"0&gt;$E$141+$E$141&lt;2.4"</formula>
    </cfRule>
  </conditionalFormatting>
  <conditionalFormatting sqref="G57:G91">
    <cfRule type="expression" dxfId="34" priority="38">
      <formula>"0&gt;$E$141+$E$141&lt;2.4"</formula>
    </cfRule>
  </conditionalFormatting>
  <conditionalFormatting sqref="I16:I20">
    <cfRule type="cellIs" dxfId="33" priority="61" operator="equal">
      <formula>"ALARAM"</formula>
    </cfRule>
  </conditionalFormatting>
  <conditionalFormatting sqref="I23:I24">
    <cfRule type="cellIs" dxfId="32" priority="74" operator="equal">
      <formula>"ALARAM"</formula>
    </cfRule>
  </conditionalFormatting>
  <conditionalFormatting sqref="I27:I35">
    <cfRule type="cellIs" dxfId="31" priority="14" operator="equal">
      <formula>"ALARAM"</formula>
    </cfRule>
  </conditionalFormatting>
  <conditionalFormatting sqref="I37:I87">
    <cfRule type="cellIs" dxfId="30" priority="1" operator="equal">
      <formula>"ALARM"</formula>
    </cfRule>
    <cfRule type="cellIs" dxfId="29" priority="2" operator="equal">
      <formula>"WARNING"</formula>
    </cfRule>
    <cfRule type="cellIs" dxfId="28" priority="3" operator="equal">
      <formula>"PREWARNING"</formula>
    </cfRule>
    <cfRule type="cellIs" dxfId="27" priority="4" operator="equal">
      <formula>"NORMAL"</formula>
    </cfRule>
  </conditionalFormatting>
  <conditionalFormatting sqref="I37:I91">
    <cfRule type="cellIs" dxfId="26" priority="5" operator="equal">
      <formula>"ALARAM"</formula>
    </cfRule>
  </conditionalFormatting>
  <conditionalFormatting sqref="I103:I106">
    <cfRule type="cellIs" dxfId="25" priority="79" operator="equal">
      <formula>"ALARAM"</formula>
    </cfRule>
  </conditionalFormatting>
  <conditionalFormatting sqref="I10:K29">
    <cfRule type="cellIs" dxfId="24" priority="63" operator="equal">
      <formula>"PREWARNING"</formula>
    </cfRule>
  </conditionalFormatting>
  <conditionalFormatting sqref="I10:K35">
    <cfRule type="cellIs" dxfId="23" priority="10" operator="equal">
      <formula>"ALARM"</formula>
    </cfRule>
    <cfRule type="cellIs" dxfId="22" priority="11" operator="equal">
      <formula>"WARNING"</formula>
    </cfRule>
    <cfRule type="cellIs" dxfId="21" priority="13" operator="equal">
      <formula>"NORMAL"</formula>
    </cfRule>
  </conditionalFormatting>
  <conditionalFormatting sqref="I30:K31">
    <cfRule type="cellIs" dxfId="20" priority="49" operator="equal">
      <formula>"PREWARNING"</formula>
    </cfRule>
  </conditionalFormatting>
  <conditionalFormatting sqref="I32:K35">
    <cfRule type="cellIs" dxfId="19" priority="12" operator="equal">
      <formula>"PREWARNING"</formula>
    </cfRule>
  </conditionalFormatting>
  <conditionalFormatting sqref="I88:K91 I93:I108">
    <cfRule type="cellIs" dxfId="18" priority="66" operator="equal">
      <formula>"ALARM"</formula>
    </cfRule>
    <cfRule type="cellIs" dxfId="17" priority="67" operator="equal">
      <formula>"WARNING"</formula>
    </cfRule>
    <cfRule type="cellIs" dxfId="16" priority="69" operator="equal">
      <formula>"NORMAL"</formula>
    </cfRule>
  </conditionalFormatting>
  <conditionalFormatting sqref="J37:K56">
    <cfRule type="cellIs" dxfId="15" priority="6" operator="equal">
      <formula>"ALARM"</formula>
    </cfRule>
    <cfRule type="cellIs" dxfId="14" priority="7" operator="equal">
      <formula>"WARNING"</formula>
    </cfRule>
    <cfRule type="cellIs" dxfId="13" priority="8" operator="equal">
      <formula>"PREWARNING"</formula>
    </cfRule>
    <cfRule type="cellIs" dxfId="12" priority="9" operator="equal">
      <formula>"NORMAL"</formula>
    </cfRule>
  </conditionalFormatting>
  <conditionalFormatting sqref="J58:K83 I88:K91 I93:I108">
    <cfRule type="cellIs" dxfId="11" priority="68" operator="equal">
      <formula>"PREWARNING"</formula>
    </cfRule>
  </conditionalFormatting>
  <conditionalFormatting sqref="J58:K87">
    <cfRule type="cellIs" dxfId="10" priority="34" operator="equal">
      <formula>"ALARM"</formula>
    </cfRule>
    <cfRule type="cellIs" dxfId="9" priority="35" operator="equal">
      <formula>"WARNING"</formula>
    </cfRule>
    <cfRule type="cellIs" dxfId="8" priority="37" operator="equal">
      <formula>"NORMAL"</formula>
    </cfRule>
  </conditionalFormatting>
  <conditionalFormatting sqref="J84:K87">
    <cfRule type="cellIs" dxfId="7" priority="36" operator="equal">
      <formula>"PREWARNING"</formula>
    </cfRule>
  </conditionalFormatting>
  <conditionalFormatting sqref="J93:K116">
    <cfRule type="cellIs" dxfId="6" priority="85" operator="equal">
      <formula>"ALARM"</formula>
    </cfRule>
    <cfRule type="cellIs" dxfId="5" priority="86" operator="equal">
      <formula>"WARNING"</formula>
    </cfRule>
    <cfRule type="cellIs" dxfId="4" priority="87" operator="equal">
      <formula>"PREWARNING"</formula>
    </cfRule>
    <cfRule type="cellIs" dxfId="3" priority="88" operator="equal">
      <formula>"NORMAL"</formula>
    </cfRule>
  </conditionalFormatting>
  <conditionalFormatting sqref="P12">
    <cfRule type="duplicateValues" dxfId="2" priority="58"/>
  </conditionalFormatting>
  <conditionalFormatting sqref="P39">
    <cfRule type="duplicateValues" dxfId="1" priority="52"/>
  </conditionalFormatting>
  <conditionalFormatting sqref="Q29">
    <cfRule type="duplicateValues" dxfId="0" priority="59"/>
  </conditionalFormatting>
  <hyperlinks>
    <hyperlink ref="D93" r:id="rId1" location="'BC 4.1'!A1" display="00. FORM PENGUKURAN UNIT COMMON.xlsx - 'BC 4.1'!A1" xr:uid="{00000000-0004-0000-0200-000000000000}"/>
    <hyperlink ref="D94" r:id="rId2" location="'BC 4.2'!A1" display="00. FORM PENGUKURAN UNIT COMMON.xlsx - 'BC 4.2'!A1" xr:uid="{00000000-0004-0000-0200-000001000000}"/>
    <hyperlink ref="D95" r:id="rId3" location="'BC 5.1'!A1" display="00. FORM PENGUKURAN UNIT COMMON.xlsx - 'BC 5.1'!A1" xr:uid="{00000000-0004-0000-0200-000002000000}"/>
    <hyperlink ref="D96" r:id="rId4" location="'BC 5.2'!A1" display="00. FORM PENGUKURAN UNIT COMMON.xlsx - 'BC 5.2'!A1" xr:uid="{00000000-0004-0000-0200-000003000000}"/>
    <hyperlink ref="D97" r:id="rId5" location="'BC 7.1'!A1" display="00. FORM PENGUKURAN UNIT COMMON.xlsx - 'BC 7.1'!A1" xr:uid="{00000000-0004-0000-0200-000004000000}"/>
    <hyperlink ref="D98" r:id="rId6" location="'BC 7.2'!A1" display="00. FORM PENGUKURAN UNIT COMMON.xlsx - 'BC 7.2'!A1" xr:uid="{00000000-0004-0000-0200-000005000000}"/>
    <hyperlink ref="D99" r:id="rId7" location="'BC 8.1'!A1" display="00. FORM PENGUKURAN UNIT COMMON.xlsx - 'BC 8.1'!A1" xr:uid="{00000000-0004-0000-0200-000006000000}"/>
    <hyperlink ref="D100" r:id="rId8" location="'BC 8.2'!A1" display="00. FORM PENGUKURAN UNIT COMMON.xlsx - 'BC 8.2'!A1" xr:uid="{00000000-0004-0000-0200-000007000000}"/>
    <hyperlink ref="D101" r:id="rId9" location="'BC 10.1'!A1" display="00. FORM PENGUKURAN UNIT COMMON.xlsx - 'BC 10.1'!A1" xr:uid="{00000000-0004-0000-0200-000008000000}"/>
    <hyperlink ref="D102" r:id="rId10" location="'BC 10.2'!A1" display="00. FORM PENGUKURAN UNIT COMMON.xlsx - 'BC 10.2'!A1" xr:uid="{00000000-0004-0000-0200-000009000000}"/>
    <hyperlink ref="D103" r:id="rId11" location="'RC 1'!A1" display="00. FORM PENGUKURAN UNIT COMMON.xlsx - 'RC 1'!A1" xr:uid="{00000000-0004-0000-0200-00000A000000}"/>
    <hyperlink ref="D104" r:id="rId12" location="'RC 2'!A1" display="00. FORM PENGUKURAN UNIT COMMON.xlsx - 'RC 2'!A1" xr:uid="{00000000-0004-0000-0200-00000B000000}"/>
    <hyperlink ref="D107" r:id="rId13" location="'CH 1'!A1" display="00. FORM PENGUKURAN UNIT COMMON.xlsx - 'CH 1'!A1" xr:uid="{00000000-0004-0000-0200-00000C000000}"/>
    <hyperlink ref="D108" r:id="rId14" location="'CH 2'!A1" display="00. FORM PENGUKURAN UNIT COMMON.xlsx - 'CH 2'!A1" xr:uid="{00000000-0004-0000-0200-00000D000000}"/>
    <hyperlink ref="D58" r:id="rId15" location="'IDF 1'!A1" display="00. FORM PENGUKURAN UNIT 3.xlsx - 'IDF 1'!A1" xr:uid="{00000000-0004-0000-0200-00000E000000}"/>
    <hyperlink ref="D59" r:id="rId16" location="'IDF 2'!A1" display="00. FORM PENGUKURAN UNIT 3.xlsx - 'IDF 2'!A1" xr:uid="{00000000-0004-0000-0200-00000F000000}"/>
    <hyperlink ref="D60" r:id="rId17" location="PAF!A1" display="00. FORM PENGUKURAN UNIT 3.xlsx - PAF!A1" xr:uid="{00000000-0004-0000-0200-000010000000}"/>
    <hyperlink ref="D61" r:id="rId18" location="SAF!A1" display="00. FORM PENGUKURAN UNIT 3.xlsx - SAF!A1" xr:uid="{00000000-0004-0000-0200-000011000000}"/>
    <hyperlink ref="D62" r:id="rId19" location="'RAF 1'!A1" display="00. FORM PENGUKURAN UNIT 3.xlsx - 'RAF 1'!A1" xr:uid="{00000000-0004-0000-0200-000012000000}"/>
    <hyperlink ref="D63" r:id="rId20" location="'RAF 2'!A1" display="00. FORM PENGUKURAN UNIT 3.xlsx - 'RAF 2'!A1" xr:uid="{00000000-0004-0000-0200-000013000000}"/>
    <hyperlink ref="D64" r:id="rId21" location="'T-G'!A1" display="00. FORM PENGUKURAN UNIT 3.xlsx - 'T-G'!A1" xr:uid="{00000000-0004-0000-0200-000014000000}"/>
    <hyperlink ref="D65" r:id="rId22" location="'CEP 1'!A1" display="00. FORM PENGUKURAN UNIT 3.xlsx - 'CEP 1'!A1" xr:uid="{00000000-0004-0000-0200-000015000000}"/>
    <hyperlink ref="D66" r:id="rId23" location="'CEP 2'!A1" display="00. FORM PENGUKURAN UNIT 3.xlsx - 'CEP 2'!A1" xr:uid="{00000000-0004-0000-0200-000016000000}"/>
    <hyperlink ref="D67" r:id="rId24" location="'CEP 3'!A1" display="00. FORM PENGUKURAN UNIT 3.xlsx - 'CEP 3'!A1" xr:uid="{00000000-0004-0000-0200-000017000000}"/>
    <hyperlink ref="D68" r:id="rId25" location="'WJP 1'!A1" display="00. FORM PENGUKURAN UNIT 3.xlsx - 'WJP 1'!A1" xr:uid="{00000000-0004-0000-0200-000018000000}"/>
    <hyperlink ref="D69" r:id="rId26" location="'WJP 2'!A1" display="00. FORM PENGUKURAN UNIT 3.xlsx - 'WJP 2'!A1" xr:uid="{00000000-0004-0000-0200-000019000000}"/>
    <hyperlink ref="D70" r:id="rId27" location="'BFP 1'!A1" display="00. FORM PENGUKURAN UNIT 3.xlsx - 'BFP 1'!A1" xr:uid="{00000000-0004-0000-0200-00001A000000}"/>
    <hyperlink ref="D71" r:id="rId28" location="'BFP 2'!A1" display="00. FORM PENGUKURAN UNIT 3.xlsx - 'BFP 2'!A1" xr:uid="{00000000-0004-0000-0200-00001B000000}"/>
    <hyperlink ref="D72" r:id="rId29" location="'CCWP 1'!A1" display="00. FORM PENGUKURAN UNIT 3.xlsx - 'CCWP 1'!A1" xr:uid="{00000000-0004-0000-0200-00001C000000}"/>
    <hyperlink ref="D73" r:id="rId30" location="'CCWP 2'!A1" display="00. FORM PENGUKURAN UNIT 3.xlsx - 'CCWP 2'!A1" xr:uid="{00000000-0004-0000-0200-00001D000000}"/>
    <hyperlink ref="D74" r:id="rId31" location="'CWP 1'!A1" display="00. FORM PENGUKURAN UNIT 3.xlsx - 'CWP 1'!A1" xr:uid="{00000000-0004-0000-0200-00001E000000}"/>
    <hyperlink ref="D75" r:id="rId32" location="'CWP 2'!A1" display="00. FORM PENGUKURAN UNIT 3.xlsx - 'CWP 2'!A1" xr:uid="{00000000-0004-0000-0200-00001F000000}"/>
    <hyperlink ref="D76" r:id="rId33" location="'BWRO 1'!A1" display="00. FORM PENGUKURAN UNIT 3.xlsx - 'BWRO 1'!A1" xr:uid="{00000000-0004-0000-0200-000020000000}"/>
    <hyperlink ref="D77" r:id="rId34" location="'BWRO 2'!A1" display="00. FORM PENGUKURAN UNIT 3.xlsx - 'BWRO 2'!A1" xr:uid="{00000000-0004-0000-0200-000021000000}"/>
    <hyperlink ref="D10" r:id="rId35" location="'IDF 1'!A1" display="00. FORM PENGUKURAN UNIT 1.xlsx - 'IDF 1'!A1" xr:uid="{00000000-0004-0000-0200-000022000000}"/>
    <hyperlink ref="D11" r:id="rId36" location="'IDF 2'!A1" display="00. FORM PENGUKURAN UNIT 1.xlsx - 'IDF 2'!A1" xr:uid="{00000000-0004-0000-0200-000023000000}"/>
    <hyperlink ref="D12" r:id="rId37" location="'PAF 1'!A1" display="00. FORM PENGUKURAN UNIT 1.xlsx - 'PAF 1'!A1" xr:uid="{00000000-0004-0000-0200-000024000000}"/>
    <hyperlink ref="D13" r:id="rId38" location="'PAF 2'!A1" display="00. FORM PENGUKURAN UNIT 1.xlsx - 'PAF 2'!A1" xr:uid="{00000000-0004-0000-0200-000025000000}"/>
    <hyperlink ref="D14" r:id="rId39" location="'SAF 1'!A1" display="00. FORM PENGUKURAN UNIT 1.xlsx - 'SAF 1'!A1" xr:uid="{00000000-0004-0000-0200-000026000000}"/>
    <hyperlink ref="D15" r:id="rId40" location="'SAF 2'!A1" display="00. FORM PENGUKURAN UNIT 1.xlsx - 'SAF 2'!A1" xr:uid="{00000000-0004-0000-0200-000027000000}"/>
    <hyperlink ref="D16" r:id="rId41" location="'T-G'!A1" display="00. FORM PENGUKURAN UNIT 1.xlsx - 'T-G'!A1" xr:uid="{00000000-0004-0000-0200-000028000000}"/>
    <hyperlink ref="D17" r:id="rId42" location="'CEP 1'!A1" display="00. FORM PENGUKURAN UNIT 1.xlsx - 'CEP 1'!A1" xr:uid="{00000000-0004-0000-0200-000029000000}"/>
    <hyperlink ref="D18" r:id="rId43" location="'CEP 2'!A1" display="00. FORM PENGUKURAN UNIT 1.xlsx - 'CEP 2'!A1" xr:uid="{00000000-0004-0000-0200-00002A000000}"/>
    <hyperlink ref="D19" r:id="rId44" location="'VACUUM PUMP 1'!A1" display="00. FORM PENGUKURAN UNIT 1.xlsx - 'VACUUM PUMP 1'!A1" xr:uid="{00000000-0004-0000-0200-00002B000000}"/>
    <hyperlink ref="D20" r:id="rId45" location="'VACUUM PUMP 2'!A1" display="00. FORM PENGUKURAN UNIT 1.xlsx - 'VACUUM PUMP 2'!A1" xr:uid="{00000000-0004-0000-0200-00002C000000}"/>
    <hyperlink ref="D21" r:id="rId46" location="'BFP 1'!A1" display="00. FORM PENGUKURAN UNIT 1.xlsx - 'BFP 1'!A1" xr:uid="{00000000-0004-0000-0200-00002D000000}"/>
    <hyperlink ref="D22" r:id="rId47" location="'BFP 2'!A1" display="00. FORM PENGUKURAN UNIT 1.xlsx - 'BFP 2'!A1" xr:uid="{00000000-0004-0000-0200-00002E000000}"/>
    <hyperlink ref="D23" r:id="rId48" location="'C3WP 1'!A1" display="00. FORM PENGUKURAN UNIT 1.xlsx - 'C3WP 1'!A1" xr:uid="{00000000-0004-0000-0200-00002F000000}"/>
    <hyperlink ref="D25" r:id="rId49" location="'CWP 1'!A1" display="00. FORM PENGUKURAN UNIT 1.xlsx - 'CWP 1'!A1" xr:uid="{00000000-0004-0000-0200-000030000000}"/>
    <hyperlink ref="D26" r:id="rId50" location="'CWP 2'!A1" display="00. FORM PENGUKURAN UNIT 1.xlsx - 'CWP 2'!A1" xr:uid="{00000000-0004-0000-0200-000031000000}"/>
    <hyperlink ref="D27" r:id="rId51" location="'BWRO 1'!A1" display="00. FORM PENGUKURAN UNIT 1.xlsx - 'BWRO 1'!A1" xr:uid="{00000000-0004-0000-0200-000032000000}"/>
    <hyperlink ref="D28" r:id="rId52" location="'BWRO 2'!A1" display="00. FORM PENGUKURAN UNIT 1.xlsx - 'BWRO 2'!A1" xr:uid="{00000000-0004-0000-0200-000033000000}"/>
    <hyperlink ref="D29" r:id="rId53" location="'SWRO 1'!A1" display="00. FORM PENGUKURAN UNIT 1.xlsx - 'SWRO 1'!A1" xr:uid="{00000000-0004-0000-0200-000034000000}"/>
    <hyperlink ref="D32" r:id="rId54" location="'SWRO 2'!A1" display="00. FORM PENGUKURAN UNIT 1.xlsx - 'SWRO 2'!A1" xr:uid="{00000000-0004-0000-0200-000035000000}"/>
    <hyperlink ref="D79" r:id="rId55" location="'SWRO 2'!A1" display="00. FORM PENGUKURAN UNIT 3.xlsx - 'SWRO 2'!A1" xr:uid="{00000000-0004-0000-0200-000036000000}"/>
    <hyperlink ref="D78" r:id="rId56" location="'SWRO 1'!A1" display="00. FORM PENGUKURAN UNIT 3.xlsx - 'SWRO 1'!A1" xr:uid="{00000000-0004-0000-0200-000037000000}"/>
    <hyperlink ref="D89" r:id="rId57" location="'CT 2'!A1" display="00. FORM PENGUKURAN UNIT 3.xlsx - 'CT 2'!A1" xr:uid="{00000000-0004-0000-0200-000038000000}"/>
    <hyperlink ref="D88" r:id="rId58" location="'CT 1'!A1" display="00. FORM PENGUKURAN UNIT 3.xlsx - 'CT 1'!A1" xr:uid="{00000000-0004-0000-0200-000039000000}"/>
    <hyperlink ref="D37" r:id="rId59" location="'IDF 1'!A1" display="00. FORM PENGUKURAN UNIT 1.xlsx - 'IDF 1'!A1" xr:uid="{00000000-0004-0000-0200-00003A000000}"/>
    <hyperlink ref="D39" r:id="rId60" location="'PAF 1'!A1" display="00. FORM PENGUKURAN UNIT 1.xlsx - 'PAF 1'!A1" xr:uid="{00000000-0004-0000-0200-00003B000000}"/>
    <hyperlink ref="D40" r:id="rId61" location="'PAF 2'!A1" display="00. FORM PENGUKURAN UNIT 1.xlsx - 'PAF 2'!A1" xr:uid="{00000000-0004-0000-0200-00003C000000}"/>
    <hyperlink ref="D41" r:id="rId62" location="'SAF 1'!A1" display="00. FORM PENGUKURAN UNIT 1.xlsx - 'SAF 1'!A1" xr:uid="{00000000-0004-0000-0200-00003D000000}"/>
    <hyperlink ref="D42" r:id="rId63" location="'SAF 2'!A1" display="00. FORM PENGUKURAN UNIT 1.xlsx - 'SAF 2'!A1" xr:uid="{00000000-0004-0000-0200-00003E000000}"/>
    <hyperlink ref="D43" r:id="rId64" location="'T-G'!A1" display="00. FORM PENGUKURAN UNIT 1.xlsx - 'T-G'!A1" xr:uid="{00000000-0004-0000-0200-00003F000000}"/>
    <hyperlink ref="D44" r:id="rId65" location="'CEP 1'!A1" display="00. FORM PENGUKURAN UNIT 1.xlsx - 'CEP 1'!A1" xr:uid="{00000000-0004-0000-0200-000040000000}"/>
    <hyperlink ref="D45" r:id="rId66" location="'CEP 2'!A1" display="00. FORM PENGUKURAN UNIT 1.xlsx - 'CEP 2'!A1" xr:uid="{00000000-0004-0000-0200-000041000000}"/>
    <hyperlink ref="D46" r:id="rId67" location="'VACUUM PUMP 1'!A1" display="00. FORM PENGUKURAN UNIT 1.xlsx - 'VACUUM PUMP 1'!A1" xr:uid="{00000000-0004-0000-0200-000042000000}"/>
    <hyperlink ref="D47" r:id="rId68" location="'VACUUM PUMP 2'!A1" display="00. FORM PENGUKURAN UNIT 1.xlsx - 'VACUUM PUMP 2'!A1" xr:uid="{00000000-0004-0000-0200-000043000000}"/>
    <hyperlink ref="D48" r:id="rId69" location="'BFP 1'!A1" display="00. FORM PENGUKURAN UNIT 1.xlsx - 'BFP 1'!A1" xr:uid="{00000000-0004-0000-0200-000044000000}"/>
    <hyperlink ref="D49" r:id="rId70" location="'BFP 2'!A1" display="00. FORM PENGUKURAN UNIT 1.xlsx - 'BFP 2'!A1" xr:uid="{00000000-0004-0000-0200-000045000000}"/>
    <hyperlink ref="D50" r:id="rId71" location="'C3WP 1'!A1" display="00. FORM PENGUKURAN UNIT 1.xlsx - 'C3WP 1'!A1" xr:uid="{00000000-0004-0000-0200-000046000000}"/>
    <hyperlink ref="D51" r:id="rId72" location="'C3WP 2'!A1" display="00. FORM PENGUKURAN UNIT 1.xlsx - 'C3WP 2'!A1" xr:uid="{00000000-0004-0000-0200-000047000000}"/>
    <hyperlink ref="D53" r:id="rId73" location="'CWP 1'!A1" display="00. FORM PENGUKURAN UNIT 1.xlsx - 'CWP 1'!A1" xr:uid="{00000000-0004-0000-0200-000048000000}"/>
    <hyperlink ref="D54" r:id="rId74" location="'CWP 2'!A1" display="00. FORM PENGUKURAN UNIT 1.xlsx - 'CWP 2'!A1" xr:uid="{00000000-0004-0000-0200-000049000000}"/>
    <hyperlink ref="D38" r:id="rId75" location="'IDF 2'!A1" display="00. FORM PENGUKURAN UNIT 1.xlsx - 'IDF 2'!A1" xr:uid="{00000000-0004-0000-0200-00004A000000}"/>
    <hyperlink ref="D31" r:id="rId76" location="'SWRO 2'!A1" display="00. FORM PENGUKURAN UNIT 1.xlsx - 'SWRO 2'!A1" xr:uid="{00000000-0004-0000-0200-00004B000000}"/>
    <hyperlink ref="D30" r:id="rId77" location="'SWRO 2'!A1" display="00. FORM PENGUKURAN UNIT 1.xlsx - 'SWRO 2'!A1" xr:uid="{00000000-0004-0000-0200-00004C000000}"/>
    <hyperlink ref="D56" r:id="rId78" location="'SWRO 2'!A1" display="00. FORM PENGUKURAN UNIT 1.xlsx - 'SWRO 2'!A1" xr:uid="{00000000-0004-0000-0200-00004D000000}"/>
    <hyperlink ref="D55" r:id="rId79" location="'SWRO 2'!A1" display="00. FORM PENGUKURAN UNIT 1.xlsx - 'SWRO 2'!A1" xr:uid="{00000000-0004-0000-0200-00004E000000}"/>
    <hyperlink ref="D33" r:id="rId80" location="'SWRO 2'!A1" display="00. FORM PENGUKURAN UNIT 1.xlsx - 'SWRO 2'!A1" xr:uid="{00000000-0004-0000-0200-00004F000000}"/>
    <hyperlink ref="D34" r:id="rId81" location="'SWRO 2'!A1" display="00. FORM PENGUKURAN UNIT 1.xlsx - 'SWRO 2'!A1" xr:uid="{00000000-0004-0000-0200-000050000000}"/>
    <hyperlink ref="D35" r:id="rId82" location="'SWRO 2'!A1" display="00. FORM PENGUKURAN UNIT 1.xlsx - 'SWRO 2'!A1" xr:uid="{00000000-0004-0000-0200-000051000000}"/>
    <hyperlink ref="D24" r:id="rId83" location="'C3WP 1'!A1" display="00. FORM PENGUKURAN UNIT 1.xlsx - 'C3WP 1'!A1" xr:uid="{00000000-0004-0000-0200-000052000000}"/>
    <hyperlink ref="D52" r:id="rId84" location="'C3WP 2'!A1" display="00. FORM PENGUKURAN UNIT 1.xlsx - 'C3WP 2'!A1" xr:uid="{00000000-0004-0000-0200-000053000000}"/>
  </hyperlinks>
  <printOptions horizontalCentered="1"/>
  <pageMargins left="0.51181102362204722" right="0.23622047244094491" top="0.51181102362204722" bottom="0.74803149606299213" header="0.31496062992125984" footer="0.31496062992125984"/>
  <pageSetup paperSize="9" scale="60" orientation="portrait" r:id="rId85"/>
  <headerFooter>
    <oddFooter>&amp;L&amp;K00-046PT. PLN Indonesia Power UBP PLTU Jeranjang
Jl. Raya PLTU Jeranjang, Desa Taman Ayu – Kec. Gerung
Lombok Barat – Mataram - NTB</oddFooter>
  </headerFooter>
  <rowBreaks count="7" manualBreakCount="7">
    <brk id="17" min="1" max="11" man="1"/>
    <brk id="24" min="1" max="11" man="1"/>
    <brk id="33" min="1" max="11" man="1"/>
    <brk id="45" min="1" max="11" man="1"/>
    <brk id="56" min="1" max="11" man="1"/>
    <brk id="74" min="1" max="11" man="1"/>
    <brk id="84" min="1" max="11" man="1"/>
  </rowBreaks>
  <drawing r:id="rId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DASHBOARD</vt:lpstr>
      <vt:lpstr>SUMMARY</vt:lpstr>
      <vt:lpstr>REKOMENDASI</vt:lpstr>
      <vt:lpstr>DASHBOARD!Print_Area</vt:lpstr>
      <vt:lpstr>REKOMENDASI!Print_Area</vt:lpstr>
      <vt:lpstr>SUMMARY!Print_Area</vt:lpstr>
      <vt:lpstr>REKOMENDASI!Print_Titles</vt:lpstr>
      <vt:lpstr>SUMMARY!Print_Titles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Hermawan</dc:creator>
  <cp:lastModifiedBy>RizkiLidia@outlook.com</cp:lastModifiedBy>
  <cp:lastPrinted>2026-06-09T20:58:04Z</cp:lastPrinted>
  <dcterms:created xsi:type="dcterms:W3CDTF">2026-02-03T01:18:55Z</dcterms:created>
  <dcterms:modified xsi:type="dcterms:W3CDTF">2026-06-10T08:38:27Z</dcterms:modified>
</cp:coreProperties>
</file>