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KANTOR\02. CONDITION BASE MAINTENANCE (CBM)\02. FORM PENGUKURAN\MASTER\LAPORAN PdM\"/>
    </mc:Choice>
  </mc:AlternateContent>
  <bookViews>
    <workbookView xWindow="0" yWindow="0" windowWidth="19200" windowHeight="6830" activeTab="2"/>
  </bookViews>
  <sheets>
    <sheet name="DASHBOARD" sheetId="1" r:id="rId1"/>
    <sheet name="SUMMARY" sheetId="2" r:id="rId2"/>
    <sheet name="REKOMENDASI" sheetId="3" r:id="rId3"/>
  </sheets>
  <externalReferences>
    <externalReference r:id="rId4"/>
  </externalReferences>
  <definedNames>
    <definedName name="_xlnm._FilterDatabase" localSheetId="2" hidden="1">REKOMENDASI!$A$92:$L$92</definedName>
    <definedName name="_xlnm.Print_Area" localSheetId="0">DASHBOARD!$A$1:$V$76</definedName>
    <definedName name="_xlnm.Print_Area" localSheetId="2">REKOMENDASI!$B$1:$L$120</definedName>
    <definedName name="_xlnm.Print_Area" localSheetId="1">SUMMARY!$A$1:$Y$104</definedName>
    <definedName name="_xlnm.Print_Titles" localSheetId="2">REKOMENDASI!$1:$8</definedName>
    <definedName name="_xlnm.Print_Titles" localSheetId="1">SUMMARY!$1:$8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7" i="3" l="1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4" i="3"/>
  <c r="D53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W113" i="2"/>
  <c r="X113" i="2" s="1"/>
  <c r="C113" i="2"/>
  <c r="X112" i="2"/>
  <c r="W112" i="2"/>
  <c r="C112" i="2"/>
  <c r="W111" i="2"/>
  <c r="X111" i="2" s="1"/>
  <c r="C111" i="2"/>
  <c r="W110" i="2"/>
  <c r="X110" i="2" s="1"/>
  <c r="C110" i="2"/>
  <c r="X109" i="2"/>
  <c r="W109" i="2"/>
  <c r="C109" i="2"/>
  <c r="W108" i="2"/>
  <c r="X108" i="2" s="1"/>
  <c r="C108" i="2"/>
  <c r="W107" i="2"/>
  <c r="X107" i="2" s="1"/>
  <c r="C107" i="2"/>
  <c r="W106" i="2"/>
  <c r="X106" i="2" s="1"/>
  <c r="C106" i="2"/>
  <c r="W105" i="2"/>
  <c r="X105" i="2" s="1"/>
  <c r="C105" i="2"/>
  <c r="W103" i="2"/>
  <c r="C103" i="2"/>
  <c r="W102" i="2"/>
  <c r="C102" i="2"/>
  <c r="W101" i="2"/>
  <c r="C101" i="2"/>
  <c r="W100" i="2"/>
  <c r="C100" i="2"/>
  <c r="W99" i="2"/>
  <c r="C99" i="2"/>
  <c r="W98" i="2"/>
  <c r="C98" i="2"/>
  <c r="W97" i="2"/>
  <c r="C97" i="2"/>
  <c r="W96" i="2"/>
  <c r="C96" i="2"/>
  <c r="W95" i="2"/>
  <c r="C95" i="2"/>
  <c r="W94" i="2"/>
  <c r="C94" i="2"/>
  <c r="W93" i="2"/>
  <c r="C93" i="2"/>
  <c r="W92" i="2"/>
  <c r="C92" i="2"/>
  <c r="W91" i="2"/>
  <c r="C91" i="2"/>
  <c r="W90" i="2"/>
  <c r="C90" i="2"/>
  <c r="C89" i="2"/>
  <c r="W87" i="2"/>
  <c r="W86" i="2"/>
  <c r="W85" i="2"/>
  <c r="W84" i="2"/>
  <c r="W83" i="2"/>
  <c r="W82" i="2"/>
  <c r="W81" i="2"/>
  <c r="W80" i="2"/>
  <c r="W79" i="2"/>
  <c r="C79" i="2"/>
  <c r="W78" i="2"/>
  <c r="C78" i="2"/>
  <c r="W77" i="2"/>
  <c r="C77" i="2"/>
  <c r="W76" i="2"/>
  <c r="C76" i="2"/>
  <c r="W75" i="2"/>
  <c r="C75" i="2"/>
  <c r="W74" i="2"/>
  <c r="C74" i="2"/>
  <c r="W73" i="2"/>
  <c r="C73" i="2"/>
  <c r="W72" i="2"/>
  <c r="C72" i="2"/>
  <c r="W71" i="2"/>
  <c r="C71" i="2"/>
  <c r="W70" i="2"/>
  <c r="C70" i="2"/>
  <c r="W69" i="2"/>
  <c r="C69" i="2"/>
  <c r="W68" i="2"/>
  <c r="C68" i="2"/>
  <c r="W67" i="2"/>
  <c r="C67" i="2"/>
  <c r="W66" i="2"/>
  <c r="C66" i="2"/>
  <c r="W65" i="2"/>
  <c r="C65" i="2"/>
  <c r="W64" i="2"/>
  <c r="C64" i="2"/>
  <c r="W63" i="2"/>
  <c r="C63" i="2"/>
  <c r="W62" i="2"/>
  <c r="C62" i="2"/>
  <c r="W61" i="2"/>
  <c r="C61" i="2"/>
  <c r="W60" i="2"/>
  <c r="C60" i="2"/>
  <c r="W59" i="2"/>
  <c r="C59" i="2"/>
  <c r="W58" i="2"/>
  <c r="C58" i="2"/>
  <c r="C57" i="2"/>
  <c r="W56" i="2"/>
  <c r="W55" i="2"/>
  <c r="W54" i="2"/>
  <c r="C54" i="2"/>
  <c r="W53" i="2"/>
  <c r="C53" i="2"/>
  <c r="W52" i="2"/>
  <c r="W51" i="2"/>
  <c r="C51" i="2"/>
  <c r="W50" i="2"/>
  <c r="C50" i="2"/>
  <c r="W49" i="2"/>
  <c r="C49" i="2"/>
  <c r="W48" i="2"/>
  <c r="C48" i="2"/>
  <c r="W47" i="2"/>
  <c r="C47" i="2"/>
  <c r="W46" i="2"/>
  <c r="C46" i="2"/>
  <c r="W45" i="2"/>
  <c r="C45" i="2"/>
  <c r="W44" i="2"/>
  <c r="C44" i="2"/>
  <c r="W43" i="2"/>
  <c r="C43" i="2"/>
  <c r="W42" i="2"/>
  <c r="C42" i="2"/>
  <c r="W41" i="2"/>
  <c r="C41" i="2"/>
  <c r="W40" i="2"/>
  <c r="C40" i="2"/>
  <c r="W39" i="2"/>
  <c r="C39" i="2"/>
  <c r="AA38" i="2"/>
  <c r="AA39" i="2" s="1"/>
  <c r="AA46" i="2" s="1"/>
  <c r="AA48" i="2" s="1"/>
  <c r="AA49" i="2" s="1"/>
  <c r="W38" i="2"/>
  <c r="C38" i="2"/>
  <c r="W37" i="2"/>
  <c r="C37" i="2"/>
  <c r="C36" i="2"/>
  <c r="W35" i="2"/>
  <c r="W34" i="2"/>
  <c r="W33" i="2"/>
  <c r="W32" i="2"/>
  <c r="W31" i="2"/>
  <c r="W30" i="2"/>
  <c r="C30" i="2"/>
  <c r="W29" i="2"/>
  <c r="C29" i="2"/>
  <c r="W28" i="2"/>
  <c r="C28" i="2"/>
  <c r="W27" i="2"/>
  <c r="C27" i="2"/>
  <c r="W26" i="2"/>
  <c r="C26" i="2"/>
  <c r="W25" i="2"/>
  <c r="C25" i="2"/>
  <c r="W24" i="2"/>
  <c r="C24" i="2"/>
  <c r="W23" i="2"/>
  <c r="C23" i="2"/>
  <c r="W22" i="2"/>
  <c r="C22" i="2"/>
  <c r="W21" i="2"/>
  <c r="C21" i="2"/>
  <c r="W20" i="2"/>
  <c r="C20" i="2"/>
  <c r="W19" i="2"/>
  <c r="C19" i="2"/>
  <c r="W18" i="2"/>
  <c r="C18" i="2"/>
  <c r="W17" i="2"/>
  <c r="C17" i="2"/>
  <c r="W16" i="2"/>
  <c r="C16" i="2"/>
  <c r="W15" i="2"/>
  <c r="C15" i="2"/>
  <c r="W14" i="2"/>
  <c r="C14" i="2"/>
  <c r="W13" i="2"/>
  <c r="C13" i="2"/>
  <c r="W12" i="2"/>
  <c r="C12" i="2"/>
  <c r="AA11" i="2"/>
  <c r="AA12" i="2" s="1"/>
  <c r="AA19" i="2" s="1"/>
  <c r="AA21" i="2" s="1"/>
  <c r="AA22" i="2" s="1"/>
  <c r="W11" i="2"/>
  <c r="C11" i="2"/>
  <c r="AM10" i="2"/>
  <c r="AN10" i="2" s="1"/>
  <c r="W10" i="2"/>
  <c r="C10" i="2"/>
  <c r="C9" i="2"/>
  <c r="JA7" i="2"/>
  <c r="JB7" i="2" s="1"/>
  <c r="IM7" i="2"/>
  <c r="IN7" i="2" s="1"/>
  <c r="HZ7" i="2"/>
  <c r="HY7" i="2"/>
  <c r="HK7" i="2"/>
  <c r="HL7" i="2" s="1"/>
  <c r="GW7" i="2"/>
  <c r="GX7" i="2" s="1"/>
  <c r="GI7" i="2"/>
  <c r="GJ7" i="2" s="1"/>
  <c r="FV7" i="2"/>
  <c r="FU7" i="2"/>
  <c r="FG7" i="2"/>
  <c r="FH7" i="2" s="1"/>
  <c r="ES7" i="2"/>
  <c r="ET7" i="2" s="1"/>
  <c r="EE7" i="2"/>
  <c r="EF7" i="2" s="1"/>
  <c r="DR7" i="2"/>
  <c r="DQ7" i="2"/>
  <c r="CW7" i="2"/>
  <c r="CX7" i="2" s="1"/>
  <c r="CC7" i="2"/>
  <c r="CD7" i="2" s="1"/>
  <c r="BO7" i="2"/>
  <c r="BP7" i="2" s="1"/>
  <c r="BB7" i="2"/>
  <c r="BA7" i="2"/>
  <c r="AM7" i="2"/>
  <c r="AN7" i="2" s="1"/>
  <c r="C16" i="1"/>
  <c r="X15" i="2" l="1"/>
  <c r="X35" i="2"/>
  <c r="X49" i="2"/>
  <c r="X83" i="2"/>
  <c r="X85" i="2"/>
  <c r="X87" i="2"/>
  <c r="X10" i="2"/>
  <c r="X25" i="2"/>
  <c r="X37" i="2"/>
  <c r="X54" i="2"/>
  <c r="X55" i="2"/>
  <c r="X59" i="2"/>
  <c r="X68" i="2"/>
  <c r="X72" i="2"/>
  <c r="X96" i="2"/>
  <c r="X21" i="2"/>
  <c r="X81" i="2"/>
  <c r="X17" i="2"/>
  <c r="X38" i="2"/>
  <c r="X45" i="2"/>
  <c r="X61" i="2"/>
  <c r="X63" i="2"/>
  <c r="X80" i="2"/>
  <c r="X94" i="2"/>
  <c r="X102" i="2"/>
  <c r="X14" i="2"/>
  <c r="X20" i="2"/>
  <c r="X22" i="2"/>
  <c r="X29" i="2"/>
  <c r="X40" i="2"/>
  <c r="X47" i="2"/>
  <c r="X50" i="2"/>
  <c r="X58" i="2"/>
  <c r="X70" i="2"/>
  <c r="X74" i="2"/>
  <c r="X78" i="2"/>
  <c r="X91" i="2"/>
  <c r="X97" i="2"/>
  <c r="X41" i="2"/>
  <c r="X13" i="2"/>
  <c r="X30" i="2"/>
  <c r="X18" i="2"/>
  <c r="X31" i="2"/>
  <c r="X32" i="2"/>
  <c r="X34" i="2"/>
  <c r="X43" i="2"/>
  <c r="X51" i="2"/>
  <c r="X52" i="2"/>
  <c r="X65" i="2"/>
  <c r="X67" i="2"/>
  <c r="X79" i="2"/>
  <c r="X82" i="2"/>
  <c r="X84" i="2"/>
  <c r="X86" i="2"/>
  <c r="X98" i="2"/>
  <c r="X101" i="2"/>
  <c r="X33" i="2"/>
  <c r="X12" i="2"/>
  <c r="X16" i="2"/>
  <c r="X27" i="2"/>
  <c r="X42" i="2"/>
  <c r="X48" i="2"/>
  <c r="X56" i="2"/>
  <c r="X60" i="2"/>
  <c r="X75" i="2"/>
  <c r="X77" i="2"/>
  <c r="X99" i="2"/>
  <c r="X71" i="2"/>
  <c r="X26" i="2"/>
  <c r="X19" i="2"/>
  <c r="X23" i="2"/>
  <c r="X39" i="2"/>
  <c r="X46" i="2"/>
  <c r="X69" i="2"/>
  <c r="X73" i="2"/>
  <c r="X90" i="2"/>
  <c r="X92" i="2"/>
  <c r="X100" i="2"/>
  <c r="X11" i="2"/>
  <c r="X24" i="2"/>
  <c r="X44" i="2"/>
  <c r="X53" i="2"/>
  <c r="X62" i="2"/>
  <c r="X64" i="2"/>
  <c r="X66" i="2"/>
  <c r="X76" i="2"/>
  <c r="X93" i="2"/>
  <c r="X95" i="2"/>
  <c r="X103" i="2"/>
  <c r="X28" i="2"/>
  <c r="F12" i="1" l="1"/>
  <c r="E12" i="1"/>
  <c r="D12" i="1"/>
  <c r="H12" i="1"/>
  <c r="G12" i="1"/>
  <c r="E9" i="1"/>
  <c r="D9" i="1"/>
  <c r="H9" i="1"/>
  <c r="G9" i="1"/>
  <c r="F9" i="1"/>
  <c r="H10" i="1"/>
  <c r="G10" i="1"/>
  <c r="F10" i="1"/>
  <c r="E10" i="1"/>
  <c r="D10" i="1"/>
  <c r="H11" i="1"/>
  <c r="G11" i="1"/>
  <c r="F11" i="1"/>
  <c r="E11" i="1"/>
  <c r="D11" i="1"/>
  <c r="G13" i="1" l="1"/>
  <c r="D13" i="1"/>
  <c r="E13" i="1"/>
  <c r="F13" i="1"/>
  <c r="H13" i="1"/>
  <c r="H14" i="1" s="1"/>
  <c r="F14" i="1" l="1"/>
  <c r="G14" i="1"/>
  <c r="E14" i="1"/>
  <c r="D14" i="1"/>
</calcChain>
</file>

<file path=xl/comments1.xml><?xml version="1.0" encoding="utf-8"?>
<comments xmlns="http://schemas.openxmlformats.org/spreadsheetml/2006/main">
  <authors>
    <author>User</author>
  </authors>
  <commentList>
    <comment ref="AN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beban : 15 MW 
Demper : 30 %
arus : 33,8  A </t>
        </r>
      </text>
    </comment>
    <comment ref="BB7" authorId="0" shapeId="0">
      <text>
        <r>
          <rPr>
            <b/>
            <sz val="9"/>
            <color indexed="81"/>
            <rFont val="Tahoma"/>
            <family val="2"/>
          </rPr>
          <t xml:space="preserve">Hermawan :
</t>
        </r>
        <r>
          <rPr>
            <sz val="9"/>
            <color indexed="81"/>
            <rFont val="Tahoma"/>
            <family val="2"/>
          </rPr>
          <t>Beban : 15 MW
Damper : 42 %
Arus : 26,7 A</t>
        </r>
      </text>
    </comment>
    <comment ref="BP7" authorId="0" shapeId="0">
      <text>
        <r>
          <rPr>
            <b/>
            <sz val="9"/>
            <color indexed="81"/>
            <rFont val="Tahoma"/>
            <family val="2"/>
          </rPr>
          <t xml:space="preserve">Hermawan 
</t>
        </r>
        <r>
          <rPr>
            <sz val="9"/>
            <color indexed="81"/>
            <rFont val="Tahoma"/>
            <family val="2"/>
          </rPr>
          <t>Beban : 15 MW 
Damper : 29 %
Arus : 37,8 A</t>
        </r>
      </text>
    </comment>
    <comment ref="CD7" authorId="0" shapeId="0">
      <text>
        <r>
          <rPr>
            <b/>
            <sz val="9"/>
            <color indexed="81"/>
            <rFont val="Tahoma"/>
            <family val="2"/>
          </rPr>
          <t xml:space="preserve">Hermawan 
</t>
        </r>
        <r>
          <rPr>
            <sz val="9"/>
            <color indexed="81"/>
            <rFont val="Tahoma"/>
            <family val="2"/>
          </rPr>
          <t>Beban 15 MW MW
Damper : 24  %
Arus : 39,7  A</t>
        </r>
      </text>
    </comment>
    <comment ref="CX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Beban 15 Mw
Arus : 66,9  A</t>
        </r>
      </text>
    </comment>
    <comment ref="EF7" authorId="0" shapeId="0">
      <text>
        <r>
          <rPr>
            <sz val="9"/>
            <color indexed="81"/>
            <rFont val="Tahoma"/>
            <family val="2"/>
          </rPr>
          <t>Hermawan :
beban : 15 MW</t>
        </r>
      </text>
    </comment>
    <comment ref="ET7" authorId="0" shapeId="0">
      <text>
        <r>
          <rPr>
            <b/>
            <sz val="9"/>
            <color indexed="81"/>
            <rFont val="Tahoma"/>
            <family val="2"/>
          </rPr>
          <t xml:space="preserve">Hermawan :
</t>
        </r>
        <r>
          <rPr>
            <sz val="9"/>
            <color indexed="81"/>
            <rFont val="Tahoma"/>
            <family val="2"/>
          </rPr>
          <t>Beban</t>
        </r>
        <r>
          <rPr>
            <b/>
            <sz val="9"/>
            <color indexed="81"/>
            <rFont val="Tahoma"/>
            <family val="2"/>
          </rPr>
          <t xml:space="preserve"> : 25,5</t>
        </r>
        <r>
          <rPr>
            <sz val="9"/>
            <color indexed="81"/>
            <rFont val="Tahoma"/>
            <family val="2"/>
          </rPr>
          <t xml:space="preserve"> MW
Arus : 61,7  A
</t>
        </r>
      </text>
    </comment>
    <comment ref="FH7" authorId="0" shapeId="0">
      <text>
        <r>
          <rPr>
            <b/>
            <sz val="9"/>
            <color indexed="81"/>
            <rFont val="Tahoma"/>
            <family val="2"/>
          </rPr>
          <t xml:space="preserve">Hermawan :
</t>
        </r>
        <r>
          <rPr>
            <sz val="9"/>
            <color indexed="81"/>
            <rFont val="Tahoma"/>
            <family val="2"/>
          </rPr>
          <t>Beban</t>
        </r>
        <r>
          <rPr>
            <b/>
            <sz val="9"/>
            <color indexed="81"/>
            <rFont val="Tahoma"/>
            <family val="2"/>
          </rPr>
          <t xml:space="preserve"> : 25</t>
        </r>
        <r>
          <rPr>
            <sz val="9"/>
            <color indexed="81"/>
            <rFont val="Tahoma"/>
            <family val="2"/>
          </rPr>
          <t xml:space="preserve">  MW
Arus : 55,1 A
</t>
        </r>
      </text>
    </comment>
    <comment ref="GJ7" authorId="0" shapeId="0">
      <text>
        <r>
          <rPr>
            <b/>
            <sz val="9"/>
            <color indexed="81"/>
            <rFont val="Tahoma"/>
            <family val="2"/>
          </rPr>
          <t>Hermawan :</t>
        </r>
        <r>
          <rPr>
            <sz val="9"/>
            <color indexed="81"/>
            <rFont val="Tahoma"/>
            <family val="2"/>
          </rPr>
          <t xml:space="preserve">
Beban : 15 MW
Arus : 52,3  A</t>
        </r>
      </text>
    </comment>
    <comment ref="HL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beban :  MW
rpm : 
arus  : 
flow : 
flow coupling :  % </t>
        </r>
      </text>
    </comment>
    <comment ref="IN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BEBAN :  MW 
CURRENT : 71,9 A </t>
        </r>
      </text>
    </comment>
    <comment ref="JB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BEBAN :  MW 
CURRENT : 74,7 A </t>
        </r>
      </text>
    </comment>
  </commentList>
</comments>
</file>

<file path=xl/sharedStrings.xml><?xml version="1.0" encoding="utf-8"?>
<sst xmlns="http://schemas.openxmlformats.org/spreadsheetml/2006/main" count="1422" uniqueCount="225">
  <si>
    <t>PT. PLN INDONESIA POWER</t>
  </si>
  <si>
    <t xml:space="preserve">No. Dok </t>
  </si>
  <si>
    <t>: FORM.JRG.F.05.001</t>
  </si>
  <si>
    <t>UNIT BISNIS PEMBANGKITAN JERANJANG</t>
  </si>
  <si>
    <t xml:space="preserve">Tgl Terbit </t>
  </si>
  <si>
    <t>: 1 Sep 2016</t>
  </si>
  <si>
    <t>BIDANG ENJINERING</t>
  </si>
  <si>
    <t xml:space="preserve">Rev </t>
  </si>
  <si>
    <t>: 00</t>
  </si>
  <si>
    <t>LAPORAN PDM TEKNOLOGI VIBRASI</t>
  </si>
  <si>
    <t xml:space="preserve">Hal </t>
  </si>
  <si>
    <t>:</t>
  </si>
  <si>
    <t>HASIL PENGUKURAN PADA EQUIPMENT BULAN JULI 2026</t>
  </si>
  <si>
    <t>UNIT</t>
  </si>
  <si>
    <t>LEVEL VIBRASI</t>
  </si>
  <si>
    <t>LEVEL A</t>
  </si>
  <si>
    <t>LEVEL B</t>
  </si>
  <si>
    <t>LEVEL C</t>
  </si>
  <si>
    <t>LEVEL D</t>
  </si>
  <si>
    <t>STANDBY</t>
  </si>
  <si>
    <t xml:space="preserve">KETERANGAN </t>
  </si>
  <si>
    <t>UNIT 1</t>
  </si>
  <si>
    <t>A</t>
  </si>
  <si>
    <t>Sangat halus (New machine condition)</t>
  </si>
  <si>
    <t>UNIT 2</t>
  </si>
  <si>
    <t>B</t>
  </si>
  <si>
    <t>Diperbolehkan beroperasi dalam jangka waktu lama  yang tak terbatas (Unlimited long-term operation allowable)</t>
  </si>
  <si>
    <t>UNIT 3</t>
  </si>
  <si>
    <t>C</t>
  </si>
  <si>
    <t>Diperbolehkan beroperasi dalam jangka waktu singkat (Short-term operation allowable)</t>
  </si>
  <si>
    <t>COAL HANDLING</t>
  </si>
  <si>
    <t>D</t>
  </si>
  <si>
    <t>Bila dioperasikan mengakibatkna kerusakan yang lebih parah (Vibration causes damage)</t>
  </si>
  <si>
    <t xml:space="preserve">TOTAL </t>
  </si>
  <si>
    <t>E</t>
  </si>
  <si>
    <t>Peralatan Stand BY</t>
  </si>
  <si>
    <t>PERSENTASE (%)</t>
  </si>
  <si>
    <t>INPUT NO</t>
  </si>
  <si>
    <t>KET</t>
  </si>
  <si>
    <t>Januari</t>
  </si>
  <si>
    <t>NO</t>
  </si>
  <si>
    <t>EQUIPMENT</t>
  </si>
  <si>
    <t>CLASS / GROUP</t>
  </si>
  <si>
    <t>POSISI</t>
  </si>
  <si>
    <t>VIB 
MAX</t>
  </si>
  <si>
    <t>STATUS</t>
  </si>
  <si>
    <t>1V</t>
  </si>
  <si>
    <t>1H</t>
  </si>
  <si>
    <t>1A</t>
  </si>
  <si>
    <t>2V</t>
  </si>
  <si>
    <t>2H</t>
  </si>
  <si>
    <t>2A</t>
  </si>
  <si>
    <t>3V</t>
  </si>
  <si>
    <t>3H</t>
  </si>
  <si>
    <t>3A</t>
  </si>
  <si>
    <t>4V</t>
  </si>
  <si>
    <t>4H</t>
  </si>
  <si>
    <t>4A</t>
  </si>
  <si>
    <t>5V</t>
  </si>
  <si>
    <t>5H</t>
  </si>
  <si>
    <t>5A</t>
  </si>
  <si>
    <t>6V</t>
  </si>
  <si>
    <t>6H</t>
  </si>
  <si>
    <t>6A</t>
  </si>
  <si>
    <t>Maret</t>
  </si>
  <si>
    <t>GROUP 1</t>
  </si>
  <si>
    <t>NA</t>
  </si>
  <si>
    <t>GROUP 2</t>
  </si>
  <si>
    <t>AC OIL PUMP UNIT 1</t>
  </si>
  <si>
    <t>DC OIL PUMP UNIT 1</t>
  </si>
  <si>
    <t>DIESEL FIRE FIGHTING UNIT 1</t>
  </si>
  <si>
    <t>ELECTRIC FIRE FIGHTING UNIT 1</t>
  </si>
  <si>
    <t>JOCKEY FIGHTING UNIT 1</t>
  </si>
  <si>
    <t>N/A</t>
  </si>
  <si>
    <t>Motor CCCWP 2C</t>
  </si>
  <si>
    <t>AC OIL PUMP UNIT 2</t>
  </si>
  <si>
    <t>DC OIL PUMP UNIT 2</t>
  </si>
  <si>
    <t>April</t>
  </si>
  <si>
    <t>Mei</t>
  </si>
  <si>
    <t>Juni</t>
  </si>
  <si>
    <t>Juli</t>
  </si>
  <si>
    <t>Agustus</t>
  </si>
  <si>
    <t>September</t>
  </si>
  <si>
    <t>Oktober</t>
  </si>
  <si>
    <t>GANGGUAN</t>
  </si>
  <si>
    <t>Fire Fighting Jockey Pump 1</t>
  </si>
  <si>
    <t>TIDAK SAFETY UNTUK DI AMBIL</t>
  </si>
  <si>
    <t>Fire Fighting Jockey Pump 2</t>
  </si>
  <si>
    <t>November</t>
  </si>
  <si>
    <t>Fire Fighting Pump With Motor </t>
  </si>
  <si>
    <t>Fire Fighting Pump With Diesel</t>
  </si>
  <si>
    <t>Desember</t>
  </si>
  <si>
    <t>AC Oil Pump Unit 3</t>
  </si>
  <si>
    <t>DC Oil Pump Unit 3</t>
  </si>
  <si>
    <t>Jacking Oil Pump 3A</t>
  </si>
  <si>
    <t>Jacking Oil Pump 3B</t>
  </si>
  <si>
    <t>No. Dok : FORM.JRG.F.05.001</t>
  </si>
  <si>
    <t>Tgl Terbit : 1 Sep 2016</t>
  </si>
  <si>
    <t>Rev : 00</t>
  </si>
  <si>
    <t>Hal :</t>
  </si>
  <si>
    <t>HASIL PENGUKURAN PADA EQUIPMENT BULAN JULI 2018</t>
  </si>
  <si>
    <t>EXECUTIVE SUMMARY</t>
  </si>
  <si>
    <t>PENGUKURAN  BULAN SEBELUMNYA</t>
  </si>
  <si>
    <t xml:space="preserve">PENGUKURAN BULAN MEI </t>
  </si>
  <si>
    <t>ANALISA</t>
  </si>
  <si>
    <t>REKOMENDASI</t>
  </si>
  <si>
    <t>Week</t>
  </si>
  <si>
    <t>Tanggal</t>
  </si>
  <si>
    <t>Analisa</t>
  </si>
  <si>
    <t>Rekomendasi</t>
  </si>
  <si>
    <t>ACTION HAR</t>
  </si>
  <si>
    <t>KETERANGAN</t>
  </si>
  <si>
    <t>VIB MAX</t>
  </si>
  <si>
    <t>W1</t>
  </si>
  <si>
    <t>W3</t>
  </si>
  <si>
    <t>W2</t>
  </si>
  <si>
    <t>W4</t>
  </si>
  <si>
    <t>LJ30-PDM-VIB-0026-1V</t>
  </si>
  <si>
    <t>DC OIPL PUMP UNIT 1</t>
  </si>
  <si>
    <t>LJ30LAY10AA010-001</t>
  </si>
  <si>
    <t>Motor CCCWP 2B</t>
  </si>
  <si>
    <t>DC OIPL PUMP UNIT 2</t>
  </si>
  <si>
    <t>NORMAL</t>
  </si>
  <si>
    <t xml:space="preserve">Secara overall nilai vibrasi IDF 1A masuk level NORMAL (level A) dengan keterangan kondisi sangat halus (new machine condition), berdasarkan ISO 10816-3 group 1 rigid. Nilai vibrasi overall tertinggi 2,21 mm/s pada bearing 6 arah horisontal
</t>
  </si>
  <si>
    <t xml:space="preserve">- Lakukan monitoring vibrasi secara rutin dan berkala
</t>
  </si>
  <si>
    <t xml:space="preserve">Secara overall nilai vibrasi IDF 1B masuk level NORMAL (level A) dengan keterangan kondisi sangat halus (new machine condition), berdasarkan ISO 10816-3 group 1 rigid. Nilai vibrasi overall tertinggi 2,25 mm/s pada bearing 6 arah horisontal
</t>
  </si>
  <si>
    <t>PREWARNING</t>
  </si>
  <si>
    <t xml:space="preserve">Secara overall nilai vibrasi PAF 1A masuk level PREWARNING (level B)  dengan keterangan diperbolehkan beroperasi dalam jangka waktu lama, berdasarkan ISO 10816-3 group 1 rigid. Nilai vibrasi overall tertinggi 3,13 mm/s pada bearing 4 arah vertikal
</t>
  </si>
  <si>
    <t xml:space="preserve">Secara overall nilai vibrasi PAF 1B masuk level PREWARNING (level B) dengan keterangan diperbolehkan beroperasi dalam jangka waktu lama, berdasarkan berdasarkan ISO 10816-3 group 1 rigid. Nilai vibrasi overall tertinggi 3,39 mm/s pada bearing 4 arah vertikal
</t>
  </si>
  <si>
    <t>- Lakukan monitoring vibrasi secara rutin dan berkala</t>
  </si>
  <si>
    <t xml:space="preserve">Secara overall nilai vibrasi SAF 1A masuk level NORMAL (level A) dengan keterangan kondisi sangat halus (new machine condition), berdasarkan ISO 10816-3 group 1 rigid.  Nilai vibrasi overall tertinggi 2,29 mm/s pada bearing 1 arah horisontal
</t>
  </si>
  <si>
    <t>Secara overall nilai vibrasi SAF 1B masuk level PREWARNING (level B) dengan keterangan diperbolehkan beroperasi dalam jangka waktu lama,  berdasarkan ISO 10816-3 group 1 rigid. Nilai vibrasi overall tertinggi 2,33 mm/s pada bearing 1 arah horisontal
after perbaikan blade</t>
  </si>
  <si>
    <t xml:space="preserve">Lakukan Penjadwalan atau perencaan Perbaikan saat Unit Stop
</t>
  </si>
  <si>
    <t xml:space="preserve">Secara overaal nilai vibrasi turbine dan generator unit 1 masuk level NORMAL (level A) dengan keterangan kondisi sangat halus (new machine condition), berdasarkan standart ISO 10816-2  Nilai vibrasi overall tertinggi 3,63 mm/s pada bearing 2 arah vertikal
</t>
  </si>
  <si>
    <t>- Monitoring parameter operasi (vibrasi dan temperatur)</t>
  </si>
  <si>
    <t>STAND BY</t>
  </si>
  <si>
    <t>ALARM</t>
  </si>
  <si>
    <t xml:space="preserve">Secara overall nilai vibrasi CEP 1B masuk level ALARM (level D) dengan keterangan jika dioperasikan akan mengakibatkan kerusakan yang lebih parah, berdasarkan berdasarkan ISO 10816-3 group 2 rigid. Nilai vibrasi overall tertinggi 8,07 mm/s pada bearing 1 arah vertikal
dari hasil pengukuran specturm muncul indikasi bent shaft dan cocked sudah di terbitkan TE dengan No 09.TE/CBM/UBPJRJ/2026 dan SR CD No JRJ26/2026151037
</t>
  </si>
  <si>
    <t>- Lakukan monitoring vibrasi secara rutin dan berkala
- Solo run (before&amp;after pekerjaan)
- Pengecekan kondisi pelumasan beairng
- Pengecekan kondisi bearing, lakukan penggantian jika ditemukan kerusakan
- Pengecekan kondisi Housing bearing motor
- Pengecekan kondisi shaft, lakukan run out check
- Re-alignment motor dan pompa
- Pemasangan baut dudukan motor dan pompa pastikan menggunakan ring, - pengencangan baut dengan rata
- Post Test Maintenance</t>
  </si>
  <si>
    <t xml:space="preserve">Secara overall nilai vibrasi vacuum pump 1A masuk level PREWARNING (level B) dengan keterangan diperbolehkan beroperasi dalam jangka waktu lama, berdasarkan ISO 10816-3 group 2 rigid. Nilai vibrasi overall tertinggi 1,54 mm/s pada bearing 4 arah vertikal
</t>
  </si>
  <si>
    <t xml:space="preserve">- monitoring parameter operasi
</t>
  </si>
  <si>
    <t xml:space="preserve">Secara overall nilai vibrasi vacuum pump 1B masuk level PREWARNING (level B) dengan keterangan diperbolehkan beroperasi dalam jangka waktu lama, berdasarkan ISO 10816-3 group 2 rigid. Nilai vibrasi overall tertinggi 2,45 mm/s pada bearing 4 arah horisontal
</t>
  </si>
  <si>
    <t>- monitoring parameter operasi
- inject grease 5x pada bearing 3</t>
  </si>
  <si>
    <t xml:space="preserve">Secara overall nilai vibrasi BFP 1A masuk level PREWARNING (level B) dengan keterangan diperbolehkan beroperasi dalam jangka waktu lama, berdasarkan ISO 10816-3 group 1 rigid. Nilai vibrasi overall tertinggi 4,20 mm/s pada bearing 2 arah vertikal
</t>
  </si>
  <si>
    <t>- monitoring parameter operasi</t>
  </si>
  <si>
    <t xml:space="preserve">Secara overall nilai vibrasi BFP 1B masuk level PREWARNING (level B)  dengan keterangan diperbolehkan beroperasi dalam jangka waktu lama, berdasarkan berdasarkan ISO 10816-3 group 1 rigid. Nilai vibrasi overall tertinggi 4,16 mm/s pada bearing 5 arah horisontal
</t>
  </si>
  <si>
    <t xml:space="preserve">Secara overall nilai vibrasi C3WP 1A masuk level PREWARNING (level B) dengan keterangan diperbolehkan beroperasi dalam jangka waktu lama, berdasarkan ISO 10816-3 group 2 rigid. Nilai vibrasi overall tertinggi 1,88 mm/s pada bearing 1 arah horiosntal
</t>
  </si>
  <si>
    <t>- monitoring parameter operasi
- Penguatan pondasi</t>
  </si>
  <si>
    <t xml:space="preserve">Secara overall nilai vibrasi C3WP 1B masuk level PREWARNING (level B) dengan keterangan diperbolehkan beroperasi dalam jangka waktu lama, berdasarkan ISO 10816-3 group 2 rigid. Nilai vibrasi overall tertinggi 2,13 mm/s pada bearing 1 arah vertikal
</t>
  </si>
  <si>
    <t xml:space="preserve">Secara overall nilai vibrasi CWP 1A masuk level PREWARNING (level B)  dengan keterangan diperbolehkan beroperasi dalam jangka waktu lama, berdasarkan ISO 10816-3 group 1 rigid. Nilai vibrasi overall tertinggi 2,34 mm/s pada bearing 1 arah horisontal
</t>
  </si>
  <si>
    <t>Secara overall nilai vibrasi CWP 1B masuk level NORMAL (level A) dengan keterangan kondisi sangat halus (new machine condition), berdasarkan ISO 10816-3 group 1 rigid. Nilai vibrasi overall tertinggi 1,11 mm/s pada bearing 1 arah vertikal</t>
  </si>
  <si>
    <t xml:space="preserve">Secara overall nilai vibrasi BWRO 1A masuk level NORMAL (level A) dengan keterangan kondisi sangat halus (new machine condition), berdasarkan ISO 10816-3 group 2 rigid. Nilai vibrasi overall tertinggi 1,06 pada bearing 2 arah horisontal
</t>
  </si>
  <si>
    <t xml:space="preserve">Secara overall nilai vibrasi BWRO 1B masuk level PREWARNING (level B) dengan keterangan diperbolehkan beroperasi dalam jangka waktu lama, berdasarkan ISO 10816-3 group 2 rigid. Nilai vibrasi overall tertinggi 1,64 mm/s pada bearing 1 arah horisontal 
</t>
  </si>
  <si>
    <t xml:space="preserve">Secara overall nilai vibrasi SWRO 1B masuk level NORMAL (level A) dengan keterangan kondisi sangat halus (new machine condition), berdasarkan ISO 10816-3 group 2 rigid. Nilai vibrasi overall tertinggi 1,24 pada bearing 2 arah horisontal
</t>
  </si>
  <si>
    <t xml:space="preserve">Secara overall nilai vibrasi AC Oil Pump Unit 1 masuk level NORMAL (level A) dengan keterangan kondisi sangat halus (new machine condition),  berdasarkan ISO 10816-3 group 2 rigid. Nilai vibrasi overall tertinggi 1,06 mm/s pada bearing 1 arah horisontal
</t>
  </si>
  <si>
    <t xml:space="preserve">Secara overall nilai vibrasi DC Oil Pump Unit 1 level REWARNING (level B) dengan keterangan diperbolehkan beroperasi dalam jangka waktu lama, berdasarkan ISO 10816-3 group 2 rigid. Nilai vibrasi overall tertinggi 1,54 mm/s pada bearing 3 arah horisontal
</t>
  </si>
  <si>
    <t xml:space="preserve">Secara overaal nilai vibrasi DIESEL FIRE FIGHTING UNIT 1 masuk level PREWARNING (level B) dengan keterangan boleh dioperasikan dalam jangka waktu lama, berdasarkan standart ISO 10816-3  group 2 rigid. Nilai vibrasi overall tertinggi 12,1 mm/s pada bearing 2 arah vertikal
</t>
  </si>
  <si>
    <t xml:space="preserve">- Pemantauan parameter operasi current dan temperatur
</t>
  </si>
  <si>
    <t xml:space="preserve">Secara overaal nilai vibrasi FIRE FIGHTING PUMP WITH MOTOR Unit 1 masuk level PREWARNING (level B) dengan keterangan diperbolehkan beroperasi dalam jangka waktu lama, berdasarkan standart ISO 10816-3  group 2 rigid. Nilai vibrasi overall tertinggi 2,63 mm/s pada bearing  4 arah vertikal
</t>
  </si>
  <si>
    <t xml:space="preserve">- Pemantauan parameter operasi current dan temperatur
</t>
  </si>
  <si>
    <t xml:space="preserve">Secara overaal nilai vibrasi JACKING OIL PUMP 1A masuk level NORMAL (level A) dengan keterangan kondisi sangat halus (new machine condition), berdasarkan standart ISO 10816-3  group 2 rigid. Nilai vibrasi overall tertinggi 0,87 mm/s pada bearing 1 arah horisontal
</t>
  </si>
  <si>
    <t xml:space="preserve">Secara overall nilai vibrasi IDF 1 unit 2 masuk level NORMAL (level A) dengan keterangan kondisi sangat halus (new machine condition), ISO 10816-3 group 1 rigid. Nilai vibrasi overall tertinggi 1,81 mm/s pada bearing 1 arah horisontal
</t>
  </si>
  <si>
    <t xml:space="preserve">Secara overall nilai vibrasi IDF 2 unit 2 masuk leve NORMAL (level A) dengan keterangan kondisi sangat halus (new machine condition), ISO 10816-3 group 1 rigid. Nilai vibrasi overall tertinggi 1,62 mm/s pada bearing 3 arah axial
</t>
  </si>
  <si>
    <t xml:space="preserve">Secara overall nilai vibrasi PAF 1 unit 2 masuk level NORMAL (level A) dengan keterangan kondisi sangat halus (new machine condition), berdasarkan ISO 10816-3 group 1 rigid. Nilai vibrasi overall tertinggi 2,23 mm/s pada bearing 4 arah horisontal
</t>
  </si>
  <si>
    <t>- Monitoring parameter operasi, arus, bukaan damper, flow</t>
  </si>
  <si>
    <t xml:space="preserve">Secara overall nilai vibrasi PAF 2 unit 2 masuk level PREWARNING (level B) dan diperbolehkan beroperasi dalam jangka waktu lama yang tak terbatas, berdasarkan berdasarkan ISO 10816-3 group 1 rigid. Nilai vibrasi overall tertinggi 2,84 mm/s pada bearing 2 arah horisontal
</t>
  </si>
  <si>
    <t xml:space="preserve">- Lakukan monitoring vibrasi secara rutin dan berkala
</t>
  </si>
  <si>
    <t xml:space="preserve">Secara overall nilai vibrasi SAF 1 masuk level PREWARNING (level B) dan diperbolehkan beroperasi dalam jangka waktu lama yang tak terbatas,  berdasarkan ISO 10816-3 group 1 rigid.  Nilai vibrasi overall tertinggi 2,90 mm/s pada bearing 3 arah horisontal
</t>
  </si>
  <si>
    <t xml:space="preserve">Secara overall nilai vibrasi SAF 2 masuk level PREWARNING (level B) dan diperbolehkan beroperasi dalam jangka waktu lama yang tak terbatas, berdasarkan ISO 10816-3 group 1 rigid. Nilai vibrasi overall tertinggi 2,72 mm/s pada bearing 1 arah horisontal
</t>
  </si>
  <si>
    <t xml:space="preserve">Secara overaal nilai vibrasi turbine dan generator unit 2 masuk level PREWARNING (level B) dan diperbolehkan beroperasi dalam jangka waktu lama yang tak terbatas, berdasarkan standart ISO 10816-2  Nilai vibrasi overall tertinggi 5,85 mm/s pada bearing 4 arah axial
</t>
  </si>
  <si>
    <t>- monitoring parameter operasi
- Lakukan monitoring vibrasi secara rutin dan berkala</t>
  </si>
  <si>
    <t xml:space="preserve">Secara overall nilai vibrasi CEP 2 masuk level NORMAL (level A) dengan keterangan kondisi sangat halus (new machine condition), berdasarkan ISO 10816-3 group 2 rigid. Nilai vibrasi overall tertinggi 1,20 mm/s pada bearing 1 arah horisontal
</t>
  </si>
  <si>
    <t xml:space="preserve">Secara overall nilai vibrasi vacuum pump 1 masuk level PREWARNING (level B) dan diperbolehkan beroperasi dalam jangka waktu lama yang tak terbatas, berdasarkan ISO 10816-3 group 2 rigid. Nilai vibrasi overall tertinggi 1,72 mm/s pada bearing 4 arah horisontal
</t>
  </si>
  <si>
    <t xml:space="preserve">- monitoring parameter operasi
- inject grease 5x pada bearing 3 dan 4
</t>
  </si>
  <si>
    <t xml:space="preserve">Secara overall nilai vibrasi vacuum pump 2 masuk level PREWARNING (level B) dan diperbolehkan beroperasi dalam jangka waktu lama yang tak terbatas, berdasarkan ISO 10816-3 group 2 rigid. Nilai vibrasi overall tertinggi 2,70 mm/s pada bearing 4 arah horisontal
</t>
  </si>
  <si>
    <t xml:space="preserve">Secara overall nilai vibrasi BFP 2 unit 2 masuk level NORMAL (level A) dengan keterangan kondisi sangat halus (new machine condition), berdasarkan ISO 10816-3 group 1 rigid. Nilai vibrasi overall tertinggi 2,14 mm/s pada bearing 6 arah vertikal
</t>
  </si>
  <si>
    <t xml:space="preserve">Secara overall nilai vibrasi C3WP 1 masuk level PREWARNING (level B) dan diperbolehkan beroperasi dalam jangka waktu lama yang tak terbatas, berdasarkan ISO 10816-3 group 2 rigid. Nilai vibrasi overall tertinggi 2,26 mm/s pada bearing 1 arah horisontal
</t>
  </si>
  <si>
    <t xml:space="preserve">Secara overall nilai vibrasi C3WP 2C masuk level PREWARNING (level B) dan diperbolehkan beroperasi dalam jangka waktu lama yang tak terbatas, berdasarkan ISO 10816-3 group 2 rigid. Nilai vibrasi overall tertinggi 2,07 mm/s pada bearing 1 arah horisontal
</t>
  </si>
  <si>
    <t>Secara overall nilai vibrasi CWP 2 masuk level NORMAL (level A) dengan keterangan kondisi sangat halus (new machine condition), berdasarkan ISO 10816-3 group 1 rigid. Nilai vibrasi overall tertinggi 2,02 mm/s pada bearing 1 horisontal</t>
  </si>
  <si>
    <t>-</t>
  </si>
  <si>
    <t xml:space="preserve">Secara overall nilai vibrasi IDF 3A masuk level NORMAL (level A) dengan keterangan kondisi sangat halus (new machine condition), berdasarkan ISO 10816-3 group 1 rigid. Nilai vibrasi overall tertinggi 1,19 mm/s pada bearing 4 arah horisontal
</t>
  </si>
  <si>
    <t xml:space="preserve">Secara overall nilai vibrasi IDF 3B masuk level NORMAL (level A) dengan keterangan kondisi sangat halus (new machine condition), berdasarkan ISO 10816-3 group 1 rigid. Nilai vibrasi overall tertinggi 0,81 mm/s pada bearing 3 arah axial
</t>
  </si>
  <si>
    <t xml:space="preserve">Secara overall nilai vibrasi PAF Unit 3 masuk level NORMAL (level A) dengan keterangan kondisi sangat halus (new machine condition), berdasarkan berdasarkan ISO 10816-3 group 1 rigid. Nilai vibrasi overall tertinggi 2,21 mm/s pada bearing 2 arah horisontal
</t>
  </si>
  <si>
    <t xml:space="preserve">'Secara overall nilai vibrasi SAF Unit 3 masuk level PREWARNING (level B) dengan keterangan diperbolehkan beroperasi dalam jangka waktu lama, berdasarkan ISO 10816-3 group 1 rigid. Nilai vibrasi overall tertinggi 2,49 mm/s pada bearing 2 arah horisontal
</t>
  </si>
  <si>
    <t xml:space="preserve">Secara overall nilai vibrasi RAF 3B masuk level PREWARNING (level B) dengan keterangan boleh dioperasikan dalam jangka waktu lama, berdasarkan ISO 10816-3 group 1 rigid.  Nilai vibrasi overall tertinggi 3,36 mm/s pada bearing 3 arah horisontal
</t>
  </si>
  <si>
    <t>-'Pemantauan parameter operasi current dan temperatur</t>
  </si>
  <si>
    <t xml:space="preserve">Secara overaal nilai vibrasi turbine dan generator Unit 3 masuk level  NORMAL (level A) dengan keterangan kondisi sangat halus (new machine condition), berdasarkan standart ISO 10816-2. Nilai vibrasi overall tertinggi 3,04 mm/s pada bearing 2 arah vertikal
</t>
  </si>
  <si>
    <t xml:space="preserve">- Pemantauan parameter operasi vibrasi dan temperatur
</t>
  </si>
  <si>
    <t xml:space="preserve">Secara overaal nilai vibrasi CEP 3A masuk level PREWARNING (level B) dengan keterangan boleh dioperasikan dalam jangka waktu lama, berdasarkan standart ISO 10816-3  group 2 rigid. Nilai vibrasi overall tertinggi 2,71 mm/s pada bearing 2 arah horisontal
</t>
  </si>
  <si>
    <t xml:space="preserve">- Pemantauan Parameter Operasi Temperatur dan current
</t>
  </si>
  <si>
    <t xml:space="preserve">Secara overall nilai vibrasi CEP 3B masuk level  PREWARNING (level B) dengan keterangan diperbolehkan beroperasi dalam jangka waktu lama, berdasarkan standart ISO 10816-3  group 2 rigid. Nilai vibrasi overall tertinggi 2,06 mm/s pada bearing 2 arah horisontal
</t>
  </si>
  <si>
    <t xml:space="preserve">Secara overaal nilai vibrasi CEP 3C masuk level PREWARNING (level B) dengan keterangan diperbolehkan beroperasi dalam jangka waktu singkat, berdasarkan standart ISO 10816-3  group 2 rigid. Nilai vibrasi overall tertinggi 1,81 mm/s pada bearing 4 arah horisontal
</t>
  </si>
  <si>
    <t xml:space="preserve">Secara overaal nilai vibrasi WATER JET PUMP 3A masuk level PREWARNING (level B) dengan keterangan boleh dioperasikan dalam jangka waktu lama,  berdasarkan standart ISO 10816-3  group 2 rigid. Nilai vibrasi overall tertinggi 1,21 mm/s pada bearing 1 arah horisontal
</t>
  </si>
  <si>
    <t>Secara overall nilai vibrasi BFP 1 masuk level NORMAL (level A) dengan keterangan kondisi sangat halus (new machine condition), berdasarkan standart ISO 10816-3 1 rigid. Nilai vibrasi overall tertinggi 2,08 mm/s pada bearing 5 arah horisontal
# Note : Historikal nilai overall vibrasi pada bearing 3 di range 5 - 6.8 mm/s dari awal monitoring (tahun 2015 - 2021)</t>
  </si>
  <si>
    <t xml:space="preserve">Secara overaal nilai vibrasi CCWP 3A masuk level PREWARNING (level B) dengan keterangan diperbolehkan beroperasi dalam jangka waktu lama, berdasarkan standart ISO 10816-3  group 2 rigid. Nilai vibrasi overall tertinggi 2,34 pada bearing 2 arah horisontal
</t>
  </si>
  <si>
    <t xml:space="preserve">Secara overaal nilai vibrasi CCWP 3B masuk level PREWARNING (level B) dengan keterangan boleh diperbolehkan beroperasi dalam jangka waktu lama, berdasarkan standart ISO 10816-3  group 2 rigid. Nilai vibrasi overall tertinggi 2,04 mm/s pada bearing 2 arah vertikal
</t>
  </si>
  <si>
    <t xml:space="preserve">Secara overall nilai vibrasi CWP 3B masuk level PREWARNING (level B) dengan keterangan boleh diperbolehkan beroperasi dalam jangka waktu lama, berdasarkan standart ISO 10816-3  group 1 rigid. Nilai vibrasi overall tertinggi 2,79 mm/s pada bearing 1 arah vertikal
</t>
  </si>
  <si>
    <t xml:space="preserve">Secara overaal nilai vibrasi BWRO 3A masuk level PREWARNING (level B) dengan keterangan boleh dioperasikan dalam jangka waktu lama, standart ISO 10816-3  group 2 rigid. Nilai vibrasi overall tertinggi 1,98 mm/s pada bearing 1 arah horisontal
</t>
  </si>
  <si>
    <t>- cartridge filter tidak ready</t>
  </si>
  <si>
    <t>- Pengadaan dan lakukan penggantian cartridge</t>
  </si>
  <si>
    <t>Secara overaal nilai vibrasi SWRO 3A masuk level NORMAL (level A) dengan keterangan kondisi sangat halus (new machine condition), berdasarkan standart ISO 10816-3  group 2 rigid. Nilai vibrasi overall tertinggi 0,80 mm/s pada bearing 2 arah horisontal</t>
  </si>
  <si>
    <t>- Pemantauan parameter operasi current dan temperatur</t>
  </si>
  <si>
    <t xml:space="preserve">- </t>
  </si>
  <si>
    <t xml:space="preserve">Secara overaal nilai vibrasi JOCKEY PUMP 3A masuk level NORMAL (level A) dengan keterangan kondisi sangat halus (new machine condition),  standart ISO 10816-3  group 2 rigid. Nilai vibrasi overall tertinggi 0,93 mm/s pada bearing 1 arah vertikal
</t>
  </si>
  <si>
    <t xml:space="preserve">Secara overaal nilai vibrasi FIRE FIGHTING PUMP WITH MOTOR Unit 3  masuk level PREWARNING (level B) dengan keterangan diperbolehkan beroperasi dalam jangka waktu lama, berdasarkan standart ISO 10816-3  group 2 rigid. Nilai vibrasi overall tertinggi 1,91 mm/s pada bearing  3 arah vertikal
</t>
  </si>
  <si>
    <t>Secara overaal nilai vibrasi  FIRE FIGHTING PUMP WITH DIESEL Unit 3 masuk level WARNING (level C) dengan keterangan boleh dioperasikan dalam jangka waktu singkat berdasarkan standart ISO 10816-3  group 2 rigid. Nilai vibrasi overall tertinggi 16,5 mm/s pada bearing 1 arah horisontal
note pengoperasian belum sesuai pressure kerja</t>
  </si>
  <si>
    <t>HERMAWAN</t>
  </si>
  <si>
    <t xml:space="preserve">Secara overall nilai vibrasi BC 4.1 masuk level PREWARNING (level B) dengan keterangan diperbolehkan beroperasi dalam jangka waktu lama, berdasarkan ISO 10816-3 group 2 flexible. Nilai vibrasi overall tertinggi 3,02 mm/s pada bearing 2 horiontal </t>
  </si>
  <si>
    <t xml:space="preserve">- Greasing secara berkala sesuai prosedur manual book
</t>
  </si>
  <si>
    <t>Secara overall nilai vibrasi BC 4.2 masuk level NORMAL (level A) dengan keterangan kondisi sangat halus (new machine condition), berdasarkan ISO 10816-3 group 2 flexible. Nilai vibrasi overall tertinggi 1,02 mm/s pada bearing 5 arah vertikal
After Penguatan Structure</t>
  </si>
  <si>
    <t>- Pastikan perlatan aman saat akan di operasikan</t>
  </si>
  <si>
    <t xml:space="preserve">Secara overall nilai vibrasi BC 5.1 masuk level PREWARNING (level B) dengan keterangan diperbolehkan beroperasi dalam jangka waktu lama, berdasarkan ISO 10816-3 group 2 flexible. Nilai vibrasi overall tertinggi 2,88 mm/s pada bearing 5 arah vertikal
</t>
  </si>
  <si>
    <t>Secara overall nilai vibrasi BC 5.2 masuk level PREWARNING (level B) dengan keterangan diperbolehkan beroperasi dalam jangka waktu lama, berdasarkan ISO 10816-3 group 2 flexible. Nilai vibrasi overall tertinggi 2,91 mm/s pada bearing 3 arah axial</t>
  </si>
  <si>
    <t xml:space="preserve">Secara overall nilai vibrasi BC 7.1 masuk level  PREWARNING (level B) dengan keterangan diperbolehkan beroperasi dalam jangka waktu lama,  berdasarkan ISO 10816-3 group 2 flexible. Nilai vibrasi overall tertinggi 2,95 mm/s pada bearing 1 arah horisontal
</t>
  </si>
  <si>
    <t xml:space="preserve">Secara overall nilai vibrasi BC 7.2 masuk level PREWARNING (level B) dengan keterangan diperbolehkan beroperasi dalam jangka waktu lama, berdasarkan ISO 10816-3 group 2 flexible. Nilai vibrasi overall tertinggi 3,89 mm/s pada bearing 2 arah vertikal
after penggantian teflon ada bearing 3
</t>
  </si>
  <si>
    <t xml:space="preserve">Secara overall nilai vibrasi BC 8.1 masuk level PREWARNING (level B) dengan keterangan diperbolehkan beroperasi dalam jangka lama,  berdasarkan ISO 10816-3 group 2 flexible. Nilai vibrasi overall tertinggi 3,62 mm/s pada bearing 1 arah horisontal
</t>
  </si>
  <si>
    <t xml:space="preserve">- Pastikan perlatan aman saat akan di operasikan
</t>
  </si>
  <si>
    <t xml:space="preserve">Secara overall nilai vibrasi BC 8.2 masuk level PREWARNING (level B) dengan keterangan diperbolehkan beroperasi dalam jangka waktu lama, berdasarkan ISO 10816-3 group 2 flexible Nilai vibrasi overall tertinggi 3,48 mm/s pada bearing 1 arah horisontal
</t>
  </si>
  <si>
    <t xml:space="preserve">Secara overall nilai vibrasi BC 10.1 masuk level PREWARNING (level B) dengan keterangan diperbolehkan beroperasi dalam jangka lama, berdasarkan berdasarkan ISO 10816-3 group 2 flexible. Nilai vibrasi overall tertinggi 4,33 pada bearing 1 arah horisontal
</t>
  </si>
  <si>
    <t xml:space="preserve">Secara overall nilai vibrasi BC 10.2 masuk level PREWARNING (level B) dengan keterangan diperbolehkan beroperasi dalam jangka waktu lama, berdasarkan ISO 10816-3 group 2 flexible Nilai vibrasi overall tertinggi  4,1 mm/s bearing 2 arah axial
</t>
  </si>
  <si>
    <t>Secara overall nilai vibrasi Rolling Screen 1 masuk level ALARM (level D) dengan keterangan Jika dioperasikan akan mengakibatkan kerusakan yang lebih parah. berdasarkan Baseline dan sister asset. Nilai vibrasi overall tertinggi 11 mm/s pada bearing 1 arah vertikal
after penggantian bantalan bearing dan setting rantai</t>
  </si>
  <si>
    <t xml:space="preserve">Secara overall nilai vibrasi Roller Screen 2 masuk level PWARNING (level B) dengan keterangan diperbolehkan beroperasi dalam jangka singkat. berdasarkan Baseline dan sister asset. Nilai vibrasi overall tertinggi 7,12 mm/s pada bearing 1 arah vertikal
</t>
  </si>
  <si>
    <t>WARNING</t>
  </si>
  <si>
    <t>Secara overall nilai vibrasi crusser 1 masuk level ALARM (level D) dengan keterangan Jika dioperasikan akan mengakibatkan kerusakan yang lebih parah. berdasarkan Baseline dan sister asset. Nilai vibrasi overall tertinggi 8,06 mm/s pada bearing 1 arah horisontal
after pengencangan baut coupling dan regreasing</t>
  </si>
  <si>
    <t xml:space="preserve">Secara overall nilai vibrasi crusser 2 masuk level PREWARNING (level B) dengan keterangan diperbolehkan beroperasi dalam jangka lama, berdasarkan Baseline dan sister asset. Nilai vibrasi overall tertinggi 5,42 mm/s pada bearing 3 arah horisontal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</si>
</sst>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4"/>
      <color indexed="8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4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9" fontId="7" fillId="3" borderId="13" xfId="1" applyFont="1" applyFill="1" applyBorder="1" applyAlignment="1">
      <alignment horizontal="center" vertical="center"/>
    </xf>
    <xf numFmtId="9" fontId="7" fillId="4" borderId="23" xfId="1" applyFont="1" applyFill="1" applyBorder="1" applyAlignment="1">
      <alignment horizontal="center" vertical="center"/>
    </xf>
    <xf numFmtId="9" fontId="7" fillId="5" borderId="28" xfId="1" applyFont="1" applyFill="1" applyBorder="1" applyAlignment="1">
      <alignment horizontal="center" vertical="center"/>
    </xf>
    <xf numFmtId="9" fontId="7" fillId="6" borderId="23" xfId="1" applyFont="1" applyFill="1" applyBorder="1" applyAlignment="1">
      <alignment horizontal="center" vertical="center"/>
    </xf>
    <xf numFmtId="9" fontId="7" fillId="7" borderId="23" xfId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2" fillId="2" borderId="29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0" fillId="2" borderId="8" xfId="0" applyFont="1" applyFill="1" applyBorder="1"/>
    <xf numFmtId="0" fontId="10" fillId="9" borderId="23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right"/>
    </xf>
    <xf numFmtId="0" fontId="13" fillId="2" borderId="29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/>
    </xf>
    <xf numFmtId="0" fontId="2" fillId="10" borderId="29" xfId="0" applyFont="1" applyFill="1" applyBorder="1" applyAlignment="1">
      <alignment horizontal="center" vertical="center"/>
    </xf>
    <xf numFmtId="0" fontId="2" fillId="11" borderId="29" xfId="0" applyFont="1" applyFill="1" applyBorder="1" applyAlignment="1">
      <alignment horizontal="center" vertical="center"/>
    </xf>
    <xf numFmtId="0" fontId="2" fillId="12" borderId="29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0" fillId="2" borderId="7" xfId="0" applyFont="1" applyFill="1" applyBorder="1"/>
    <xf numFmtId="0" fontId="13" fillId="13" borderId="30" xfId="0" applyFont="1" applyFill="1" applyBorder="1" applyAlignment="1">
      <alignment horizontal="center" vertical="center" wrapText="1"/>
    </xf>
    <xf numFmtId="0" fontId="13" fillId="13" borderId="30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left" vertical="center"/>
    </xf>
    <xf numFmtId="0" fontId="11" fillId="2" borderId="29" xfId="0" applyFont="1" applyFill="1" applyBorder="1" applyAlignment="1">
      <alignment vertical="center"/>
    </xf>
    <xf numFmtId="0" fontId="11" fillId="2" borderId="29" xfId="0" applyFont="1" applyFill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2" fontId="2" fillId="14" borderId="29" xfId="0" applyNumberFormat="1" applyFont="1" applyFill="1" applyBorder="1" applyAlignment="1">
      <alignment horizontal="center" vertical="center"/>
    </xf>
    <xf numFmtId="0" fontId="2" fillId="14" borderId="2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3" fillId="13" borderId="29" xfId="0" applyFont="1" applyFill="1" applyBorder="1" applyAlignment="1">
      <alignment horizontal="center" vertical="center" wrapText="1"/>
    </xf>
    <xf numFmtId="0" fontId="13" fillId="13" borderId="29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right"/>
    </xf>
    <xf numFmtId="0" fontId="10" fillId="2" borderId="0" xfId="0" quotePrefix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9" xfId="0" applyFont="1" applyFill="1" applyBorder="1"/>
    <xf numFmtId="0" fontId="11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0" fillId="2" borderId="11" xfId="0" applyFont="1" applyFill="1" applyBorder="1"/>
    <xf numFmtId="0" fontId="11" fillId="13" borderId="29" xfId="0" applyFont="1" applyFill="1" applyBorder="1" applyAlignment="1">
      <alignment horizontal="center" vertical="center" wrapText="1"/>
    </xf>
    <xf numFmtId="0" fontId="11" fillId="13" borderId="29" xfId="0" applyFont="1" applyFill="1" applyBorder="1" applyAlignment="1">
      <alignment vertical="center"/>
    </xf>
    <xf numFmtId="0" fontId="11" fillId="13" borderId="2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0" fillId="2" borderId="10" xfId="0" applyFont="1" applyFill="1" applyBorder="1"/>
    <xf numFmtId="0" fontId="10" fillId="2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center" vertical="center" wrapText="1"/>
    </xf>
    <xf numFmtId="0" fontId="2" fillId="2" borderId="8" xfId="0" applyFont="1" applyFill="1" applyBorder="1"/>
    <xf numFmtId="0" fontId="2" fillId="2" borderId="7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 wrapText="1"/>
    </xf>
    <xf numFmtId="0" fontId="13" fillId="13" borderId="32" xfId="0" applyFont="1" applyFill="1" applyBorder="1" applyAlignment="1">
      <alignment horizontal="center" vertical="center" wrapText="1"/>
    </xf>
    <xf numFmtId="0" fontId="2" fillId="2" borderId="7" xfId="0" applyFont="1" applyFill="1" applyBorder="1"/>
    <xf numFmtId="0" fontId="2" fillId="2" borderId="29" xfId="0" applyFont="1" applyFill="1" applyBorder="1"/>
    <xf numFmtId="0" fontId="11" fillId="2" borderId="33" xfId="0" applyFont="1" applyFill="1" applyBorder="1" applyAlignment="1">
      <alignment horizontal="center" vertical="center"/>
    </xf>
    <xf numFmtId="0" fontId="19" fillId="2" borderId="29" xfId="2" applyFill="1" applyBorder="1" applyAlignment="1">
      <alignment horizontal="left" vertical="center"/>
    </xf>
    <xf numFmtId="0" fontId="11" fillId="2" borderId="29" xfId="0" quotePrefix="1" applyFont="1" applyFill="1" applyBorder="1" applyAlignment="1">
      <alignment horizontal="left" vertical="top" wrapText="1"/>
    </xf>
    <xf numFmtId="0" fontId="21" fillId="0" borderId="29" xfId="0" applyFont="1" applyBorder="1" applyAlignment="1">
      <alignment horizontal="left" vertical="center" wrapText="1"/>
    </xf>
    <xf numFmtId="2" fontId="11" fillId="2" borderId="29" xfId="0" applyNumberFormat="1" applyFont="1" applyFill="1" applyBorder="1" applyAlignment="1">
      <alignment horizontal="center" vertical="center"/>
    </xf>
    <xf numFmtId="0" fontId="2" fillId="2" borderId="8" xfId="0" quotePrefix="1" applyFont="1" applyFill="1" applyBorder="1"/>
    <xf numFmtId="0" fontId="0" fillId="15" borderId="21" xfId="0" applyFill="1" applyBorder="1"/>
    <xf numFmtId="0" fontId="11" fillId="2" borderId="33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9" fillId="2" borderId="29" xfId="2" applyFill="1" applyBorder="1" applyAlignment="1">
      <alignment horizontal="left" vertical="center" wrapText="1"/>
    </xf>
    <xf numFmtId="0" fontId="11" fillId="13" borderId="32" xfId="0" applyFont="1" applyFill="1" applyBorder="1" applyAlignment="1">
      <alignment horizontal="center" vertical="center" wrapText="1"/>
    </xf>
    <xf numFmtId="0" fontId="19" fillId="13" borderId="29" xfId="2" applyFill="1" applyBorder="1" applyAlignment="1">
      <alignment horizontal="center" vertical="center"/>
    </xf>
    <xf numFmtId="0" fontId="11" fillId="13" borderId="29" xfId="0" applyFont="1" applyFill="1" applyBorder="1"/>
    <xf numFmtId="0" fontId="11" fillId="13" borderId="29" xfId="0" applyFont="1" applyFill="1" applyBorder="1" applyAlignment="1">
      <alignment horizontal="center"/>
    </xf>
    <xf numFmtId="0" fontId="11" fillId="2" borderId="29" xfId="0" applyFont="1" applyFill="1" applyBorder="1"/>
    <xf numFmtId="0" fontId="11" fillId="2" borderId="29" xfId="0" applyFont="1" applyFill="1" applyBorder="1" applyAlignment="1">
      <alignment horizontal="center"/>
    </xf>
    <xf numFmtId="0" fontId="2" fillId="2" borderId="9" xfId="0" applyFont="1" applyFill="1" applyBorder="1"/>
    <xf numFmtId="0" fontId="11" fillId="2" borderId="10" xfId="0" applyFont="1" applyFill="1" applyBorder="1"/>
    <xf numFmtId="0" fontId="11" fillId="2" borderId="10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/>
    </xf>
    <xf numFmtId="0" fontId="2" fillId="2" borderId="11" xfId="0" applyFont="1" applyFill="1" applyBorder="1"/>
    <xf numFmtId="0" fontId="2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282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PERALATAN PLTU JERANJANG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175297861933501E-2"/>
          <c:y val="0.1411757463696601"/>
          <c:w val="0.82139163306667673"/>
          <c:h val="0.76396726207960619"/>
        </c:manualLayout>
      </c:layout>
      <c:pie3DChart>
        <c:varyColors val="1"/>
        <c:ser>
          <c:idx val="0"/>
          <c:order val="0"/>
          <c:tx>
            <c:strRef>
              <c:f>DASHBOARD!$D$7</c:f>
              <c:strCache>
                <c:ptCount val="1"/>
                <c:pt idx="0">
                  <c:v>LEVEL VIBRASI</c:v>
                </c:pt>
              </c:strCache>
            </c:strRef>
          </c:tx>
          <c:dPt>
            <c:idx val="0"/>
            <c:bubble3D val="0"/>
            <c:explosion val="25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9B7-42A5-BC82-8AE4E8FD7FC5}"/>
              </c:ext>
            </c:extLst>
          </c:dPt>
          <c:dPt>
            <c:idx val="1"/>
            <c:bubble3D val="0"/>
            <c:explosion val="25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9B7-42A5-BC82-8AE4E8FD7FC5}"/>
              </c:ext>
            </c:extLst>
          </c:dPt>
          <c:dPt>
            <c:idx val="2"/>
            <c:bubble3D val="0"/>
            <c:explosion val="25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9B7-42A5-BC82-8AE4E8FD7FC5}"/>
              </c:ext>
            </c:extLst>
          </c:dPt>
          <c:dPt>
            <c:idx val="3"/>
            <c:bubble3D val="0"/>
            <c:explosion val="25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9B7-42A5-BC82-8AE4E8FD7FC5}"/>
              </c:ext>
            </c:extLst>
          </c:dPt>
          <c:dPt>
            <c:idx val="4"/>
            <c:bubble3D val="0"/>
            <c:explosion val="25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9B7-42A5-BC82-8AE4E8FD7FC5}"/>
              </c:ext>
            </c:extLst>
          </c:dPt>
          <c:dLbls>
            <c:dLbl>
              <c:idx val="2"/>
              <c:layout>
                <c:manualLayout>
                  <c:x val="-5.3656552454395129E-2"/>
                  <c:y val="0.2177805675665377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B7-42A5-BC82-8AE4E8FD7FC5}"/>
                </c:ext>
              </c:extLst>
            </c:dLbl>
            <c:dLbl>
              <c:idx val="3"/>
              <c:layout>
                <c:manualLayout>
                  <c:x val="-0.10846503107299793"/>
                  <c:y val="4.42522030353076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B7-42A5-BC82-8AE4E8FD7FC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DASHBOARD!$D$8:$H$8</c:f>
              <c:strCache>
                <c:ptCount val="5"/>
                <c:pt idx="0">
                  <c:v>LEVEL A</c:v>
                </c:pt>
                <c:pt idx="1">
                  <c:v>LEVEL B</c:v>
                </c:pt>
                <c:pt idx="2">
                  <c:v>LEVEL C</c:v>
                </c:pt>
                <c:pt idx="3">
                  <c:v>LEVEL D</c:v>
                </c:pt>
                <c:pt idx="4">
                  <c:v>STANDBY</c:v>
                </c:pt>
              </c:strCache>
            </c:strRef>
          </c:cat>
          <c:val>
            <c:numRef>
              <c:f>DASHBOARD!$D$13:$H$13</c:f>
              <c:numCache>
                <c:formatCode>General</c:formatCode>
                <c:ptCount val="5"/>
                <c:pt idx="0">
                  <c:v>24</c:v>
                </c:pt>
                <c:pt idx="1">
                  <c:v>41</c:v>
                </c:pt>
                <c:pt idx="2">
                  <c:v>1</c:v>
                </c:pt>
                <c:pt idx="3">
                  <c:v>2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B7-42A5-BC82-8AE4E8FD7FC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7854903327089"/>
          <c:y val="0.22619264124812694"/>
          <c:w val="0.13877144433714586"/>
          <c:h val="0.6273513968709838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0000000000001" l="0.70000000000000095" r="0.70000000000000095" t="0.750000000000001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STATUS PERALATAN UNIT 2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UNIT 2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7DA4-410E-96A1-54A32C4A8DF5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gradFill>
                  <a:gsLst>
                    <a:gs pos="0">
                      <a:srgbClr val="FFFF00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c:spPr>
            <c:extLst>
              <c:ext xmlns:c16="http://schemas.microsoft.com/office/drawing/2014/chart" uri="{C3380CC4-5D6E-409C-BE32-E72D297353CC}">
                <c16:uniqueId val="{00000003-7DA4-410E-96A1-54A32C4A8DF5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5-7DA4-410E-96A1-54A32C4A8DF5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7DA4-410E-96A1-54A32C4A8DF5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7DA4-410E-96A1-54A32C4A8DF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DASHBOARD!$D$8:$H$8</c:f>
              <c:strCache>
                <c:ptCount val="5"/>
                <c:pt idx="0">
                  <c:v>LEVEL A</c:v>
                </c:pt>
                <c:pt idx="1">
                  <c:v>LEVEL B</c:v>
                </c:pt>
                <c:pt idx="2">
                  <c:v>LEVEL C</c:v>
                </c:pt>
                <c:pt idx="3">
                  <c:v>LEVEL D</c:v>
                </c:pt>
                <c:pt idx="4">
                  <c:v>STANDBY</c:v>
                </c:pt>
              </c:strCache>
            </c:strRef>
          </c:cat>
          <c:val>
            <c:numRef>
              <c:f>DASHBOARD!$D$10:$H$10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A4-410E-96A1-54A32C4A8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243904656"/>
        <c:axId val="243237520"/>
        <c:axId val="0"/>
      </c:bar3DChart>
      <c:catAx>
        <c:axId val="2439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3237520"/>
        <c:crosses val="autoZero"/>
        <c:auto val="1"/>
        <c:lblAlgn val="ctr"/>
        <c:lblOffset val="100"/>
        <c:noMultiLvlLbl val="0"/>
      </c:catAx>
      <c:valAx>
        <c:axId val="243237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3904656"/>
        <c:crosses val="autoZero"/>
        <c:crossBetween val="between"/>
      </c:valAx>
      <c:spPr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16200000" scaled="1"/>
          <a:tileRect/>
        </a:gra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</c:spPr>
  <c:txPr>
    <a:bodyPr/>
    <a:lstStyle/>
    <a:p>
      <a:pPr>
        <a:defRPr sz="12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STATUS PERALATAN COAL HANDLING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DASHBOARD!$B$12</c:f>
              <c:strCache>
                <c:ptCount val="1"/>
                <c:pt idx="0">
                  <c:v>COAL HANDLING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391C-49EE-94EB-A896422192A0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gradFill>
                  <a:gsLst>
                    <a:gs pos="0">
                      <a:srgbClr val="FFFF00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c:spPr>
            <c:extLst>
              <c:ext xmlns:c16="http://schemas.microsoft.com/office/drawing/2014/chart" uri="{C3380CC4-5D6E-409C-BE32-E72D297353CC}">
                <c16:uniqueId val="{00000003-391C-49EE-94EB-A896422192A0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5-391C-49EE-94EB-A896422192A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391C-49EE-94EB-A896422192A0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391C-49EE-94EB-A896422192A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DASHBOARD!$D$8:$H$8</c:f>
              <c:strCache>
                <c:ptCount val="5"/>
                <c:pt idx="0">
                  <c:v>LEVEL A</c:v>
                </c:pt>
                <c:pt idx="1">
                  <c:v>LEVEL B</c:v>
                </c:pt>
                <c:pt idx="2">
                  <c:v>LEVEL C</c:v>
                </c:pt>
                <c:pt idx="3">
                  <c:v>LEVEL D</c:v>
                </c:pt>
                <c:pt idx="4">
                  <c:v>STANDBY</c:v>
                </c:pt>
              </c:strCache>
            </c:strRef>
          </c:cat>
          <c:val>
            <c:numRef>
              <c:f>DASHBOARD!$D$12:$H$12</c:f>
              <c:numCache>
                <c:formatCode>General</c:formatCode>
                <c:ptCount val="5"/>
                <c:pt idx="0">
                  <c:v>1</c:v>
                </c:pt>
                <c:pt idx="1">
                  <c:v>11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1C-49EE-94EB-A89642219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245073848"/>
        <c:axId val="245074232"/>
        <c:axId val="245074616"/>
      </c:bar3DChart>
      <c:catAx>
        <c:axId val="245073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5074232"/>
        <c:crosses val="autoZero"/>
        <c:auto val="1"/>
        <c:lblAlgn val="ctr"/>
        <c:lblOffset val="100"/>
        <c:noMultiLvlLbl val="0"/>
      </c:catAx>
      <c:valAx>
        <c:axId val="245074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5073848"/>
        <c:crosses val="autoZero"/>
        <c:crossBetween val="between"/>
      </c:valAx>
      <c:serAx>
        <c:axId val="245074616"/>
        <c:scaling>
          <c:orientation val="minMax"/>
        </c:scaling>
        <c:delete val="0"/>
        <c:axPos val="b"/>
        <c:majorTickMark val="out"/>
        <c:minorTickMark val="none"/>
        <c:tickLblPos val="nextTo"/>
        <c:crossAx val="245074232"/>
        <c:crosses val="autoZero"/>
      </c:serAx>
      <c:spPr>
        <a:gradFill flip="none" rotWithShape="1">
          <a:gsLst>
            <a:gs pos="100000">
              <a:schemeClr val="bg1">
                <a:lumMod val="85000"/>
                <a:shade val="30000"/>
                <a:satMod val="115000"/>
              </a:schemeClr>
            </a:gs>
            <a:gs pos="100000">
              <a:schemeClr val="bg1">
                <a:lumMod val="85000"/>
                <a:shade val="67500"/>
                <a:satMod val="115000"/>
              </a:schemeClr>
            </a:gs>
            <a:gs pos="99000">
              <a:schemeClr val="bg1">
                <a:lumMod val="85000"/>
                <a:shade val="100000"/>
                <a:satMod val="115000"/>
              </a:schemeClr>
            </a:gs>
          </a:gsLst>
          <a:lin ang="18900000" scaled="1"/>
          <a:tileRect/>
        </a:gra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2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STATUS PERALATAN UNIT 1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UNIT 1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765B-4494-890A-4B9AFB1438C8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gradFill>
                  <a:gsLst>
                    <a:gs pos="0">
                      <a:srgbClr val="FFFF00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c:spPr>
            <c:extLst>
              <c:ext xmlns:c16="http://schemas.microsoft.com/office/drawing/2014/chart" uri="{C3380CC4-5D6E-409C-BE32-E72D297353CC}">
                <c16:uniqueId val="{00000003-765B-4494-890A-4B9AFB1438C8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5-765B-4494-890A-4B9AFB1438C8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765B-4494-890A-4B9AFB1438C8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765B-4494-890A-4B9AFB1438C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DASHBOARD!$D$8:$H$8</c:f>
              <c:strCache>
                <c:ptCount val="5"/>
                <c:pt idx="0">
                  <c:v>LEVEL A</c:v>
                </c:pt>
                <c:pt idx="1">
                  <c:v>LEVEL B</c:v>
                </c:pt>
                <c:pt idx="2">
                  <c:v>LEVEL C</c:v>
                </c:pt>
                <c:pt idx="3">
                  <c:v>LEVEL D</c:v>
                </c:pt>
                <c:pt idx="4">
                  <c:v>STANDBY</c:v>
                </c:pt>
              </c:strCache>
            </c:strRef>
          </c:cat>
          <c:val>
            <c:numRef>
              <c:f>DASHBOARD!$D$9:$H$9</c:f>
              <c:numCache>
                <c:formatCode>General</c:formatCode>
                <c:ptCount val="5"/>
                <c:pt idx="0">
                  <c:v>10</c:v>
                </c:pt>
                <c:pt idx="1">
                  <c:v>13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5B-4494-890A-4B9AFB14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245231536"/>
        <c:axId val="245352256"/>
        <c:axId val="0"/>
      </c:bar3DChart>
      <c:catAx>
        <c:axId val="24523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5352256"/>
        <c:crosses val="autoZero"/>
        <c:auto val="1"/>
        <c:lblAlgn val="ctr"/>
        <c:lblOffset val="100"/>
        <c:noMultiLvlLbl val="0"/>
      </c:catAx>
      <c:valAx>
        <c:axId val="245352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5231536"/>
        <c:crosses val="autoZero"/>
        <c:crossBetween val="between"/>
      </c:valAx>
      <c:spPr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33000">
              <a:schemeClr val="bg1">
                <a:lumMod val="95000"/>
                <a:shade val="67500"/>
                <a:satMod val="115000"/>
              </a:schemeClr>
            </a:gs>
            <a:gs pos="94000">
              <a:schemeClr val="bg1">
                <a:lumMod val="95000"/>
                <a:shade val="100000"/>
                <a:satMod val="115000"/>
              </a:schemeClr>
            </a:gs>
          </a:gsLst>
          <a:lin ang="16200000" scaled="1"/>
          <a:tileRect/>
        </a:gra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</c:spPr>
  <c:txPr>
    <a:bodyPr/>
    <a:lstStyle/>
    <a:p>
      <a:pPr>
        <a:defRPr sz="12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EQUIPMENT</a:t>
            </a:r>
            <a:r>
              <a:rPr lang="en-US" baseline="0"/>
              <a:t> BERDASARKAN VIBRASI</a:t>
            </a:r>
          </a:p>
          <a:p>
            <a:pPr>
              <a:defRPr/>
            </a:pPr>
            <a:r>
              <a:rPr lang="en-US" baseline="0"/>
              <a:t>PLTU JERANJANG OMU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DASHBOARD!$D$8</c:f>
              <c:strCache>
                <c:ptCount val="1"/>
                <c:pt idx="0">
                  <c:v>LEVEL A</c:v>
                </c:pt>
              </c:strCache>
            </c:strRef>
          </c:tx>
          <c:spPr>
            <a:solidFill>
              <a:srgbClr val="00FF00"/>
            </a:solidFill>
            <a:ln w="9525" cap="flat" cmpd="sng" algn="ctr">
              <a:solidFill>
                <a:schemeClr val="bg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bg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DASHBOARD!$B$9:$C$12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COAL HANDLING</c:v>
                </c:pt>
              </c:strCache>
            </c:strRef>
          </c:cat>
          <c:val>
            <c:numRef>
              <c:f>DASHBOARD!$D$9:$D$12</c:f>
              <c:numCache>
                <c:formatCode>General</c:formatCode>
                <c:ptCount val="4"/>
                <c:pt idx="0">
                  <c:v>10</c:v>
                </c:pt>
                <c:pt idx="1">
                  <c:v>6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E-46D8-B35E-7CCB84139677}"/>
            </c:ext>
          </c:extLst>
        </c:ser>
        <c:ser>
          <c:idx val="1"/>
          <c:order val="1"/>
          <c:tx>
            <c:strRef>
              <c:f>DASHBOARD!$E$8</c:f>
              <c:strCache>
                <c:ptCount val="1"/>
                <c:pt idx="0">
                  <c:v>LEVEL B</c:v>
                </c:pt>
              </c:strCache>
            </c:strRef>
          </c:tx>
          <c:spPr>
            <a:solidFill>
              <a:srgbClr val="00B0F0"/>
            </a:solidFill>
            <a:ln w="9525" cap="flat" cmpd="sng" algn="ctr">
              <a:solidFill>
                <a:schemeClr val="bg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bg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DASHBOARD!$B$9:$C$12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COAL HANDLING</c:v>
                </c:pt>
              </c:strCache>
            </c:strRef>
          </c:cat>
          <c:val>
            <c:numRef>
              <c:f>DASHBOARD!$E$9:$E$12</c:f>
              <c:numCache>
                <c:formatCode>General</c:formatCode>
                <c:ptCount val="4"/>
                <c:pt idx="0">
                  <c:v>13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7E-46D8-B35E-7CCB84139677}"/>
            </c:ext>
          </c:extLst>
        </c:ser>
        <c:ser>
          <c:idx val="2"/>
          <c:order val="2"/>
          <c:tx>
            <c:strRef>
              <c:f>DASHBOARD!$F$8</c:f>
              <c:strCache>
                <c:ptCount val="1"/>
                <c:pt idx="0">
                  <c:v>LEVEL C</c:v>
                </c:pt>
              </c:strCache>
            </c:strRef>
          </c:tx>
          <c:spPr>
            <a:solidFill>
              <a:srgbClr val="FFC000"/>
            </a:solidFill>
            <a:ln w="9525" cap="flat" cmpd="sng" algn="ctr">
              <a:solidFill>
                <a:schemeClr val="bg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bg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DASHBOARD!$B$9:$C$12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COAL HANDLING</c:v>
                </c:pt>
              </c:strCache>
            </c:strRef>
          </c:cat>
          <c:val>
            <c:numRef>
              <c:f>DASHBOARD!$F$9:$F$12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7E-46D8-B35E-7CCB84139677}"/>
            </c:ext>
          </c:extLst>
        </c:ser>
        <c:ser>
          <c:idx val="3"/>
          <c:order val="3"/>
          <c:tx>
            <c:strRef>
              <c:f>DASHBOARD!$G$8</c:f>
              <c:strCache>
                <c:ptCount val="1"/>
                <c:pt idx="0">
                  <c:v>LEVEL D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bg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bg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DASHBOARD!$B$9:$C$12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COAL HANDLING</c:v>
                </c:pt>
              </c:strCache>
            </c:strRef>
          </c:cat>
          <c:val>
            <c:numRef>
              <c:f>DASHBOARD!$G$9:$G$12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7E-46D8-B35E-7CCB84139677}"/>
            </c:ext>
          </c:extLst>
        </c:ser>
        <c:ser>
          <c:idx val="4"/>
          <c:order val="4"/>
          <c:tx>
            <c:strRef>
              <c:f>DASHBOARD!$H$8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9525" cap="flat" cmpd="sng" algn="ctr">
              <a:solidFill>
                <a:schemeClr val="bg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bg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DASHBOARD!$B$9:$C$12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COAL HANDLING</c:v>
                </c:pt>
              </c:strCache>
            </c:strRef>
          </c:cat>
          <c:val>
            <c:numRef>
              <c:f>DASHBOARD!$H$9:$H$12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7E-46D8-B35E-7CCB841396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4092448"/>
        <c:axId val="2095908624"/>
        <c:axId val="0"/>
      </c:bar3DChart>
      <c:catAx>
        <c:axId val="186409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08624"/>
        <c:crosses val="autoZero"/>
        <c:auto val="1"/>
        <c:lblAlgn val="ctr"/>
        <c:lblOffset val="100"/>
        <c:noMultiLvlLbl val="0"/>
      </c:catAx>
      <c:valAx>
        <c:axId val="20959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9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srgbClr val="FFFF00">
          <a:alpha val="40000"/>
        </a:srgbClr>
      </a:outerShdw>
    </a:effectLst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STATUS PERALATAN UNIT 3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UNIT 3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D893-4647-9DF6-F636F9737ABC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gradFill>
                  <a:gsLst>
                    <a:gs pos="0">
                      <a:srgbClr val="FFFF00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c:spPr>
            <c:extLst>
              <c:ext xmlns:c16="http://schemas.microsoft.com/office/drawing/2014/chart" uri="{C3380CC4-5D6E-409C-BE32-E72D297353CC}">
                <c16:uniqueId val="{00000003-D893-4647-9DF6-F636F9737ABC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5-D893-4647-9DF6-F636F9737AB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D893-4647-9DF6-F636F9737ABC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D893-4647-9DF6-F636F9737AB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DASHBOARD!$D$8:$H$8</c:f>
              <c:strCache>
                <c:ptCount val="5"/>
                <c:pt idx="0">
                  <c:v>LEVEL A</c:v>
                </c:pt>
                <c:pt idx="1">
                  <c:v>LEVEL B</c:v>
                </c:pt>
                <c:pt idx="2">
                  <c:v>LEVEL C</c:v>
                </c:pt>
                <c:pt idx="3">
                  <c:v>LEVEL D</c:v>
                </c:pt>
                <c:pt idx="4">
                  <c:v>STANDBY</c:v>
                </c:pt>
              </c:strCache>
            </c:strRef>
          </c:cat>
          <c:val>
            <c:numRef>
              <c:f>DASHBOARD!$D$11:$H$11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93-4647-9DF6-F636F9737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243904656"/>
        <c:axId val="243237520"/>
        <c:axId val="0"/>
      </c:bar3DChart>
      <c:catAx>
        <c:axId val="2439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3237520"/>
        <c:crosses val="autoZero"/>
        <c:auto val="1"/>
        <c:lblAlgn val="ctr"/>
        <c:lblOffset val="100"/>
        <c:noMultiLvlLbl val="0"/>
      </c:catAx>
      <c:valAx>
        <c:axId val="243237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3904656"/>
        <c:crosses val="autoZero"/>
        <c:crossBetween val="between"/>
      </c:valAx>
      <c:spPr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16200000" scaled="1"/>
          <a:tileRect/>
        </a:gra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</c:spPr>
  <c:txPr>
    <a:bodyPr/>
    <a:lstStyle/>
    <a:p>
      <a:pPr>
        <a:defRPr sz="12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120283</xdr:colOff>
      <xdr:row>50</xdr:row>
      <xdr:rowOff>134687</xdr:rowOff>
    </xdr:from>
    <xdr:to>
      <xdr:col>10</xdr:col>
      <xdr:colOff>578922</xdr:colOff>
      <xdr:row>75</xdr:row>
      <xdr:rowOff>127000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A30EC8AE-646E-490C-951A-C9911ACB3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68036</xdr:colOff>
      <xdr:row>15</xdr:row>
      <xdr:rowOff>12006</xdr:rowOff>
    </xdr:from>
    <xdr:to>
      <xdr:col>21</xdr:col>
      <xdr:colOff>585108</xdr:colOff>
      <xdr:row>31</xdr:row>
      <xdr:rowOff>138042</xdr:rowOff>
    </xdr:to>
    <xdr:graphicFrame macro="">
      <xdr:nvGraphicFramePr>
        <xdr:cNvPr id="3" name="Chart 51">
          <a:extLst>
            <a:ext uri="{FF2B5EF4-FFF2-40B4-BE49-F238E27FC236}">
              <a16:creationId xmlns:a16="http://schemas.microsoft.com/office/drawing/2014/main" id="{23AEF54B-FFC6-4DB4-94E3-137BED7D7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136074</xdr:colOff>
      <xdr:row>32</xdr:row>
      <xdr:rowOff>122466</xdr:rowOff>
    </xdr:from>
    <xdr:to>
      <xdr:col>10</xdr:col>
      <xdr:colOff>639536</xdr:colOff>
      <xdr:row>50</xdr:row>
      <xdr:rowOff>40823</xdr:rowOff>
    </xdr:to>
    <xdr:graphicFrame macro="">
      <xdr:nvGraphicFramePr>
        <xdr:cNvPr id="4" name="Chart 51">
          <a:extLst>
            <a:ext uri="{FF2B5EF4-FFF2-40B4-BE49-F238E27FC236}">
              <a16:creationId xmlns:a16="http://schemas.microsoft.com/office/drawing/2014/main" id="{B20B5E7A-9B01-4116-B47C-12C4A4BE7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190499</xdr:colOff>
      <xdr:row>15</xdr:row>
      <xdr:rowOff>1</xdr:rowOff>
    </xdr:from>
    <xdr:to>
      <xdr:col>10</xdr:col>
      <xdr:colOff>707571</xdr:colOff>
      <xdr:row>31</xdr:row>
      <xdr:rowOff>126037</xdr:rowOff>
    </xdr:to>
    <xdr:graphicFrame macro="">
      <xdr:nvGraphicFramePr>
        <xdr:cNvPr id="5" name="Chart 51">
          <a:extLst>
            <a:ext uri="{FF2B5EF4-FFF2-40B4-BE49-F238E27FC236}">
              <a16:creationId xmlns:a16="http://schemas.microsoft.com/office/drawing/2014/main" id="{5B22DE5F-147F-47EC-8CC5-1BF1F4562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11545</xdr:colOff>
      <xdr:row>50</xdr:row>
      <xdr:rowOff>119412</xdr:rowOff>
    </xdr:from>
    <xdr:to>
      <xdr:col>21</xdr:col>
      <xdr:colOff>522845</xdr:colOff>
      <xdr:row>75</xdr:row>
      <xdr:rowOff>115455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EBFF0A-2B67-4905-95A6-E54D37425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23090</xdr:colOff>
      <xdr:row>32</xdr:row>
      <xdr:rowOff>150090</xdr:rowOff>
    </xdr:from>
    <xdr:to>
      <xdr:col>21</xdr:col>
      <xdr:colOff>623455</xdr:colOff>
      <xdr:row>50</xdr:row>
      <xdr:rowOff>23091</xdr:rowOff>
    </xdr:to>
    <xdr:graphicFrame macro="">
      <xdr:nvGraphicFramePr>
        <xdr:cNvPr id="7" name="Chart 51">
          <a:extLst>
            <a:ext uri="{FF2B5EF4-FFF2-40B4-BE49-F238E27FC236}">
              <a16:creationId xmlns:a16="http://schemas.microsoft.com/office/drawing/2014/main" id="{27BD20C7-C58D-4BC4-9B8E-4B33918EA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80818</xdr:colOff>
      <xdr:row>0</xdr:row>
      <xdr:rowOff>173181</xdr:rowOff>
    </xdr:from>
    <xdr:to>
      <xdr:col>2</xdr:col>
      <xdr:colOff>657266</xdr:colOff>
      <xdr:row>3</xdr:row>
      <xdr:rowOff>74220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F3A012-BE36-4121-923A-AA1369422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818" y="173181"/>
          <a:ext cx="2075048" cy="6630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0</xdr:row>
      <xdr:rowOff>29882</xdr:rowOff>
    </xdr:from>
    <xdr:to>
      <xdr:col>2</xdr:col>
      <xdr:colOff>1726239</xdr:colOff>
      <xdr:row>3</xdr:row>
      <xdr:rowOff>155039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F2F002-9C77-4695-B49F-B01448A7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" y="29882"/>
          <a:ext cx="2074742" cy="6585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366739</xdr:colOff>
      <xdr:row>126</xdr:row>
      <xdr:rowOff>56369</xdr:rowOff>
    </xdr:from>
    <xdr:to>
      <xdr:col>14</xdr:col>
      <xdr:colOff>530871</xdr:colOff>
      <xdr:row>148</xdr:row>
      <xdr:rowOff>105016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11883-45FD-4523-A96A-0780F723DDE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8489" y="123494019"/>
          <a:ext cx="7187232" cy="3960247"/>
        </a:xfrm>
        <a:prstGeom prst="rect">
          <a:avLst/>
        </a:prstGeom>
      </xdr:spPr>
    </xdr:pic>
    <xdr:clientData/>
  </xdr:twoCellAnchor>
  <xdr:twoCellAnchor>
    <xdr:from>
      <xdr:col>7</xdr:col>
      <xdr:colOff>374209</xdr:colOff>
      <xdr:row>130</xdr:row>
      <xdr:rowOff>55607</xdr:rowOff>
    </xdr:from>
    <xdr:to>
      <xdr:col>10</xdr:col>
      <xdr:colOff>1318391</xdr:colOff>
      <xdr:row>145</xdr:row>
      <xdr:rowOff>110416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9D34FE-D3D0-4920-A943-F0733A917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5959" y="124204457"/>
          <a:ext cx="5014532" cy="2721809"/>
        </a:xfrm>
        <a:prstGeom prst="rect">
          <a:avLst/>
        </a:prstGeom>
      </xdr:spPr>
    </xdr:pic>
    <xdr:clientData/>
  </xdr:twoCellAnchor>
  <xdr:twoCellAnchor editAs="oneCell">
    <xdr:from>
      <xdr:col>2</xdr:col>
      <xdr:colOff>207818</xdr:colOff>
      <xdr:row>0</xdr:row>
      <xdr:rowOff>34636</xdr:rowOff>
    </xdr:from>
    <xdr:to>
      <xdr:col>3</xdr:col>
      <xdr:colOff>1905000</xdr:colOff>
      <xdr:row>3</xdr:row>
      <xdr:rowOff>117961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3F9B7F-2FB9-4D75-968F-7AE823894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868" y="34636"/>
          <a:ext cx="1995632" cy="6513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KANTOR/02.%20CONDITION%20BASE%20MAINTENANCE%20(CBM)/02.%20FORM%20PENGUKURAN/MASTER/00.%20FORM%20PENGUKURAN%20UNIT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ENGESAHAN"/>
      <sheetName val="INFORMASI"/>
      <sheetName val="STANDART"/>
      <sheetName val="IRT"/>
      <sheetName val="RESUM ALL"/>
      <sheetName val="SEKAT"/>
      <sheetName val="DASHBOARD"/>
      <sheetName val="INPUT"/>
      <sheetName val="SUMMARY"/>
      <sheetName val="REKOMENDASI"/>
      <sheetName val="CM"/>
      <sheetName val="Sheet2"/>
      <sheetName val="Sheet1"/>
      <sheetName val="INPUT EQUIPMENT"/>
      <sheetName val="TRENDING VIBRASI"/>
      <sheetName val="PAF n"/>
      <sheetName val="WJP 2T"/>
      <sheetName val="to exsum"/>
      <sheetName val="MONITORING"/>
      <sheetName val="UNIT 3"/>
      <sheetName val="SHOCK PULSE"/>
      <sheetName val="DATA OPERASI"/>
      <sheetName val="T-G (7)"/>
      <sheetName val="AC (28)"/>
      <sheetName val="DC (29)"/>
      <sheetName val="JOP 3A (30)"/>
      <sheetName val="JOP 3B (31)"/>
      <sheetName val="JOCKEY 3A (24)"/>
      <sheetName val="JOCKEY 3B (25)"/>
      <sheetName val="FF MOTOR (26)"/>
      <sheetName val="FF DIESEL (27)"/>
      <sheetName val="IDF 1 (1)"/>
      <sheetName val="RAF 1 (5)"/>
      <sheetName val="CEP 2 (9)"/>
      <sheetName val="CEP 3 (10)"/>
      <sheetName val="WJP 2 (12)"/>
      <sheetName val="BFP 1 (13)"/>
      <sheetName val="CWP 1 (17)"/>
      <sheetName val="SAF (4)"/>
      <sheetName val="CCWP 1 (15)"/>
      <sheetName val="BWRO 1 (19)"/>
      <sheetName val="SWRO 1 (21)"/>
      <sheetName val="IDF 2 (2)"/>
      <sheetName val="PAF (3)"/>
      <sheetName val="RAF 2 (6)"/>
      <sheetName val="COM 1"/>
      <sheetName val="COM 2"/>
      <sheetName val="CEP 1 (8)"/>
      <sheetName val="WJP 1 (11)"/>
      <sheetName val="BFP 2 (14)"/>
      <sheetName val="CCWP 2 (16)"/>
      <sheetName val="BWRO 2 (20)"/>
      <sheetName val="SWRO 2 (22)"/>
      <sheetName val="CWP 2 (18)"/>
      <sheetName val="CT 1"/>
      <sheetName val="CT 2"/>
      <sheetName val="T IDF 3A"/>
      <sheetName val="T IDF 3B "/>
      <sheetName val="T PAF"/>
      <sheetName val="T SAF"/>
      <sheetName val="T RAF 3A"/>
      <sheetName val="T RAF 3B"/>
      <sheetName val="T TG"/>
      <sheetName val="T CEP 3A"/>
      <sheetName val="T CEP 3B"/>
      <sheetName val="T CEP 3C"/>
      <sheetName val="T WJP 3A"/>
      <sheetName val="T WJP 3B"/>
      <sheetName val="T BFP 3A"/>
      <sheetName val="T BFP 3B"/>
      <sheetName val="T CCWP 3A"/>
      <sheetName val="T CCWP 3B"/>
      <sheetName val="T CWP 3A"/>
      <sheetName val="T CWP 3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D7" t="str">
            <v>LEVEL VIBRASI</v>
          </cell>
        </row>
        <row r="8">
          <cell r="D8" t="str">
            <v>LEVEL A</v>
          </cell>
          <cell r="E8" t="str">
            <v>LEVEL B</v>
          </cell>
          <cell r="F8" t="str">
            <v>LEVEL C</v>
          </cell>
          <cell r="G8" t="str">
            <v>LEVEL D</v>
          </cell>
          <cell r="H8" t="str">
            <v>STANDBY</v>
          </cell>
        </row>
        <row r="9">
          <cell r="B9" t="str">
            <v>UNIT 1</v>
          </cell>
          <cell r="D9">
            <v>10</v>
          </cell>
          <cell r="E9">
            <v>13</v>
          </cell>
          <cell r="F9">
            <v>0</v>
          </cell>
          <cell r="G9">
            <v>1</v>
          </cell>
          <cell r="H9">
            <v>2</v>
          </cell>
        </row>
        <row r="10">
          <cell r="B10" t="str">
            <v>UNIT 2</v>
          </cell>
          <cell r="D10">
            <v>6</v>
          </cell>
          <cell r="E10">
            <v>8</v>
          </cell>
          <cell r="F10">
            <v>0</v>
          </cell>
          <cell r="G10">
            <v>0</v>
          </cell>
          <cell r="H10">
            <v>4</v>
          </cell>
        </row>
        <row r="11">
          <cell r="B11" t="str">
            <v>UNIT 3</v>
          </cell>
          <cell r="D11">
            <v>7</v>
          </cell>
          <cell r="E11">
            <v>9</v>
          </cell>
          <cell r="F11">
            <v>0</v>
          </cell>
          <cell r="G11">
            <v>0</v>
          </cell>
          <cell r="H11">
            <v>6</v>
          </cell>
        </row>
        <row r="12">
          <cell r="B12" t="str">
            <v>COAL HANDLING</v>
          </cell>
          <cell r="D12">
            <v>1</v>
          </cell>
          <cell r="E12">
            <v>11</v>
          </cell>
          <cell r="F12">
            <v>1</v>
          </cell>
          <cell r="G12">
            <v>1</v>
          </cell>
          <cell r="H12">
            <v>0</v>
          </cell>
        </row>
        <row r="13">
          <cell r="D13">
            <v>24</v>
          </cell>
          <cell r="E13">
            <v>41</v>
          </cell>
          <cell r="F13">
            <v>1</v>
          </cell>
          <cell r="G13">
            <v>2</v>
          </cell>
          <cell r="H13">
            <v>12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8">
          <cell r="A8" t="str">
            <v>UNIT 1</v>
          </cell>
        </row>
        <row r="9">
          <cell r="B9" t="str">
            <v>Motor ID Fan 1#1</v>
          </cell>
        </row>
        <row r="10">
          <cell r="B10" t="str">
            <v>Motor ID Fan 2#1</v>
          </cell>
        </row>
        <row r="11">
          <cell r="B11" t="str">
            <v>Motor Primary Air Fan 1#1</v>
          </cell>
        </row>
        <row r="12">
          <cell r="B12" t="str">
            <v>Motor Primary Air Fan 2#1</v>
          </cell>
        </row>
        <row r="13">
          <cell r="B13" t="str">
            <v>Motor Secondary Air Fan 1#1</v>
          </cell>
        </row>
        <row r="14">
          <cell r="B14" t="str">
            <v>Motor Secondary Air Fan 2#1</v>
          </cell>
        </row>
        <row r="15">
          <cell r="B15" t="str">
            <v>Turbin-Generator#1</v>
          </cell>
        </row>
        <row r="16">
          <cell r="B16" t="str">
            <v>Motor Condensat Pump 1#1</v>
          </cell>
        </row>
        <row r="17">
          <cell r="B17" t="str">
            <v>Motor Condensat Pump 2#1</v>
          </cell>
        </row>
        <row r="18">
          <cell r="B18" t="str">
            <v>Motor Vacuum Pump 1#1</v>
          </cell>
        </row>
        <row r="19">
          <cell r="B19" t="str">
            <v>Motor Vacuum Pump 2#1</v>
          </cell>
        </row>
        <row r="20">
          <cell r="B20" t="str">
            <v>Motor Boiler Feed Pump 1#1</v>
          </cell>
        </row>
        <row r="21">
          <cell r="B21" t="str">
            <v>Motor Boiler Feed Pump 2#1</v>
          </cell>
        </row>
        <row r="22">
          <cell r="B22" t="str">
            <v>Motor CCCWP 1#1</v>
          </cell>
        </row>
        <row r="23">
          <cell r="B23" t="str">
            <v>Motor CCCWP 2#1</v>
          </cell>
        </row>
        <row r="24">
          <cell r="B24" t="str">
            <v>Motor CWP 355 Kw 1#1</v>
          </cell>
        </row>
        <row r="25">
          <cell r="B25" t="str">
            <v>Motor CWP 355 Kw 2#1</v>
          </cell>
        </row>
        <row r="26">
          <cell r="B26" t="str">
            <v>Motor BWRO 1#1</v>
          </cell>
        </row>
        <row r="27">
          <cell r="B27" t="str">
            <v>Motor BWRO 2#1</v>
          </cell>
        </row>
        <row r="28">
          <cell r="B28" t="str">
            <v>Motor SWRO 1 #1</v>
          </cell>
        </row>
        <row r="29">
          <cell r="B29" t="str">
            <v>Motor SWRO 2#1</v>
          </cell>
        </row>
        <row r="30">
          <cell r="A30" t="str">
            <v>UNIT 2</v>
          </cell>
        </row>
        <row r="31">
          <cell r="B31" t="str">
            <v>Motor ID Fan 1#2</v>
          </cell>
        </row>
        <row r="32">
          <cell r="B32" t="str">
            <v>Motor ID Fan 2#2</v>
          </cell>
        </row>
        <row r="33">
          <cell r="B33" t="str">
            <v>Motor Primary Air Fan 1#2</v>
          </cell>
        </row>
        <row r="34">
          <cell r="B34" t="str">
            <v>Motor Primary Air Fan 2#2</v>
          </cell>
        </row>
        <row r="35">
          <cell r="B35" t="str">
            <v>Motor Secondary Air Fan 1#2</v>
          </cell>
        </row>
        <row r="36">
          <cell r="B36" t="str">
            <v>Motor Secondary Air Fan 2#2</v>
          </cell>
        </row>
        <row r="37">
          <cell r="B37" t="str">
            <v>Turbin-Generator#2</v>
          </cell>
        </row>
        <row r="38">
          <cell r="B38" t="str">
            <v>Motor Condensat Pump 1#2</v>
          </cell>
        </row>
        <row r="39">
          <cell r="B39" t="str">
            <v>Motor Condensat Pump 2#2</v>
          </cell>
        </row>
        <row r="40">
          <cell r="B40" t="str">
            <v>Motor Vacuum Pump 1#2</v>
          </cell>
        </row>
        <row r="41">
          <cell r="B41" t="str">
            <v>Motor Vacuum Pump 2#2</v>
          </cell>
        </row>
        <row r="42">
          <cell r="B42" t="str">
            <v>Motor Boiler Feed Pump 1#2</v>
          </cell>
        </row>
        <row r="43">
          <cell r="B43" t="str">
            <v>Motor Boiler Feed Pump 2#2</v>
          </cell>
        </row>
        <row r="44">
          <cell r="B44" t="str">
            <v>Motor CCCWP 1#2</v>
          </cell>
        </row>
        <row r="45">
          <cell r="B45" t="str">
            <v>Motor CCCWP 2#2</v>
          </cell>
        </row>
        <row r="46">
          <cell r="B46" t="str">
            <v>Motor CWP 355 Kw 1#2</v>
          </cell>
        </row>
        <row r="47">
          <cell r="B47" t="str">
            <v>Motor CWP 355 Kw 2#2</v>
          </cell>
        </row>
        <row r="48">
          <cell r="A48" t="str">
            <v>UNIT 3</v>
          </cell>
        </row>
        <row r="49">
          <cell r="B49" t="str">
            <v>Motor ID Fan 1#3</v>
          </cell>
        </row>
        <row r="50">
          <cell r="B50" t="str">
            <v>Motor ID Fan 2#3</v>
          </cell>
        </row>
        <row r="51">
          <cell r="B51" t="str">
            <v>Motor Primary Air Fan#3</v>
          </cell>
        </row>
        <row r="52">
          <cell r="B52" t="str">
            <v>Motor Secondary Air Fan#3</v>
          </cell>
        </row>
        <row r="53">
          <cell r="B53" t="str">
            <v>Motor Recirculating Air Fan 1#3</v>
          </cell>
        </row>
        <row r="54">
          <cell r="B54" t="str">
            <v>Motor Recirculating Air Fan 2#3</v>
          </cell>
        </row>
        <row r="55">
          <cell r="B55" t="str">
            <v>Turbin-Generator#3</v>
          </cell>
        </row>
        <row r="56">
          <cell r="B56" t="str">
            <v>Motor Condensat Pump 1#3</v>
          </cell>
        </row>
        <row r="57">
          <cell r="B57" t="str">
            <v>Motor Condensat Pump 2#3</v>
          </cell>
        </row>
        <row r="58">
          <cell r="B58" t="str">
            <v>Motor Condensat Pump 3#3</v>
          </cell>
        </row>
        <row r="59">
          <cell r="B59" t="str">
            <v>Motor Water jet Pump 1#3</v>
          </cell>
        </row>
        <row r="60">
          <cell r="B60" t="str">
            <v>Motor Water jet Pump 2#3</v>
          </cell>
        </row>
        <row r="61">
          <cell r="B61" t="str">
            <v>Motor Boiler Feed Pump 1#3</v>
          </cell>
        </row>
        <row r="62">
          <cell r="B62" t="str">
            <v>Motor Boiler Feed Pump 2#3</v>
          </cell>
        </row>
        <row r="63">
          <cell r="B63" t="str">
            <v>Motor CCWP 1#3</v>
          </cell>
        </row>
        <row r="64">
          <cell r="B64" t="str">
            <v>Motor CCWP 2#3</v>
          </cell>
        </row>
        <row r="65">
          <cell r="B65" t="str">
            <v>Motor CWP 355 Kw 1#3</v>
          </cell>
        </row>
        <row r="66">
          <cell r="B66" t="str">
            <v>Motor CWP 355 Kw 2#3</v>
          </cell>
        </row>
        <row r="67">
          <cell r="B67" t="str">
            <v>Motor BWRO 1#3</v>
          </cell>
        </row>
        <row r="68">
          <cell r="B68" t="str">
            <v>Motor BWRO 2#3</v>
          </cell>
        </row>
        <row r="69">
          <cell r="B69" t="str">
            <v>Motor SWRO 1#3</v>
          </cell>
        </row>
        <row r="70">
          <cell r="B70" t="str">
            <v>Motor SWRO 2#3</v>
          </cell>
        </row>
        <row r="71">
          <cell r="B71" t="str">
            <v>Motor Cooling tower 1#3</v>
          </cell>
        </row>
        <row r="72">
          <cell r="B72" t="str">
            <v>Motor Cooling tower 2#3</v>
          </cell>
        </row>
        <row r="73">
          <cell r="B73" t="str">
            <v>Motor Air Compressor 1#3</v>
          </cell>
        </row>
        <row r="74">
          <cell r="B74" t="str">
            <v>Motor Air Compressor 2#3</v>
          </cell>
        </row>
        <row r="75">
          <cell r="A75" t="str">
            <v>COAL ASH HANDLING</v>
          </cell>
        </row>
        <row r="76">
          <cell r="B76" t="str">
            <v>BC 4.1</v>
          </cell>
        </row>
        <row r="77">
          <cell r="B77" t="str">
            <v>BC 4.2</v>
          </cell>
        </row>
        <row r="78">
          <cell r="B78" t="str">
            <v>BC 5.1</v>
          </cell>
        </row>
        <row r="79">
          <cell r="B79" t="str">
            <v>BC 5.2</v>
          </cell>
        </row>
        <row r="80">
          <cell r="B80" t="str">
            <v>BC 7.1</v>
          </cell>
        </row>
        <row r="81">
          <cell r="B81" t="str">
            <v>BC 7. 2</v>
          </cell>
        </row>
        <row r="82">
          <cell r="B82" t="str">
            <v>BC 8.1</v>
          </cell>
        </row>
        <row r="83">
          <cell r="B83" t="str">
            <v>BC 8.2</v>
          </cell>
        </row>
        <row r="84">
          <cell r="B84" t="str">
            <v>BC 10.1</v>
          </cell>
        </row>
        <row r="85">
          <cell r="B85" t="str">
            <v>BC 10.2</v>
          </cell>
        </row>
        <row r="86">
          <cell r="B86" t="str">
            <v>ROLLER SCREEN 1</v>
          </cell>
        </row>
        <row r="87">
          <cell r="B87" t="str">
            <v>ROLLER SCREEN 2</v>
          </cell>
        </row>
        <row r="88">
          <cell r="B88" t="str">
            <v>Motor Crusser 185kW 1</v>
          </cell>
        </row>
        <row r="89">
          <cell r="B89" t="str">
            <v>Motor Crusser 185kW 2</v>
          </cell>
        </row>
        <row r="90">
          <cell r="B90" t="str">
            <v>VIBRATING FEEDER 1</v>
          </cell>
        </row>
        <row r="91">
          <cell r="B91" t="str">
            <v>VIBRATING FEEDER 2</v>
          </cell>
        </row>
        <row r="92">
          <cell r="B92" t="str">
            <v>Compressor For Instrument 1#1</v>
          </cell>
        </row>
        <row r="93">
          <cell r="B93" t="str">
            <v>Compressor For Instrument 2#1</v>
          </cell>
        </row>
        <row r="94">
          <cell r="B94" t="str">
            <v>Compressor For Instrument 3#1</v>
          </cell>
        </row>
        <row r="95">
          <cell r="B95" t="str">
            <v>Compressor For Ash Handling 1#1</v>
          </cell>
        </row>
        <row r="96">
          <cell r="B96" t="str">
            <v>Compressor For Ash Handling 2#1</v>
          </cell>
        </row>
        <row r="97">
          <cell r="B97" t="str">
            <v>Compressor For Ash Handling 3#1</v>
          </cell>
        </row>
        <row r="98">
          <cell r="B98" t="str">
            <v>Compressor For Service 1#1</v>
          </cell>
        </row>
        <row r="99">
          <cell r="B99" t="str">
            <v>Compressor For Service 2#1</v>
          </cell>
        </row>
        <row r="100">
          <cell r="B100" t="str">
            <v>Compressor For Service 3#1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00.%20FORM%20PENGUKURAN%20UNIT%203.xlsx" TargetMode="External"/><Relationship Id="rId21" Type="http://schemas.openxmlformats.org/officeDocument/2006/relationships/hyperlink" Target="00.%20FORM%20PENGUKURAN%20UNIT%203.xlsx" TargetMode="External"/><Relationship Id="rId42" Type="http://schemas.openxmlformats.org/officeDocument/2006/relationships/hyperlink" Target="00.%20FORM%20PENGUKURAN%20UNIT%201.xlsx" TargetMode="External"/><Relationship Id="rId47" Type="http://schemas.openxmlformats.org/officeDocument/2006/relationships/hyperlink" Target="00.%20FORM%20PENGUKURAN%20UNIT%201.xlsx" TargetMode="External"/><Relationship Id="rId63" Type="http://schemas.openxmlformats.org/officeDocument/2006/relationships/hyperlink" Target="00.%20FORM%20PENGUKURAN%20UNIT%201.xlsx" TargetMode="External"/><Relationship Id="rId68" Type="http://schemas.openxmlformats.org/officeDocument/2006/relationships/hyperlink" Target="00.%20FORM%20PENGUKURAN%20UNIT%201.xlsx" TargetMode="External"/><Relationship Id="rId84" Type="http://schemas.openxmlformats.org/officeDocument/2006/relationships/hyperlink" Target="00.%20FORM%20PENGUKURAN%20UNIT%201.xlsx" TargetMode="External"/><Relationship Id="rId16" Type="http://schemas.openxmlformats.org/officeDocument/2006/relationships/hyperlink" Target="00.%20FORM%20PENGUKURAN%20UNIT%203.xlsx" TargetMode="External"/><Relationship Id="rId11" Type="http://schemas.openxmlformats.org/officeDocument/2006/relationships/hyperlink" Target="00.%20FORM%20PENGUKURAN%20UNIT%20COMMON.xlsx" TargetMode="External"/><Relationship Id="rId32" Type="http://schemas.openxmlformats.org/officeDocument/2006/relationships/hyperlink" Target="00.%20FORM%20PENGUKURAN%20UNIT%203.xlsx" TargetMode="External"/><Relationship Id="rId37" Type="http://schemas.openxmlformats.org/officeDocument/2006/relationships/hyperlink" Target="00.%20FORM%20PENGUKURAN%20UNIT%201.xlsx" TargetMode="External"/><Relationship Id="rId53" Type="http://schemas.openxmlformats.org/officeDocument/2006/relationships/hyperlink" Target="00.%20FORM%20PENGUKURAN%20UNIT%201.xlsx" TargetMode="External"/><Relationship Id="rId58" Type="http://schemas.openxmlformats.org/officeDocument/2006/relationships/hyperlink" Target="00.%20FORM%20PENGUKURAN%20UNIT%203.xlsx" TargetMode="External"/><Relationship Id="rId74" Type="http://schemas.openxmlformats.org/officeDocument/2006/relationships/hyperlink" Target="00.%20FORM%20PENGUKURAN%20UNIT%201.xlsx" TargetMode="External"/><Relationship Id="rId79" Type="http://schemas.openxmlformats.org/officeDocument/2006/relationships/hyperlink" Target="00.%20FORM%20PENGUKURAN%20UNIT%201.xlsx" TargetMode="External"/><Relationship Id="rId5" Type="http://schemas.openxmlformats.org/officeDocument/2006/relationships/hyperlink" Target="00.%20FORM%20PENGUKURAN%20UNIT%20COMMON.xlsx" TargetMode="External"/><Relationship Id="rId19" Type="http://schemas.openxmlformats.org/officeDocument/2006/relationships/hyperlink" Target="00.%20FORM%20PENGUKURAN%20UNIT%203.xlsx" TargetMode="External"/><Relationship Id="rId14" Type="http://schemas.openxmlformats.org/officeDocument/2006/relationships/hyperlink" Target="00.%20FORM%20PENGUKURAN%20UNIT%20COMMON.xlsx" TargetMode="External"/><Relationship Id="rId22" Type="http://schemas.openxmlformats.org/officeDocument/2006/relationships/hyperlink" Target="00.%20FORM%20PENGUKURAN%20UNIT%203.xlsx" TargetMode="External"/><Relationship Id="rId27" Type="http://schemas.openxmlformats.org/officeDocument/2006/relationships/hyperlink" Target="00.%20FORM%20PENGUKURAN%20UNIT%203.xlsx" TargetMode="External"/><Relationship Id="rId30" Type="http://schemas.openxmlformats.org/officeDocument/2006/relationships/hyperlink" Target="00.%20FORM%20PENGUKURAN%20UNIT%203.xlsx" TargetMode="External"/><Relationship Id="rId35" Type="http://schemas.openxmlformats.org/officeDocument/2006/relationships/hyperlink" Target="00.%20FORM%20PENGUKURAN%20UNIT%201.xlsx" TargetMode="External"/><Relationship Id="rId43" Type="http://schemas.openxmlformats.org/officeDocument/2006/relationships/hyperlink" Target="00.%20FORM%20PENGUKURAN%20UNIT%201.xlsx" TargetMode="External"/><Relationship Id="rId48" Type="http://schemas.openxmlformats.org/officeDocument/2006/relationships/hyperlink" Target="00.%20FORM%20PENGUKURAN%20UNIT%201.xlsx" TargetMode="External"/><Relationship Id="rId56" Type="http://schemas.openxmlformats.org/officeDocument/2006/relationships/hyperlink" Target="00.%20FORM%20PENGUKURAN%20UNIT%203.xlsx" TargetMode="External"/><Relationship Id="rId64" Type="http://schemas.openxmlformats.org/officeDocument/2006/relationships/hyperlink" Target="00.%20FORM%20PENGUKURAN%20UNIT%201.xlsx" TargetMode="External"/><Relationship Id="rId69" Type="http://schemas.openxmlformats.org/officeDocument/2006/relationships/hyperlink" Target="00.%20FORM%20PENGUKURAN%20UNIT%201.xlsx" TargetMode="External"/><Relationship Id="rId77" Type="http://schemas.openxmlformats.org/officeDocument/2006/relationships/hyperlink" Target="00.%20FORM%20PENGUKURAN%20UNIT%201.xlsx" TargetMode="External"/><Relationship Id="rId8" Type="http://schemas.openxmlformats.org/officeDocument/2006/relationships/hyperlink" Target="00.%20FORM%20PENGUKURAN%20UNIT%20COMMON.xlsx" TargetMode="External"/><Relationship Id="rId51" Type="http://schemas.openxmlformats.org/officeDocument/2006/relationships/hyperlink" Target="00.%20FORM%20PENGUKURAN%20UNIT%201.xlsx" TargetMode="External"/><Relationship Id="rId72" Type="http://schemas.openxmlformats.org/officeDocument/2006/relationships/hyperlink" Target="00.%20FORM%20PENGUKURAN%20UNIT%201.xlsx" TargetMode="External"/><Relationship Id="rId80" Type="http://schemas.openxmlformats.org/officeDocument/2006/relationships/hyperlink" Target="00.%20FORM%20PENGUKURAN%20UNIT%201.xlsx" TargetMode="External"/><Relationship Id="rId85" Type="http://schemas.openxmlformats.org/officeDocument/2006/relationships/printerSettings" Target="../printerSettings/printerSettings3.bin"/><Relationship Id="rId3" Type="http://schemas.openxmlformats.org/officeDocument/2006/relationships/hyperlink" Target="00.%20FORM%20PENGUKURAN%20UNIT%20COMMON.xlsx" TargetMode="External"/><Relationship Id="rId12" Type="http://schemas.openxmlformats.org/officeDocument/2006/relationships/hyperlink" Target="00.%20FORM%20PENGUKURAN%20UNIT%20COMMON.xlsx" TargetMode="External"/><Relationship Id="rId17" Type="http://schemas.openxmlformats.org/officeDocument/2006/relationships/hyperlink" Target="00.%20FORM%20PENGUKURAN%20UNIT%203.xlsx" TargetMode="External"/><Relationship Id="rId25" Type="http://schemas.openxmlformats.org/officeDocument/2006/relationships/hyperlink" Target="00.%20FORM%20PENGUKURAN%20UNIT%203.xlsx" TargetMode="External"/><Relationship Id="rId33" Type="http://schemas.openxmlformats.org/officeDocument/2006/relationships/hyperlink" Target="00.%20FORM%20PENGUKURAN%20UNIT%203.xlsx" TargetMode="External"/><Relationship Id="rId38" Type="http://schemas.openxmlformats.org/officeDocument/2006/relationships/hyperlink" Target="00.%20FORM%20PENGUKURAN%20UNIT%201.xlsx" TargetMode="External"/><Relationship Id="rId46" Type="http://schemas.openxmlformats.org/officeDocument/2006/relationships/hyperlink" Target="00.%20FORM%20PENGUKURAN%20UNIT%201.xlsx" TargetMode="External"/><Relationship Id="rId59" Type="http://schemas.openxmlformats.org/officeDocument/2006/relationships/hyperlink" Target="00.%20FORM%20PENGUKURAN%20UNIT%201.xlsx" TargetMode="External"/><Relationship Id="rId67" Type="http://schemas.openxmlformats.org/officeDocument/2006/relationships/hyperlink" Target="00.%20FORM%20PENGUKURAN%20UNIT%201.xlsx" TargetMode="External"/><Relationship Id="rId20" Type="http://schemas.openxmlformats.org/officeDocument/2006/relationships/hyperlink" Target="00.%20FORM%20PENGUKURAN%20UNIT%203.xlsx" TargetMode="External"/><Relationship Id="rId41" Type="http://schemas.openxmlformats.org/officeDocument/2006/relationships/hyperlink" Target="00.%20FORM%20PENGUKURAN%20UNIT%201.xlsx" TargetMode="External"/><Relationship Id="rId54" Type="http://schemas.openxmlformats.org/officeDocument/2006/relationships/hyperlink" Target="00.%20FORM%20PENGUKURAN%20UNIT%201.xlsx" TargetMode="External"/><Relationship Id="rId62" Type="http://schemas.openxmlformats.org/officeDocument/2006/relationships/hyperlink" Target="00.%20FORM%20PENGUKURAN%20UNIT%201.xlsx" TargetMode="External"/><Relationship Id="rId70" Type="http://schemas.openxmlformats.org/officeDocument/2006/relationships/hyperlink" Target="00.%20FORM%20PENGUKURAN%20UNIT%201.xlsx" TargetMode="External"/><Relationship Id="rId75" Type="http://schemas.openxmlformats.org/officeDocument/2006/relationships/hyperlink" Target="00.%20FORM%20PENGUKURAN%20UNIT%201.xlsx" TargetMode="External"/><Relationship Id="rId83" Type="http://schemas.openxmlformats.org/officeDocument/2006/relationships/hyperlink" Target="00.%20FORM%20PENGUKURAN%20UNIT%201.xlsx" TargetMode="External"/><Relationship Id="rId1" Type="http://schemas.openxmlformats.org/officeDocument/2006/relationships/hyperlink" Target="00.%20FORM%20PENGUKURAN%20UNIT%20COMMON.xlsx" TargetMode="External"/><Relationship Id="rId6" Type="http://schemas.openxmlformats.org/officeDocument/2006/relationships/hyperlink" Target="00.%20FORM%20PENGUKURAN%20UNIT%20COMMON.xlsx" TargetMode="External"/><Relationship Id="rId15" Type="http://schemas.openxmlformats.org/officeDocument/2006/relationships/hyperlink" Target="00.%20FORM%20PENGUKURAN%20UNIT%203.xlsx" TargetMode="External"/><Relationship Id="rId23" Type="http://schemas.openxmlformats.org/officeDocument/2006/relationships/hyperlink" Target="00.%20FORM%20PENGUKURAN%20UNIT%203.xlsx" TargetMode="External"/><Relationship Id="rId28" Type="http://schemas.openxmlformats.org/officeDocument/2006/relationships/hyperlink" Target="00.%20FORM%20PENGUKURAN%20UNIT%203.xlsx" TargetMode="External"/><Relationship Id="rId36" Type="http://schemas.openxmlformats.org/officeDocument/2006/relationships/hyperlink" Target="00.%20FORM%20PENGUKURAN%20UNIT%201.xlsx" TargetMode="External"/><Relationship Id="rId49" Type="http://schemas.openxmlformats.org/officeDocument/2006/relationships/hyperlink" Target="00.%20FORM%20PENGUKURAN%20UNIT%201.xlsx" TargetMode="External"/><Relationship Id="rId57" Type="http://schemas.openxmlformats.org/officeDocument/2006/relationships/hyperlink" Target="00.%20FORM%20PENGUKURAN%20UNIT%203.xlsx" TargetMode="External"/><Relationship Id="rId10" Type="http://schemas.openxmlformats.org/officeDocument/2006/relationships/hyperlink" Target="00.%20FORM%20PENGUKURAN%20UNIT%20COMMON.xlsx" TargetMode="External"/><Relationship Id="rId31" Type="http://schemas.openxmlformats.org/officeDocument/2006/relationships/hyperlink" Target="00.%20FORM%20PENGUKURAN%20UNIT%203.xlsx" TargetMode="External"/><Relationship Id="rId44" Type="http://schemas.openxmlformats.org/officeDocument/2006/relationships/hyperlink" Target="00.%20FORM%20PENGUKURAN%20UNIT%201.xlsx" TargetMode="External"/><Relationship Id="rId52" Type="http://schemas.openxmlformats.org/officeDocument/2006/relationships/hyperlink" Target="00.%20FORM%20PENGUKURAN%20UNIT%201.xlsx" TargetMode="External"/><Relationship Id="rId60" Type="http://schemas.openxmlformats.org/officeDocument/2006/relationships/hyperlink" Target="00.%20FORM%20PENGUKURAN%20UNIT%201.xlsx" TargetMode="External"/><Relationship Id="rId65" Type="http://schemas.openxmlformats.org/officeDocument/2006/relationships/hyperlink" Target="00.%20FORM%20PENGUKURAN%20UNIT%201.xlsx" TargetMode="External"/><Relationship Id="rId73" Type="http://schemas.openxmlformats.org/officeDocument/2006/relationships/hyperlink" Target="00.%20FORM%20PENGUKURAN%20UNIT%201.xlsx" TargetMode="External"/><Relationship Id="rId78" Type="http://schemas.openxmlformats.org/officeDocument/2006/relationships/hyperlink" Target="00.%20FORM%20PENGUKURAN%20UNIT%201.xlsx" TargetMode="External"/><Relationship Id="rId81" Type="http://schemas.openxmlformats.org/officeDocument/2006/relationships/hyperlink" Target="00.%20FORM%20PENGUKURAN%20UNIT%201.xlsx" TargetMode="External"/><Relationship Id="rId86" Type="http://schemas.openxmlformats.org/officeDocument/2006/relationships/drawing" Target="../drawings/drawing3.xml"/><Relationship Id="rId4" Type="http://schemas.openxmlformats.org/officeDocument/2006/relationships/hyperlink" Target="00.%20FORM%20PENGUKURAN%20UNIT%20COMMON.xlsx" TargetMode="External"/><Relationship Id="rId9" Type="http://schemas.openxmlformats.org/officeDocument/2006/relationships/hyperlink" Target="00.%20FORM%20PENGUKURAN%20UNIT%20COMMON.xlsx" TargetMode="External"/><Relationship Id="rId13" Type="http://schemas.openxmlformats.org/officeDocument/2006/relationships/hyperlink" Target="00.%20FORM%20PENGUKURAN%20UNIT%20COMMON.xlsx" TargetMode="External"/><Relationship Id="rId18" Type="http://schemas.openxmlformats.org/officeDocument/2006/relationships/hyperlink" Target="00.%20FORM%20PENGUKURAN%20UNIT%203.xlsx" TargetMode="External"/><Relationship Id="rId39" Type="http://schemas.openxmlformats.org/officeDocument/2006/relationships/hyperlink" Target="00.%20FORM%20PENGUKURAN%20UNIT%201.xlsx" TargetMode="External"/><Relationship Id="rId34" Type="http://schemas.openxmlformats.org/officeDocument/2006/relationships/hyperlink" Target="00.%20FORM%20PENGUKURAN%20UNIT%203.xlsx" TargetMode="External"/><Relationship Id="rId50" Type="http://schemas.openxmlformats.org/officeDocument/2006/relationships/hyperlink" Target="00.%20FORM%20PENGUKURAN%20UNIT%201.xlsx" TargetMode="External"/><Relationship Id="rId55" Type="http://schemas.openxmlformats.org/officeDocument/2006/relationships/hyperlink" Target="00.%20FORM%20PENGUKURAN%20UNIT%203.xlsx" TargetMode="External"/><Relationship Id="rId76" Type="http://schemas.openxmlformats.org/officeDocument/2006/relationships/hyperlink" Target="00.%20FORM%20PENGUKURAN%20UNIT%201.xlsx" TargetMode="External"/><Relationship Id="rId7" Type="http://schemas.openxmlformats.org/officeDocument/2006/relationships/hyperlink" Target="00.%20FORM%20PENGUKURAN%20UNIT%20COMMON.xlsx" TargetMode="External"/><Relationship Id="rId71" Type="http://schemas.openxmlformats.org/officeDocument/2006/relationships/hyperlink" Target="00.%20FORM%20PENGUKURAN%20UNIT%201.xlsx" TargetMode="External"/><Relationship Id="rId2" Type="http://schemas.openxmlformats.org/officeDocument/2006/relationships/hyperlink" Target="00.%20FORM%20PENGUKURAN%20UNIT%20COMMON.xlsx" TargetMode="External"/><Relationship Id="rId29" Type="http://schemas.openxmlformats.org/officeDocument/2006/relationships/hyperlink" Target="00.%20FORM%20PENGUKURAN%20UNIT%203.xlsx" TargetMode="External"/><Relationship Id="rId24" Type="http://schemas.openxmlformats.org/officeDocument/2006/relationships/hyperlink" Target="00.%20FORM%20PENGUKURAN%20UNIT%203.xlsx" TargetMode="External"/><Relationship Id="rId40" Type="http://schemas.openxmlformats.org/officeDocument/2006/relationships/hyperlink" Target="00.%20FORM%20PENGUKURAN%20UNIT%201.xlsx" TargetMode="External"/><Relationship Id="rId45" Type="http://schemas.openxmlformats.org/officeDocument/2006/relationships/hyperlink" Target="00.%20FORM%20PENGUKURAN%20UNIT%201.xlsx" TargetMode="External"/><Relationship Id="rId66" Type="http://schemas.openxmlformats.org/officeDocument/2006/relationships/hyperlink" Target="00.%20FORM%20PENGUKURAN%20UNIT%201.xlsx" TargetMode="External"/><Relationship Id="rId61" Type="http://schemas.openxmlformats.org/officeDocument/2006/relationships/hyperlink" Target="00.%20FORM%20PENGUKURAN%20UNIT%201.xlsx" TargetMode="External"/><Relationship Id="rId82" Type="http://schemas.openxmlformats.org/officeDocument/2006/relationships/hyperlink" Target="00.%20FORM%20PENGUKURAN%20UNIT%20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27"/>
  <sheetViews>
    <sheetView view="pageBreakPreview" zoomScale="55" zoomScaleNormal="70" zoomScaleSheetLayoutView="55" workbookViewId="0">
      <selection activeCell="K27" sqref="K27"/>
    </sheetView>
  </sheetViews>
  <sheetFormatPr defaultColWidth="9.1796875" defaultRowHeight="14" x14ac:dyDescent="0.35"/>
  <cols>
    <col min="1" max="22" width="10.7265625" style="20" customWidth="1"/>
    <col min="23" max="16384" width="9.1796875" style="20"/>
  </cols>
  <sheetData>
    <row r="1" spans="1:35" s="10" customFormat="1" ht="20.149999999999999" customHeight="1" x14ac:dyDescent="0.35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7" t="s">
        <v>1</v>
      </c>
      <c r="U1" s="8" t="s">
        <v>2</v>
      </c>
      <c r="V1" s="9"/>
    </row>
    <row r="2" spans="1:35" s="10" customFormat="1" ht="20.149999999999999" customHeight="1" x14ac:dyDescent="0.35">
      <c r="A2" s="11"/>
      <c r="B2" s="12"/>
      <c r="C2" s="13"/>
      <c r="D2" s="4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7" t="s">
        <v>4</v>
      </c>
      <c r="U2" s="8" t="s">
        <v>5</v>
      </c>
      <c r="V2" s="9"/>
    </row>
    <row r="3" spans="1:35" s="10" customFormat="1" ht="20.149999999999999" customHeight="1" x14ac:dyDescent="0.35">
      <c r="A3" s="11"/>
      <c r="B3" s="12"/>
      <c r="C3" s="13"/>
      <c r="D3" s="4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7" t="s">
        <v>7</v>
      </c>
      <c r="U3" s="8" t="s">
        <v>8</v>
      </c>
      <c r="V3" s="9"/>
    </row>
    <row r="4" spans="1:35" s="10" customFormat="1" ht="20.149999999999999" customHeight="1" x14ac:dyDescent="0.35">
      <c r="A4" s="14"/>
      <c r="B4" s="15"/>
      <c r="C4" s="16"/>
      <c r="D4" s="4" t="s">
        <v>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  <c r="T4" s="7" t="s">
        <v>10</v>
      </c>
      <c r="U4" s="8" t="s">
        <v>11</v>
      </c>
      <c r="V4" s="9"/>
    </row>
    <row r="5" spans="1:35" s="10" customFormat="1" ht="35.15" customHeight="1" x14ac:dyDescent="0.35">
      <c r="A5" s="17" t="s">
        <v>12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9"/>
    </row>
    <row r="6" spans="1:35" ht="14.5" thickBot="1" x14ac:dyDescent="0.4"/>
    <row r="7" spans="1:35" ht="30" customHeight="1" thickBot="1" x14ac:dyDescent="0.4">
      <c r="B7" s="21" t="s">
        <v>13</v>
      </c>
      <c r="C7" s="22"/>
      <c r="D7" s="23" t="s">
        <v>14</v>
      </c>
      <c r="E7" s="24"/>
      <c r="F7" s="24"/>
      <c r="G7" s="24"/>
      <c r="H7" s="25"/>
      <c r="I7" s="26"/>
      <c r="J7" s="26"/>
      <c r="K7" s="26"/>
      <c r="L7" s="26"/>
    </row>
    <row r="8" spans="1:35" ht="30" customHeight="1" thickBot="1" x14ac:dyDescent="0.4">
      <c r="B8" s="21"/>
      <c r="C8" s="22"/>
      <c r="D8" s="27" t="s">
        <v>15</v>
      </c>
      <c r="E8" s="28" t="s">
        <v>16</v>
      </c>
      <c r="F8" s="28" t="s">
        <v>17</v>
      </c>
      <c r="G8" s="29" t="s">
        <v>18</v>
      </c>
      <c r="H8" s="30" t="s">
        <v>19</v>
      </c>
      <c r="J8" s="20" t="s">
        <v>20</v>
      </c>
    </row>
    <row r="9" spans="1:35" ht="30" customHeight="1" thickBot="1" x14ac:dyDescent="0.4">
      <c r="B9" s="21" t="s">
        <v>21</v>
      </c>
      <c r="C9" s="22"/>
      <c r="D9" s="31">
        <f>COUNTIF(SUMMARY!$X$10:$X$35,"NORMAL")</f>
        <v>10</v>
      </c>
      <c r="E9" s="32">
        <f>COUNTIF(SUMMARY!$X$10:$X$35,"PREWARNING")</f>
        <v>13</v>
      </c>
      <c r="F9" s="33">
        <f>COUNTIF(SUMMARY!$X$10:$X$35,"WARNING")</f>
        <v>0</v>
      </c>
      <c r="G9" s="34">
        <f>COUNTIF(SUMMARY!$X$10:$X$35,"ALARM")</f>
        <v>1</v>
      </c>
      <c r="H9" s="35">
        <f>COUNTIF(SUMMARY!$X$10:$X$35,"STAND BY")</f>
        <v>2</v>
      </c>
      <c r="J9" s="36" t="s">
        <v>22</v>
      </c>
      <c r="K9" s="37" t="s">
        <v>23</v>
      </c>
      <c r="L9" s="38"/>
      <c r="M9" s="38"/>
      <c r="N9" s="38"/>
      <c r="O9" s="38"/>
      <c r="P9" s="38"/>
      <c r="Q9" s="38"/>
      <c r="R9" s="38"/>
      <c r="S9" s="38"/>
      <c r="T9" s="38"/>
      <c r="U9" s="38"/>
    </row>
    <row r="10" spans="1:35" ht="30" customHeight="1" thickBot="1" x14ac:dyDescent="0.4">
      <c r="B10" s="21" t="s">
        <v>24</v>
      </c>
      <c r="C10" s="22"/>
      <c r="D10" s="31">
        <f>COUNTIF(SUMMARY!$X$37:$X$54,"NORMAL")</f>
        <v>6</v>
      </c>
      <c r="E10" s="32">
        <f>COUNTIF(SUMMARY!$X$37:$X$54,"PREWARNING")</f>
        <v>8</v>
      </c>
      <c r="F10" s="33">
        <f>COUNTIF(SUMMARY!$X$37:$X$54,"WARNING")</f>
        <v>0</v>
      </c>
      <c r="G10" s="34">
        <f>COUNTIF(SUMMARY!$X$37:$X$54,"ALARM")</f>
        <v>0</v>
      </c>
      <c r="H10" s="35">
        <f>COUNTIF(SUMMARY!$X$37:$X$54,"STAND BY")</f>
        <v>4</v>
      </c>
      <c r="J10" s="39" t="s">
        <v>25</v>
      </c>
      <c r="K10" s="40" t="s">
        <v>26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</row>
    <row r="11" spans="1:35" ht="30" customHeight="1" thickBot="1" x14ac:dyDescent="0.4">
      <c r="B11" s="21" t="s">
        <v>27</v>
      </c>
      <c r="C11" s="22"/>
      <c r="D11" s="31">
        <f>COUNTIF(SUMMARY!$X$58:$X$79,"NORMAL")</f>
        <v>7</v>
      </c>
      <c r="E11" s="42">
        <f>COUNTIF(SUMMARY!$X$58:$X$79,"PREWARNING")</f>
        <v>9</v>
      </c>
      <c r="F11" s="43">
        <f>COUNTIF(SUMMARY!$X$58:$X$79,"WARNING")</f>
        <v>0</v>
      </c>
      <c r="G11" s="44">
        <f>COUNTIF(SUMMARY!$X$58:$X$79,"ALARM")</f>
        <v>0</v>
      </c>
      <c r="H11" s="45">
        <f>COUNTIF(SUMMARY!$X$58:$X$79,"STAND BY")</f>
        <v>6</v>
      </c>
      <c r="J11" s="46" t="s">
        <v>28</v>
      </c>
      <c r="K11" s="40" t="s">
        <v>29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</row>
    <row r="12" spans="1:35" ht="30" customHeight="1" thickBot="1" x14ac:dyDescent="0.4">
      <c r="B12" s="21" t="s">
        <v>30</v>
      </c>
      <c r="C12" s="22"/>
      <c r="D12" s="31">
        <f>COUNTIF(SUMMARY!$X$90:$X$103,"NORMAL")</f>
        <v>1</v>
      </c>
      <c r="E12" s="32">
        <f>COUNTIF(SUMMARY!$X$90:$X$103,"PREWARNING")</f>
        <v>11</v>
      </c>
      <c r="F12" s="33">
        <f>COUNTIF(SUMMARY!$X$90:$X$103,"WARNING")</f>
        <v>1</v>
      </c>
      <c r="G12" s="34">
        <f>COUNTIF(SUMMARY!$X$90:$X$103,"ALARM")</f>
        <v>1</v>
      </c>
      <c r="H12" s="35">
        <f>COUNTIF(SUMMARY!$X$90:$X$103,"STAND BY")</f>
        <v>0</v>
      </c>
      <c r="J12" s="47" t="s">
        <v>31</v>
      </c>
      <c r="K12" s="40" t="s">
        <v>32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X12" s="20" t="s">
        <v>20</v>
      </c>
    </row>
    <row r="13" spans="1:35" ht="30" customHeight="1" thickBot="1" x14ac:dyDescent="0.4">
      <c r="B13" s="48" t="s">
        <v>33</v>
      </c>
      <c r="C13" s="49"/>
      <c r="D13" s="50">
        <f>SUM(D9:D12)</f>
        <v>24</v>
      </c>
      <c r="E13" s="51">
        <f>SUM(E9:E12)</f>
        <v>41</v>
      </c>
      <c r="F13" s="52">
        <f>SUM(F9:F12)</f>
        <v>1</v>
      </c>
      <c r="G13" s="53">
        <f>SUM(G9:G12)</f>
        <v>2</v>
      </c>
      <c r="H13" s="54">
        <f>SUM(H9:H12)</f>
        <v>12</v>
      </c>
      <c r="J13" s="55" t="s">
        <v>34</v>
      </c>
      <c r="K13" s="37" t="s">
        <v>35</v>
      </c>
      <c r="L13" s="38"/>
      <c r="M13" s="38"/>
      <c r="N13" s="38"/>
      <c r="O13" s="38"/>
      <c r="P13" s="38"/>
      <c r="Q13" s="38"/>
      <c r="R13" s="38"/>
      <c r="S13" s="38"/>
      <c r="T13" s="38"/>
      <c r="U13" s="38"/>
      <c r="X13" s="36" t="s">
        <v>22</v>
      </c>
      <c r="Y13" s="37" t="s">
        <v>23</v>
      </c>
      <c r="Z13" s="38"/>
      <c r="AA13" s="38"/>
      <c r="AB13" s="38"/>
      <c r="AC13" s="38"/>
      <c r="AD13" s="38"/>
      <c r="AE13" s="38"/>
      <c r="AF13" s="38"/>
      <c r="AG13" s="38"/>
      <c r="AH13" s="38"/>
      <c r="AI13" s="38"/>
    </row>
    <row r="14" spans="1:35" ht="30" customHeight="1" thickBot="1" x14ac:dyDescent="0.4">
      <c r="B14" s="21" t="s">
        <v>36</v>
      </c>
      <c r="C14" s="22"/>
      <c r="D14" s="56">
        <f>(D13/SUM(D13:H13))</f>
        <v>0.3</v>
      </c>
      <c r="E14" s="57">
        <f>(E13/SUM(D13:H13))</f>
        <v>0.51249999999999996</v>
      </c>
      <c r="F14" s="58">
        <f>(F13/SUM(D13:H13))</f>
        <v>1.2500000000000001E-2</v>
      </c>
      <c r="G14" s="59">
        <f>(G13/SUM(D13:H13))</f>
        <v>2.5000000000000001E-2</v>
      </c>
      <c r="H14" s="60">
        <f>(H13/SUM(D13:H13))</f>
        <v>0.15</v>
      </c>
      <c r="X14" s="39" t="s">
        <v>25</v>
      </c>
      <c r="Y14" s="40" t="s">
        <v>26</v>
      </c>
      <c r="Z14" s="41"/>
      <c r="AA14" s="41"/>
      <c r="AB14" s="41"/>
      <c r="AC14" s="41"/>
      <c r="AD14" s="41"/>
      <c r="AE14" s="41"/>
      <c r="AF14" s="41"/>
      <c r="AG14" s="41"/>
      <c r="AH14" s="41"/>
      <c r="AI14" s="41"/>
    </row>
    <row r="15" spans="1:35" ht="16.5" customHeight="1" thickBot="1" x14ac:dyDescent="0.4">
      <c r="X15" s="46" t="s">
        <v>28</v>
      </c>
      <c r="Y15" s="40" t="s">
        <v>29</v>
      </c>
      <c r="Z15" s="41"/>
      <c r="AA15" s="41"/>
      <c r="AB15" s="41"/>
      <c r="AC15" s="41"/>
      <c r="AD15" s="41"/>
      <c r="AE15" s="41"/>
      <c r="AF15" s="41"/>
      <c r="AG15" s="41"/>
      <c r="AH15" s="41"/>
      <c r="AI15" s="41"/>
    </row>
    <row r="16" spans="1:35" ht="14.5" thickBot="1" x14ac:dyDescent="0.4">
      <c r="A16" s="61"/>
      <c r="B16" s="61"/>
      <c r="C16" s="61" t="e">
        <f>SUM(#REF!)</f>
        <v>#REF!</v>
      </c>
      <c r="D16" s="61"/>
      <c r="E16" s="61"/>
      <c r="F16" s="62"/>
      <c r="G16" s="62"/>
      <c r="H16" s="62"/>
      <c r="I16" s="62"/>
      <c r="J16" s="62"/>
      <c r="K16" s="62"/>
      <c r="L16" s="62"/>
      <c r="X16" s="47" t="s">
        <v>31</v>
      </c>
      <c r="Y16" s="40" t="s">
        <v>32</v>
      </c>
      <c r="Z16" s="41"/>
      <c r="AA16" s="41"/>
      <c r="AB16" s="41"/>
      <c r="AC16" s="41"/>
      <c r="AD16" s="41"/>
      <c r="AE16" s="41"/>
      <c r="AF16" s="41"/>
      <c r="AG16" s="41"/>
      <c r="AH16" s="41"/>
      <c r="AI16" s="41"/>
    </row>
    <row r="17" spans="1:35" ht="14.5" thickBot="1" x14ac:dyDescent="0.4">
      <c r="A17" s="61"/>
      <c r="B17" s="61"/>
      <c r="C17" s="61"/>
      <c r="D17" s="61"/>
      <c r="E17" s="61"/>
      <c r="F17" s="62"/>
      <c r="G17" s="62"/>
      <c r="H17" s="62"/>
      <c r="I17" s="62"/>
      <c r="J17" s="62"/>
      <c r="K17" s="62"/>
      <c r="L17" s="62"/>
      <c r="X17" s="55" t="s">
        <v>34</v>
      </c>
      <c r="Y17" s="37" t="s">
        <v>35</v>
      </c>
      <c r="Z17" s="38"/>
      <c r="AA17" s="38"/>
      <c r="AB17" s="38"/>
      <c r="AC17" s="38"/>
      <c r="AD17" s="38"/>
      <c r="AE17" s="38"/>
      <c r="AF17" s="38"/>
      <c r="AG17" s="38"/>
      <c r="AH17" s="38"/>
      <c r="AI17" s="38"/>
    </row>
    <row r="18" spans="1:35" x14ac:dyDescent="0.35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</row>
    <row r="19" spans="1:35" x14ac:dyDescent="0.35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</row>
    <row r="20" spans="1:35" x14ac:dyDescent="0.35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</row>
    <row r="21" spans="1:35" x14ac:dyDescent="0.35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</row>
    <row r="22" spans="1:35" x14ac:dyDescent="0.35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</row>
    <row r="23" spans="1:35" x14ac:dyDescent="0.35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</row>
    <row r="24" spans="1:35" x14ac:dyDescent="0.35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</row>
    <row r="25" spans="1:35" x14ac:dyDescent="0.35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</row>
    <row r="26" spans="1:35" x14ac:dyDescent="0.35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</row>
    <row r="27" spans="1:35" x14ac:dyDescent="0.35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</row>
  </sheetData>
  <mergeCells count="24">
    <mergeCell ref="Y13:AI13"/>
    <mergeCell ref="B14:C14"/>
    <mergeCell ref="Y14:AI14"/>
    <mergeCell ref="Y15:AI15"/>
    <mergeCell ref="Y16:AI16"/>
    <mergeCell ref="Y17:AI17"/>
    <mergeCell ref="B11:C11"/>
    <mergeCell ref="K11:U11"/>
    <mergeCell ref="B12:C12"/>
    <mergeCell ref="K12:U12"/>
    <mergeCell ref="B13:C13"/>
    <mergeCell ref="K13:U13"/>
    <mergeCell ref="B7:C8"/>
    <mergeCell ref="D7:H7"/>
    <mergeCell ref="B9:C9"/>
    <mergeCell ref="K9:U9"/>
    <mergeCell ref="B10:C10"/>
    <mergeCell ref="K10:U10"/>
    <mergeCell ref="A1:C4"/>
    <mergeCell ref="D1:S1"/>
    <mergeCell ref="D2:S2"/>
    <mergeCell ref="D3:S3"/>
    <mergeCell ref="D4:S4"/>
    <mergeCell ref="A5:V5"/>
  </mergeCells>
  <printOptions horizontalCentered="1" verticalCentered="1"/>
  <pageMargins left="0.25" right="0.25" top="0.75" bottom="0.75" header="0.3" footer="0.3"/>
  <pageSetup paperSize="9" scale="39" orientation="landscape" r:id="rId1"/>
  <headerFooter>
    <oddFooter>&amp;L&amp;"-,Bold"&amp;K00-046PT. PLN Indonesia Power UBP PLTU Jeranjang 
Jl. Raya PLTU Jeranjang, Desa Taman Ayu – Kec. Gerung
Lombok Barat – Mataram - NTB&amp;R&amp;N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JB143"/>
  <sheetViews>
    <sheetView view="pageBreakPreview" topLeftCell="B5" zoomScale="55" zoomScaleNormal="100" zoomScaleSheetLayoutView="55" workbookViewId="0">
      <pane xSplit="3" ySplit="4" topLeftCell="E33" activePane="bottomRight" state="frozen"/>
      <selection activeCell="K27" sqref="K27"/>
      <selection pane="topRight" activeCell="K27" sqref="K27"/>
      <selection pane="bottomLeft" activeCell="K27" sqref="K27"/>
      <selection pane="bottomRight" activeCell="E6" sqref="E1:V1048576"/>
    </sheetView>
  </sheetViews>
  <sheetFormatPr defaultColWidth="9.1796875" defaultRowHeight="13" x14ac:dyDescent="0.3"/>
  <cols>
    <col min="1" max="1" width="2" style="67" customWidth="1"/>
    <col min="2" max="2" width="4.26953125" style="67" bestFit="1" customWidth="1"/>
    <col min="3" max="3" width="26.7265625" style="67" customWidth="1"/>
    <col min="4" max="4" width="9.1796875" style="67" customWidth="1"/>
    <col min="5" max="5" width="8.08984375" style="116" bestFit="1" customWidth="1"/>
    <col min="6" max="22" width="5.7265625" style="116" customWidth="1"/>
    <col min="23" max="23" width="5.7265625" style="68" customWidth="1"/>
    <col min="24" max="24" width="15.453125" style="68" bestFit="1" customWidth="1"/>
    <col min="25" max="25" width="1.7265625" style="67" customWidth="1"/>
    <col min="26" max="26" width="9.1796875" style="67"/>
    <col min="27" max="29" width="9.1796875" style="68"/>
    <col min="30" max="30" width="10.81640625" style="68" bestFit="1" customWidth="1"/>
    <col min="31" max="16384" width="9.1796875" style="67"/>
  </cols>
  <sheetData>
    <row r="1" spans="1:262" ht="14" x14ac:dyDescent="0.3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63" t="s">
        <v>1</v>
      </c>
      <c r="U1" s="63"/>
      <c r="V1" s="64"/>
      <c r="W1" s="65" t="s">
        <v>2</v>
      </c>
      <c r="X1" s="65"/>
      <c r="Y1" s="66"/>
    </row>
    <row r="2" spans="1:262" ht="14" x14ac:dyDescent="0.3">
      <c r="A2" s="11"/>
      <c r="B2" s="12"/>
      <c r="C2" s="13"/>
      <c r="D2" s="4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63" t="s">
        <v>4</v>
      </c>
      <c r="U2" s="63"/>
      <c r="V2" s="64"/>
      <c r="W2" s="65" t="s">
        <v>5</v>
      </c>
      <c r="X2" s="65"/>
      <c r="Y2" s="66"/>
    </row>
    <row r="3" spans="1:262" ht="14" x14ac:dyDescent="0.3">
      <c r="A3" s="11"/>
      <c r="B3" s="12"/>
      <c r="C3" s="13"/>
      <c r="D3" s="4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63" t="s">
        <v>7</v>
      </c>
      <c r="U3" s="63"/>
      <c r="V3" s="64"/>
      <c r="W3" s="65" t="s">
        <v>8</v>
      </c>
      <c r="X3" s="65"/>
      <c r="Y3" s="66"/>
    </row>
    <row r="4" spans="1:262" ht="14" x14ac:dyDescent="0.3">
      <c r="A4" s="14"/>
      <c r="B4" s="15"/>
      <c r="C4" s="16"/>
      <c r="D4" s="4" t="s">
        <v>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  <c r="T4" s="63" t="s">
        <v>10</v>
      </c>
      <c r="U4" s="63"/>
      <c r="V4" s="64"/>
      <c r="W4" s="65" t="s">
        <v>11</v>
      </c>
      <c r="X4" s="65"/>
      <c r="Y4" s="66"/>
      <c r="AA4" s="68" t="s">
        <v>37</v>
      </c>
      <c r="AC4" s="68" t="s">
        <v>38</v>
      </c>
    </row>
    <row r="5" spans="1:262" ht="35.15" customHeight="1" thickBot="1" x14ac:dyDescent="0.35">
      <c r="A5" s="69" t="s">
        <v>12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262" ht="13.5" customHeight="1" thickBot="1" x14ac:dyDescent="0.35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2"/>
      <c r="AA6" s="73">
        <v>7</v>
      </c>
      <c r="AC6" s="74">
        <v>1</v>
      </c>
      <c r="AD6" s="74" t="s">
        <v>39</v>
      </c>
    </row>
    <row r="7" spans="1:262" ht="15.75" customHeight="1" x14ac:dyDescent="0.3">
      <c r="A7" s="75"/>
      <c r="B7" s="76" t="s">
        <v>40</v>
      </c>
      <c r="C7" s="76" t="s">
        <v>41</v>
      </c>
      <c r="D7" s="76" t="s">
        <v>42</v>
      </c>
      <c r="E7" s="76" t="s">
        <v>43</v>
      </c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 t="s">
        <v>44</v>
      </c>
      <c r="X7" s="77" t="s">
        <v>45</v>
      </c>
      <c r="Y7" s="72"/>
      <c r="AA7" s="78">
        <v>1</v>
      </c>
      <c r="AB7" s="78">
        <v>0.66</v>
      </c>
      <c r="AC7" s="78">
        <v>0.48</v>
      </c>
      <c r="AD7" s="78">
        <v>0.53</v>
      </c>
      <c r="AE7" s="78">
        <v>0.77</v>
      </c>
      <c r="AF7" s="78">
        <v>0.62</v>
      </c>
      <c r="AG7" s="78">
        <v>0.37</v>
      </c>
      <c r="AH7" s="78">
        <v>0.84</v>
      </c>
      <c r="AI7" s="78">
        <v>0.3</v>
      </c>
      <c r="AJ7" s="78">
        <v>0.37</v>
      </c>
      <c r="AK7" s="78">
        <v>0.82</v>
      </c>
      <c r="AL7" s="78">
        <v>0.42</v>
      </c>
      <c r="AM7" s="78">
        <f t="shared" ref="AM7" si="0">MAX(AA7:AL7)</f>
        <v>1</v>
      </c>
      <c r="AN7" s="79" t="str">
        <f t="shared" ref="AN7" si="1">IF(AM7=0,"S/B",IF(AM7&lt;2.4,"NORMAL",IF(AM7&lt;4.6,"PREWARNING",IF(AM7&lt;7.2,"WARNING","ALARM"))))</f>
        <v>NORMAL</v>
      </c>
      <c r="AO7" s="78">
        <v>0.54</v>
      </c>
      <c r="AP7" s="78">
        <v>0.54</v>
      </c>
      <c r="AQ7" s="78">
        <v>0.69</v>
      </c>
      <c r="AR7" s="78">
        <v>0.72</v>
      </c>
      <c r="AS7" s="78">
        <v>1.1499999999999999</v>
      </c>
      <c r="AT7" s="78">
        <v>0.95</v>
      </c>
      <c r="AU7" s="78">
        <v>0.42</v>
      </c>
      <c r="AV7" s="78">
        <v>0.66</v>
      </c>
      <c r="AW7" s="78">
        <v>0.5</v>
      </c>
      <c r="AX7" s="78">
        <v>0.66</v>
      </c>
      <c r="AY7" s="78">
        <v>0.74</v>
      </c>
      <c r="AZ7" s="78">
        <v>0.57999999999999996</v>
      </c>
      <c r="BA7" s="78">
        <f t="shared" ref="BA7" si="2">MAX(AO7:AZ7)</f>
        <v>1.1499999999999999</v>
      </c>
      <c r="BB7" s="80" t="str">
        <f t="shared" ref="BB7" si="3">IF(BA7=0,"S/B",IF(BA7&lt;2.4,"NORMAL",IF(BA7&lt;4.6,"PREWARNING",IF(BA7&lt;7.2,"WARNING","ALARM"))))</f>
        <v>NORMAL</v>
      </c>
      <c r="BC7" s="78">
        <v>0.49</v>
      </c>
      <c r="BD7" s="78">
        <v>2.0699999999999998</v>
      </c>
      <c r="BE7" s="78">
        <v>0.71</v>
      </c>
      <c r="BF7" s="78">
        <v>0.44</v>
      </c>
      <c r="BG7" s="78">
        <v>1.88</v>
      </c>
      <c r="BH7" s="78">
        <v>1.03</v>
      </c>
      <c r="BI7" s="78">
        <v>0.9</v>
      </c>
      <c r="BJ7" s="78">
        <v>2.41</v>
      </c>
      <c r="BK7" s="78">
        <v>1.34</v>
      </c>
      <c r="BL7" s="78">
        <v>2.16</v>
      </c>
      <c r="BM7" s="78">
        <v>3.27</v>
      </c>
      <c r="BN7" s="78">
        <v>1.22</v>
      </c>
      <c r="BO7" s="78">
        <f t="shared" ref="BO7" si="4">MAX(BC7:BN7)</f>
        <v>3.27</v>
      </c>
      <c r="BP7" s="80" t="str">
        <f t="shared" ref="BP7" si="5">IF(BO7=0,"S/B",IF(BO7&lt;2.4,"NORMAL",IF(BO7&lt;4.6,"PREWARNING",IF(BO7&lt;7.2,"WARNING","ALARM"))))</f>
        <v>PREWARNING</v>
      </c>
      <c r="BQ7" s="78">
        <v>0.35</v>
      </c>
      <c r="BR7" s="78">
        <v>1.17</v>
      </c>
      <c r="BS7" s="78">
        <v>0.54</v>
      </c>
      <c r="BT7" s="78">
        <v>0.38</v>
      </c>
      <c r="BU7" s="78">
        <v>0.67</v>
      </c>
      <c r="BV7" s="78">
        <v>0.47</v>
      </c>
      <c r="BW7" s="78">
        <v>0.33</v>
      </c>
      <c r="BX7" s="78">
        <v>0.55000000000000004</v>
      </c>
      <c r="BY7" s="78">
        <v>0.48</v>
      </c>
      <c r="BZ7" s="78">
        <v>0.48</v>
      </c>
      <c r="CA7" s="78">
        <v>0.72</v>
      </c>
      <c r="CB7" s="78">
        <v>0.47</v>
      </c>
      <c r="CC7" s="78">
        <f t="shared" ref="CC7" si="6">MAX(BQ7:CB7)</f>
        <v>1.17</v>
      </c>
      <c r="CD7" s="80" t="str">
        <f t="shared" ref="CD7" si="7">IF(CC7=0,"S/B",IF(CC7&lt;2.4,"NORMAL",IF(CC7&lt;4.6,"PREWARNING",IF(CC7&lt;7.2,"WARNING","ALARM"))))</f>
        <v>NORMAL</v>
      </c>
      <c r="CE7" s="78">
        <v>1.73</v>
      </c>
      <c r="CF7" s="78">
        <v>2.1800000000000002</v>
      </c>
      <c r="CG7" s="78">
        <v>2.5499999999999998</v>
      </c>
      <c r="CH7" s="78">
        <v>1.59</v>
      </c>
      <c r="CI7" s="78">
        <v>2.5</v>
      </c>
      <c r="CJ7" s="78">
        <v>2.5299999999999998</v>
      </c>
      <c r="CK7" s="78">
        <v>3.06</v>
      </c>
      <c r="CL7" s="78">
        <v>1.96</v>
      </c>
      <c r="CM7" s="78">
        <v>2.15</v>
      </c>
      <c r="CN7" s="78">
        <v>2.89</v>
      </c>
      <c r="CO7" s="78">
        <v>3.16</v>
      </c>
      <c r="CP7" s="78">
        <v>2.16</v>
      </c>
      <c r="CQ7" s="78">
        <v>2.78</v>
      </c>
      <c r="CR7" s="78">
        <v>2.34</v>
      </c>
      <c r="CS7" s="78">
        <v>2.75</v>
      </c>
      <c r="CT7" s="78">
        <v>3.37</v>
      </c>
      <c r="CU7" s="78">
        <v>3.4</v>
      </c>
      <c r="CV7" s="78">
        <v>2.82</v>
      </c>
      <c r="CW7" s="78">
        <f t="shared" ref="CW7" si="8">MAX(CE7:CV7)</f>
        <v>3.4</v>
      </c>
      <c r="CX7" s="80" t="str">
        <f t="shared" ref="CX7" si="9">IF(CW7=0,"S/B",IF(CW7&lt;2.4,"NORMAL",IF(CW7&lt;4.6,"PREWARNING",IF(CW7&lt;7.2,"WARNING","ALARM"))))</f>
        <v>PREWARNING</v>
      </c>
      <c r="CY7" s="78"/>
      <c r="CZ7" s="78"/>
      <c r="DA7" s="78"/>
      <c r="DB7" s="81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>
        <f t="shared" ref="DQ7" si="10">MAX(CY7:DP7)</f>
        <v>0</v>
      </c>
      <c r="DR7" s="78" t="str">
        <f t="shared" ref="DR7" si="11">IF(DQ7=0,"S/B",IF(DQ7&lt;2.4,"NORMAL",IF(DQ7&lt;4.6,"PREWARNING",IF(DQ7&lt;7.2,"WARNING","ALARM"))))</f>
        <v>S/B</v>
      </c>
      <c r="DS7" s="78"/>
      <c r="DT7" s="78"/>
      <c r="DU7" s="78"/>
      <c r="DV7" s="78">
        <v>2.0099999999999998</v>
      </c>
      <c r="DW7" s="78">
        <v>2.25</v>
      </c>
      <c r="DX7" s="78">
        <v>2.4700000000000002</v>
      </c>
      <c r="DY7" s="78">
        <v>1.4</v>
      </c>
      <c r="DZ7" s="78">
        <v>1.83</v>
      </c>
      <c r="EA7" s="78">
        <v>2.48</v>
      </c>
      <c r="EB7" s="78">
        <v>1.07</v>
      </c>
      <c r="EC7" s="78">
        <v>1.2</v>
      </c>
      <c r="ED7" s="78">
        <v>3.44</v>
      </c>
      <c r="EE7" s="78">
        <f t="shared" ref="EE7" si="12">MAX(DS7:ED7)</f>
        <v>3.44</v>
      </c>
      <c r="EF7" s="79" t="str">
        <f t="shared" ref="EF7" si="13">IF(EE7=0,"S/B",IF(EE7&lt;3.75,"NORMAL",IF(EE7&lt;7.49,"PREWARNING",IF(EE7&lt;9.9,"WARNING","ALARM"))))</f>
        <v>NORMAL</v>
      </c>
      <c r="EG7" s="78">
        <v>2.04</v>
      </c>
      <c r="EH7" s="78">
        <v>3.11</v>
      </c>
      <c r="EI7" s="78">
        <v>0.99</v>
      </c>
      <c r="EJ7" s="78">
        <v>2.4300000000000002</v>
      </c>
      <c r="EK7" s="78">
        <v>3.89</v>
      </c>
      <c r="EL7" s="78">
        <v>2.4</v>
      </c>
      <c r="EM7" s="78">
        <v>1.6</v>
      </c>
      <c r="EN7" s="78">
        <v>3.18</v>
      </c>
      <c r="EO7" s="78">
        <v>0.54</v>
      </c>
      <c r="EP7" s="78">
        <v>0.99</v>
      </c>
      <c r="EQ7" s="78">
        <v>3.05</v>
      </c>
      <c r="ER7" s="78">
        <v>1.33</v>
      </c>
      <c r="ES7" s="78">
        <f t="shared" ref="ES7" si="14">MAX(EG7:ER7)</f>
        <v>3.89</v>
      </c>
      <c r="ET7" s="80" t="str">
        <f t="shared" ref="ET7" si="15">IF(ES7=0,"S/B",IF(ES7&lt;1.5,"NORMAL",IF(ES7&lt;2.9,"PREWARNING",IF(ES7&lt;4.6,"WARNING","ALARM"))))</f>
        <v>WARNING</v>
      </c>
      <c r="EU7" s="78">
        <v>0.84</v>
      </c>
      <c r="EV7" s="78">
        <v>1.95</v>
      </c>
      <c r="EW7" s="78">
        <v>0.35</v>
      </c>
      <c r="EX7" s="78">
        <v>1.7</v>
      </c>
      <c r="EY7" s="78">
        <v>2.14</v>
      </c>
      <c r="EZ7" s="78">
        <v>1.27</v>
      </c>
      <c r="FA7" s="78">
        <v>0.75</v>
      </c>
      <c r="FB7" s="78">
        <v>1.39</v>
      </c>
      <c r="FC7" s="78">
        <v>0.79</v>
      </c>
      <c r="FD7" s="78">
        <v>1.51</v>
      </c>
      <c r="FE7" s="78">
        <v>1.04</v>
      </c>
      <c r="FF7" s="78">
        <v>1.9</v>
      </c>
      <c r="FG7" s="78">
        <f t="shared" ref="FG7" si="16">MAX(EU7:FF7)</f>
        <v>2.14</v>
      </c>
      <c r="FH7" s="82" t="str">
        <f t="shared" ref="FH7" si="17">IF(FG7=0,"S/B",IF(FG7&lt;1.5,"NORMAL",IF(FG7&lt;2.9,"PREWARNING",IF(FG7&lt;4.6,"WARNING","ALARM"))))</f>
        <v>PREWARNING</v>
      </c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>
        <f t="shared" ref="FU7" si="18">MAX(FI7:FT7)</f>
        <v>0</v>
      </c>
      <c r="FV7" s="78" t="str">
        <f t="shared" ref="FV7" si="19">IF(FU7=0,"S/B",IF(FU7&lt;1.5,"NORMAL",IF(FU7&lt;2.9,"PREWARNING",IF(FU7&lt;4.6,"WARNING","ALARM"))))</f>
        <v>S/B</v>
      </c>
      <c r="FW7" s="78">
        <v>0.62</v>
      </c>
      <c r="FX7" s="78">
        <v>1.35</v>
      </c>
      <c r="FY7" s="78">
        <v>0.35</v>
      </c>
      <c r="FZ7" s="78">
        <v>1.62</v>
      </c>
      <c r="GA7" s="78">
        <v>1.53</v>
      </c>
      <c r="GB7" s="78">
        <v>1.21</v>
      </c>
      <c r="GC7" s="78">
        <v>2.75</v>
      </c>
      <c r="GD7" s="78">
        <v>2.7</v>
      </c>
      <c r="GE7" s="78">
        <v>0.81</v>
      </c>
      <c r="GF7" s="78">
        <v>1.24</v>
      </c>
      <c r="GG7" s="78">
        <v>1.1499999999999999</v>
      </c>
      <c r="GH7" s="78">
        <v>0.84</v>
      </c>
      <c r="GI7" s="78">
        <f t="shared" ref="GI7" si="20">MAX(FW7:GH7)</f>
        <v>2.75</v>
      </c>
      <c r="GJ7" s="80" t="str">
        <f>IF(GI7=0,"S/B",IF(GI7&lt;1.5,"NORMAL",IF(GI7&lt;2.9,"PREWARNING",IF(GI7&lt;4.6,"WARNING","ALARM"))))</f>
        <v>PREWARNING</v>
      </c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>
        <f t="shared" ref="GW7" si="21">MAX(GK7:GV7)</f>
        <v>0</v>
      </c>
      <c r="GX7" s="78" t="str">
        <f t="shared" ref="GX7" si="22">IF(GW7=0,"S/B",IF(GW7&lt;1.5,"NORMAL",IF(GW7&lt;2.9,"PREWARNING",IF(GW7&lt;4.6,"WARNING","ALARM"))))</f>
        <v>S/B</v>
      </c>
      <c r="GY7" s="78">
        <v>0.61</v>
      </c>
      <c r="GZ7" s="78">
        <v>1.18</v>
      </c>
      <c r="HA7" s="78">
        <v>0.94</v>
      </c>
      <c r="HB7" s="78">
        <v>1.02</v>
      </c>
      <c r="HC7" s="78">
        <v>1.84</v>
      </c>
      <c r="HD7" s="78">
        <v>1.32</v>
      </c>
      <c r="HE7" s="78">
        <v>5.03</v>
      </c>
      <c r="HF7" s="78">
        <v>5.45</v>
      </c>
      <c r="HG7" s="78">
        <v>3.71</v>
      </c>
      <c r="HH7" s="78">
        <v>1.73</v>
      </c>
      <c r="HI7" s="78">
        <v>1.8</v>
      </c>
      <c r="HJ7" s="78">
        <v>1.02</v>
      </c>
      <c r="HK7" s="78">
        <f t="shared" ref="HK7" si="23">MAX(GY7:HJ7)</f>
        <v>5.45</v>
      </c>
      <c r="HL7" s="82" t="str">
        <f t="shared" ref="HL7" si="24">IF(HK7=0,"S/B",IF(HK7&lt;2.4,"NORMAL",IF(HK7&lt;4.5,"PREWARNING",IF(HK7&lt;7.2,"WARNING","ALARM"))))</f>
        <v>WARNING</v>
      </c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>
        <f t="shared" ref="HY7" si="25">MAX(HM7:HX7)</f>
        <v>0</v>
      </c>
      <c r="HZ7" s="78" t="str">
        <f t="shared" ref="HZ7" si="26">IF(HY7=0,"S/B",IF(HY7&lt;2.4,"NORMAL",IF(HY7&lt;4.6,"PREWARNING",IF(HY7&lt;7.2,"WARNING","ALARM"))))</f>
        <v>S/B</v>
      </c>
      <c r="IA7" s="78">
        <v>0.71</v>
      </c>
      <c r="IB7" s="78">
        <v>0.68</v>
      </c>
      <c r="IC7" s="78">
        <v>0.42</v>
      </c>
      <c r="ID7" s="78">
        <v>0.9</v>
      </c>
      <c r="IE7" s="78">
        <v>0.93</v>
      </c>
      <c r="IF7" s="78">
        <v>0.81</v>
      </c>
      <c r="IG7" s="78">
        <v>1.23</v>
      </c>
      <c r="IH7" s="78">
        <v>0.79</v>
      </c>
      <c r="II7" s="78">
        <v>0.57999999999999996</v>
      </c>
      <c r="IJ7" s="78">
        <v>0.79</v>
      </c>
      <c r="IK7" s="78">
        <v>0.79</v>
      </c>
      <c r="IL7" s="78">
        <v>0.93</v>
      </c>
      <c r="IM7" s="78">
        <f t="shared" ref="IM7" si="27">MAX(IA7:IL7)</f>
        <v>1.23</v>
      </c>
      <c r="IN7" s="82" t="str">
        <f t="shared" ref="IN7" si="28">IF(IM7=0,"S/B",IF(IM7&lt;1.4,"NORMAL",IF(IM7&lt;2.8,"PREWARNING",IF(IM7&lt;4.6,"WARNING","ALARM"))))</f>
        <v>NORMAL</v>
      </c>
      <c r="IO7" s="78">
        <v>1.36</v>
      </c>
      <c r="IP7" s="78">
        <v>1.8</v>
      </c>
      <c r="IQ7" s="78">
        <v>0.64</v>
      </c>
      <c r="IR7" s="78">
        <v>1.86</v>
      </c>
      <c r="IS7" s="78">
        <v>2.15</v>
      </c>
      <c r="IT7" s="78">
        <v>1.4</v>
      </c>
      <c r="IU7" s="78">
        <v>1.58</v>
      </c>
      <c r="IV7" s="78">
        <v>1.05</v>
      </c>
      <c r="IW7" s="78">
        <v>0.86</v>
      </c>
      <c r="IX7" s="78">
        <v>1.07</v>
      </c>
      <c r="IY7" s="78">
        <v>0.86</v>
      </c>
      <c r="IZ7" s="78">
        <v>1.31</v>
      </c>
      <c r="JA7" s="78">
        <f t="shared" ref="JA7" si="29">MAX(IO7:IZ7)</f>
        <v>2.15</v>
      </c>
      <c r="JB7" s="82" t="str">
        <f t="shared" ref="JB7" si="30">IF(JA7=0,"S/B",IF(JA7&lt;1.5,"NORMAL",IF(JA7&lt;2.9,"PREWARNING",IF(JA7&lt;4.5,"WARNING","ALARM"))))</f>
        <v>PREWARNING</v>
      </c>
    </row>
    <row r="8" spans="1:262" ht="15" customHeight="1" x14ac:dyDescent="0.3">
      <c r="A8" s="75"/>
      <c r="B8" s="76"/>
      <c r="C8" s="76"/>
      <c r="D8" s="76"/>
      <c r="E8" s="83" t="s">
        <v>46</v>
      </c>
      <c r="F8" s="83" t="s">
        <v>47</v>
      </c>
      <c r="G8" s="83" t="s">
        <v>48</v>
      </c>
      <c r="H8" s="83" t="s">
        <v>49</v>
      </c>
      <c r="I8" s="83" t="s">
        <v>50</v>
      </c>
      <c r="J8" s="83" t="s">
        <v>51</v>
      </c>
      <c r="K8" s="83" t="s">
        <v>52</v>
      </c>
      <c r="L8" s="83" t="s">
        <v>53</v>
      </c>
      <c r="M8" s="83" t="s">
        <v>54</v>
      </c>
      <c r="N8" s="83" t="s">
        <v>55</v>
      </c>
      <c r="O8" s="83" t="s">
        <v>56</v>
      </c>
      <c r="P8" s="83" t="s">
        <v>57</v>
      </c>
      <c r="Q8" s="83" t="s">
        <v>58</v>
      </c>
      <c r="R8" s="83" t="s">
        <v>59</v>
      </c>
      <c r="S8" s="83" t="s">
        <v>60</v>
      </c>
      <c r="T8" s="83" t="s">
        <v>61</v>
      </c>
      <c r="U8" s="83" t="s">
        <v>62</v>
      </c>
      <c r="V8" s="83" t="s">
        <v>63</v>
      </c>
      <c r="W8" s="77"/>
      <c r="X8" s="77"/>
      <c r="Y8" s="72"/>
      <c r="AA8" s="84"/>
      <c r="AB8" s="84"/>
      <c r="AC8" s="74">
        <v>3</v>
      </c>
      <c r="AD8" s="74" t="s">
        <v>64</v>
      </c>
    </row>
    <row r="9" spans="1:262" ht="15" customHeight="1" x14ac:dyDescent="0.3">
      <c r="A9" s="85"/>
      <c r="B9" s="86"/>
      <c r="C9" s="86" t="str">
        <f>'[1]INPUT EQUIPMENT'!A8</f>
        <v>UNIT 1</v>
      </c>
      <c r="D9" s="86"/>
      <c r="E9" s="86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72"/>
    </row>
    <row r="10" spans="1:262" ht="15" customHeight="1" x14ac:dyDescent="0.3">
      <c r="A10" s="85"/>
      <c r="B10" s="88">
        <v>1</v>
      </c>
      <c r="C10" s="89" t="str">
        <f>'[1]INPUT EQUIPMENT'!B9</f>
        <v>Motor ID Fan 1#1</v>
      </c>
      <c r="D10" s="90" t="s">
        <v>65</v>
      </c>
      <c r="E10" s="91">
        <v>0.71</v>
      </c>
      <c r="F10" s="91">
        <v>0.77</v>
      </c>
      <c r="G10" s="91">
        <v>0.44</v>
      </c>
      <c r="H10" s="91">
        <v>1.36</v>
      </c>
      <c r="I10" s="91">
        <v>1.39</v>
      </c>
      <c r="J10" s="91">
        <v>0.77</v>
      </c>
      <c r="K10" s="91">
        <v>0.5</v>
      </c>
      <c r="L10" s="91">
        <v>0.64</v>
      </c>
      <c r="M10" s="91">
        <v>0.88600000000000001</v>
      </c>
      <c r="N10" s="91">
        <v>0.55000000000000004</v>
      </c>
      <c r="O10" s="91">
        <v>0.7</v>
      </c>
      <c r="P10" s="91">
        <v>0.53</v>
      </c>
      <c r="Q10" s="92">
        <v>0.49</v>
      </c>
      <c r="R10" s="92">
        <v>0.76</v>
      </c>
      <c r="S10" s="92">
        <v>0.61</v>
      </c>
      <c r="T10" s="92">
        <v>1.08</v>
      </c>
      <c r="U10" s="92">
        <v>2.21</v>
      </c>
      <c r="V10" s="92">
        <v>1.62</v>
      </c>
      <c r="W10" s="88">
        <f>MAX(E10:V10)</f>
        <v>2.21</v>
      </c>
      <c r="X10" s="88" t="str">
        <f>IF(W10=0,"STAND BY",IF(W10&lt;2.3,"NORMAL",IF(W10&lt;4.6,"PREWARNING",IF(W10&lt;7.2,"WARNING","ALARM"))))</f>
        <v>NORMAL</v>
      </c>
      <c r="Y10" s="72"/>
      <c r="Z10" s="67" t="s">
        <v>49</v>
      </c>
      <c r="AA10" s="93">
        <v>0.99</v>
      </c>
      <c r="AB10" s="93">
        <v>5</v>
      </c>
      <c r="AC10" s="93">
        <v>0.39</v>
      </c>
      <c r="AD10" s="93">
        <v>1.34</v>
      </c>
      <c r="AE10" s="93">
        <v>4.47</v>
      </c>
      <c r="AF10" s="93">
        <v>1.37</v>
      </c>
      <c r="AG10" s="93">
        <v>0.74</v>
      </c>
      <c r="AH10" s="93">
        <v>4.2699999999999996</v>
      </c>
      <c r="AI10" s="93">
        <v>1.26</v>
      </c>
      <c r="AJ10" s="93">
        <v>1.18</v>
      </c>
      <c r="AK10" s="93">
        <v>1.76</v>
      </c>
      <c r="AL10" s="93">
        <v>1.86</v>
      </c>
      <c r="AM10" s="93">
        <f t="shared" ref="AM10" si="31">MAX(AA10:AL10)</f>
        <v>5</v>
      </c>
      <c r="AN10" s="94" t="str">
        <f t="shared" ref="AN10" si="32">IF(AM10=0,"S/B",IF(AM10&lt;4.6,"NORMAL",IF(AM10&lt;7.1,"PREWARNING",IF(AM10&lt;8.01,"WARNING","ALARM"))))</f>
        <v>PREWARNING</v>
      </c>
    </row>
    <row r="11" spans="1:262" ht="15" customHeight="1" x14ac:dyDescent="0.3">
      <c r="A11" s="85"/>
      <c r="B11" s="88">
        <v>2</v>
      </c>
      <c r="C11" s="89" t="str">
        <f>'[1]INPUT EQUIPMENT'!B10</f>
        <v>Motor ID Fan 2#1</v>
      </c>
      <c r="D11" s="90" t="s">
        <v>65</v>
      </c>
      <c r="E11" s="91">
        <v>0.78</v>
      </c>
      <c r="F11" s="91">
        <v>1.18</v>
      </c>
      <c r="G11" s="91">
        <v>0.35</v>
      </c>
      <c r="H11" s="91">
        <v>0.82</v>
      </c>
      <c r="I11" s="88">
        <v>0.99</v>
      </c>
      <c r="J11" s="88">
        <v>0.39</v>
      </c>
      <c r="K11" s="88">
        <v>0.49</v>
      </c>
      <c r="L11" s="88">
        <v>0.93</v>
      </c>
      <c r="M11" s="88">
        <v>0.88</v>
      </c>
      <c r="N11" s="88">
        <v>0.3</v>
      </c>
      <c r="O11" s="88">
        <v>0.67</v>
      </c>
      <c r="P11" s="88">
        <v>0.54</v>
      </c>
      <c r="Q11" s="92">
        <v>0.72</v>
      </c>
      <c r="R11" s="92">
        <v>0.97</v>
      </c>
      <c r="S11" s="92">
        <v>0.74</v>
      </c>
      <c r="T11" s="92">
        <v>0.69</v>
      </c>
      <c r="U11" s="92">
        <v>2.25</v>
      </c>
      <c r="V11" s="92">
        <v>0.49</v>
      </c>
      <c r="W11" s="88">
        <f t="shared" ref="W11:W35" si="33">MAX(E11:V11)</f>
        <v>2.25</v>
      </c>
      <c r="X11" s="88" t="str">
        <f t="shared" ref="X11:X15" si="34">IF(W11=0,"STAND BY",IF(W11&lt;2.3,"NORMAL",IF(W11&lt;4.6,"PREWARNING",IF(W11&lt;7.2,"WARNING","ALARM"))))</f>
        <v>NORMAL</v>
      </c>
      <c r="Y11" s="72"/>
      <c r="Z11" s="67" t="s">
        <v>54</v>
      </c>
      <c r="AA11" s="68">
        <f>29+19</f>
        <v>48</v>
      </c>
    </row>
    <row r="12" spans="1:262" ht="15" customHeight="1" x14ac:dyDescent="0.3">
      <c r="A12" s="85"/>
      <c r="B12" s="88">
        <v>3</v>
      </c>
      <c r="C12" s="89" t="str">
        <f>'[1]INPUT EQUIPMENT'!B11</f>
        <v>Motor Primary Air Fan 1#1</v>
      </c>
      <c r="D12" s="90" t="s">
        <v>65</v>
      </c>
      <c r="E12" s="91">
        <v>1.38</v>
      </c>
      <c r="F12" s="91">
        <v>2.82</v>
      </c>
      <c r="G12" s="91">
        <v>1.1200000000000001</v>
      </c>
      <c r="H12" s="91">
        <v>1.62</v>
      </c>
      <c r="I12" s="91">
        <v>2.08</v>
      </c>
      <c r="J12" s="91">
        <v>1.1399999999999999</v>
      </c>
      <c r="K12" s="91">
        <v>1.95</v>
      </c>
      <c r="L12" s="91">
        <v>2.5099999999999998</v>
      </c>
      <c r="M12" s="91">
        <v>2.83</v>
      </c>
      <c r="N12" s="91">
        <v>3.13</v>
      </c>
      <c r="O12" s="91">
        <v>2.4500000000000002</v>
      </c>
      <c r="P12" s="91">
        <v>3.07</v>
      </c>
      <c r="Q12" s="95" t="s">
        <v>66</v>
      </c>
      <c r="R12" s="95" t="s">
        <v>66</v>
      </c>
      <c r="S12" s="95" t="s">
        <v>66</v>
      </c>
      <c r="T12" s="95" t="s">
        <v>66</v>
      </c>
      <c r="U12" s="95" t="s">
        <v>66</v>
      </c>
      <c r="V12" s="95" t="s">
        <v>66</v>
      </c>
      <c r="W12" s="88">
        <f t="shared" si="33"/>
        <v>3.13</v>
      </c>
      <c r="X12" s="88" t="str">
        <f t="shared" si="34"/>
        <v>PREWARNING</v>
      </c>
      <c r="Y12" s="72"/>
      <c r="Z12" s="67" t="s">
        <v>53</v>
      </c>
      <c r="AA12" s="68">
        <f>AA11*AA15</f>
        <v>0.57600000000000007</v>
      </c>
    </row>
    <row r="13" spans="1:262" ht="15" customHeight="1" x14ac:dyDescent="0.3">
      <c r="A13" s="85"/>
      <c r="B13" s="88">
        <v>4</v>
      </c>
      <c r="C13" s="89" t="str">
        <f>'[1]INPUT EQUIPMENT'!B12</f>
        <v>Motor Primary Air Fan 2#1</v>
      </c>
      <c r="D13" s="90" t="s">
        <v>65</v>
      </c>
      <c r="E13" s="91">
        <v>1.06</v>
      </c>
      <c r="F13" s="91">
        <v>1.49</v>
      </c>
      <c r="G13" s="91">
        <v>1.65</v>
      </c>
      <c r="H13" s="91">
        <v>1.56</v>
      </c>
      <c r="I13" s="91">
        <v>1.77</v>
      </c>
      <c r="J13" s="91">
        <v>1.42</v>
      </c>
      <c r="K13" s="91">
        <v>2.3199999999999998</v>
      </c>
      <c r="L13" s="91">
        <v>2.34</v>
      </c>
      <c r="M13" s="91">
        <v>2.74</v>
      </c>
      <c r="N13" s="91">
        <v>3.39</v>
      </c>
      <c r="O13" s="91">
        <v>3.38</v>
      </c>
      <c r="P13" s="91">
        <v>2.65</v>
      </c>
      <c r="Q13" s="95" t="s">
        <v>66</v>
      </c>
      <c r="R13" s="95" t="s">
        <v>66</v>
      </c>
      <c r="S13" s="95" t="s">
        <v>66</v>
      </c>
      <c r="T13" s="95" t="s">
        <v>66</v>
      </c>
      <c r="U13" s="95" t="s">
        <v>66</v>
      </c>
      <c r="V13" s="95" t="s">
        <v>66</v>
      </c>
      <c r="W13" s="88">
        <f t="shared" si="33"/>
        <v>3.39</v>
      </c>
      <c r="X13" s="88" t="str">
        <f t="shared" si="34"/>
        <v>PREWARNING</v>
      </c>
      <c r="Y13" s="72"/>
      <c r="Z13" s="67" t="s">
        <v>55</v>
      </c>
    </row>
    <row r="14" spans="1:262" ht="15" customHeight="1" x14ac:dyDescent="0.3">
      <c r="A14" s="85"/>
      <c r="B14" s="88">
        <v>5</v>
      </c>
      <c r="C14" s="89" t="str">
        <f>'[1]INPUT EQUIPMENT'!B13</f>
        <v>Motor Secondary Air Fan 1#1</v>
      </c>
      <c r="D14" s="90" t="s">
        <v>65</v>
      </c>
      <c r="E14" s="91">
        <v>0.92</v>
      </c>
      <c r="F14" s="91">
        <v>2.2799999999999998</v>
      </c>
      <c r="G14" s="91">
        <v>0.57999999999999996</v>
      </c>
      <c r="H14" s="91">
        <v>0.45</v>
      </c>
      <c r="I14" s="91">
        <v>1.67</v>
      </c>
      <c r="J14" s="91">
        <v>0.33</v>
      </c>
      <c r="K14" s="91">
        <v>0.68</v>
      </c>
      <c r="L14" s="91">
        <v>1.1499999999999999</v>
      </c>
      <c r="M14" s="91">
        <v>0.55000000000000004</v>
      </c>
      <c r="N14" s="91">
        <v>0.42</v>
      </c>
      <c r="O14" s="91">
        <v>0.9</v>
      </c>
      <c r="P14" s="91">
        <v>0.56999999999999995</v>
      </c>
      <c r="Q14" s="95" t="s">
        <v>66</v>
      </c>
      <c r="R14" s="95" t="s">
        <v>66</v>
      </c>
      <c r="S14" s="95" t="s">
        <v>66</v>
      </c>
      <c r="T14" s="95" t="s">
        <v>66</v>
      </c>
      <c r="U14" s="95" t="s">
        <v>66</v>
      </c>
      <c r="V14" s="95" t="s">
        <v>66</v>
      </c>
      <c r="W14" s="88">
        <f t="shared" si="33"/>
        <v>2.2799999999999998</v>
      </c>
      <c r="X14" s="88" t="str">
        <f t="shared" si="34"/>
        <v>NORMAL</v>
      </c>
      <c r="Y14" s="72"/>
    </row>
    <row r="15" spans="1:262" ht="15" customHeight="1" x14ac:dyDescent="0.3">
      <c r="A15" s="85"/>
      <c r="B15" s="88">
        <v>6</v>
      </c>
      <c r="C15" s="89" t="str">
        <f>'[1]INPUT EQUIPMENT'!B14</f>
        <v>Motor Secondary Air Fan 2#1</v>
      </c>
      <c r="D15" s="90" t="s">
        <v>65</v>
      </c>
      <c r="E15" s="91">
        <v>0.94</v>
      </c>
      <c r="F15" s="91">
        <v>2.33</v>
      </c>
      <c r="G15" s="91">
        <v>0.55000000000000004</v>
      </c>
      <c r="H15" s="91">
        <v>0.78</v>
      </c>
      <c r="I15" s="91">
        <v>1.78</v>
      </c>
      <c r="J15" s="91">
        <v>0.4</v>
      </c>
      <c r="K15" s="91">
        <v>0.47</v>
      </c>
      <c r="L15" s="91">
        <v>1.31</v>
      </c>
      <c r="M15" s="91">
        <v>0.41</v>
      </c>
      <c r="N15" s="91">
        <v>0.49</v>
      </c>
      <c r="O15" s="91">
        <v>1.07</v>
      </c>
      <c r="P15" s="91">
        <v>0.41</v>
      </c>
      <c r="Q15" s="95" t="s">
        <v>66</v>
      </c>
      <c r="R15" s="95" t="s">
        <v>66</v>
      </c>
      <c r="S15" s="95" t="s">
        <v>66</v>
      </c>
      <c r="T15" s="95" t="s">
        <v>66</v>
      </c>
      <c r="U15" s="95" t="s">
        <v>66</v>
      </c>
      <c r="V15" s="95" t="s">
        <v>66</v>
      </c>
      <c r="W15" s="88">
        <f t="shared" si="33"/>
        <v>2.33</v>
      </c>
      <c r="X15" s="88" t="str">
        <f t="shared" si="34"/>
        <v>PREWARNING</v>
      </c>
      <c r="Y15" s="72"/>
      <c r="AA15" s="68">
        <v>1.2E-2</v>
      </c>
    </row>
    <row r="16" spans="1:262" ht="15" customHeight="1" x14ac:dyDescent="0.3">
      <c r="A16" s="85"/>
      <c r="B16" s="88">
        <v>7</v>
      </c>
      <c r="C16" s="89" t="str">
        <f>'[1]INPUT EQUIPMENT'!B15</f>
        <v>Turbin-Generator#1</v>
      </c>
      <c r="D16" s="90" t="s">
        <v>65</v>
      </c>
      <c r="E16" s="91">
        <v>2.71</v>
      </c>
      <c r="F16" s="91">
        <v>1.4</v>
      </c>
      <c r="G16" s="91">
        <v>0.86</v>
      </c>
      <c r="H16" s="91">
        <v>3.63</v>
      </c>
      <c r="I16" s="91">
        <v>1.5</v>
      </c>
      <c r="J16" s="91">
        <v>2.63</v>
      </c>
      <c r="K16" s="91">
        <v>3.59</v>
      </c>
      <c r="L16" s="91">
        <v>1.6</v>
      </c>
      <c r="M16" s="91">
        <v>2.34</v>
      </c>
      <c r="N16" s="91">
        <v>0.81</v>
      </c>
      <c r="O16" s="91">
        <v>0.77</v>
      </c>
      <c r="P16" s="91">
        <v>0.23</v>
      </c>
      <c r="Q16" s="95" t="s">
        <v>66</v>
      </c>
      <c r="R16" s="95" t="s">
        <v>66</v>
      </c>
      <c r="S16" s="95" t="s">
        <v>66</v>
      </c>
      <c r="T16" s="95" t="s">
        <v>66</v>
      </c>
      <c r="U16" s="95" t="s">
        <v>66</v>
      </c>
      <c r="V16" s="95" t="s">
        <v>66</v>
      </c>
      <c r="W16" s="88">
        <f t="shared" si="33"/>
        <v>3.63</v>
      </c>
      <c r="X16" s="88" t="str">
        <f>IF(W16=0,"STAND BY",IF(W16&lt;3.8,"NORMAL",IF(W16&lt;7.5,"PREWARNING",IF(W16&lt;10.1,"WARNING","ALARM"))))</f>
        <v>NORMAL</v>
      </c>
      <c r="Y16" s="72"/>
      <c r="Z16" s="67" t="s">
        <v>56</v>
      </c>
    </row>
    <row r="17" spans="1:27" ht="15" customHeight="1" x14ac:dyDescent="0.3">
      <c r="A17" s="85"/>
      <c r="B17" s="88">
        <v>8</v>
      </c>
      <c r="C17" s="89" t="str">
        <f>'[1]INPUT EQUIPMENT'!B16</f>
        <v>Motor Condensat Pump 1#1</v>
      </c>
      <c r="D17" s="90" t="s">
        <v>67</v>
      </c>
      <c r="E17" s="91">
        <v>0</v>
      </c>
      <c r="F17" s="91">
        <v>0</v>
      </c>
      <c r="G17" s="91">
        <v>0</v>
      </c>
      <c r="H17" s="91">
        <v>0</v>
      </c>
      <c r="I17" s="91">
        <v>0</v>
      </c>
      <c r="J17" s="91">
        <v>0</v>
      </c>
      <c r="K17" s="91">
        <v>0</v>
      </c>
      <c r="L17" s="91">
        <v>0</v>
      </c>
      <c r="M17" s="91">
        <v>0</v>
      </c>
      <c r="N17" s="95" t="s">
        <v>66</v>
      </c>
      <c r="O17" s="95" t="s">
        <v>66</v>
      </c>
      <c r="P17" s="95" t="s">
        <v>66</v>
      </c>
      <c r="Q17" s="95" t="s">
        <v>66</v>
      </c>
      <c r="R17" s="95" t="s">
        <v>66</v>
      </c>
      <c r="S17" s="95" t="s">
        <v>66</v>
      </c>
      <c r="T17" s="95" t="s">
        <v>66</v>
      </c>
      <c r="U17" s="95" t="s">
        <v>66</v>
      </c>
      <c r="V17" s="95" t="s">
        <v>66</v>
      </c>
      <c r="W17" s="88">
        <f t="shared" si="33"/>
        <v>0</v>
      </c>
      <c r="X17" s="88" t="str">
        <f t="shared" ref="X17:X20" si="35">IF(W17=0,"STAND BY",IF(W17&lt;1.5,"NORMAL",IF(W17&lt;2.81,"PREWARNING",IF(W17&lt;4.5,"WARNING","ALARM"))))</f>
        <v>STAND BY</v>
      </c>
      <c r="Y17" s="72"/>
      <c r="Z17" s="67" t="s">
        <v>46</v>
      </c>
    </row>
    <row r="18" spans="1:27" ht="15" customHeight="1" x14ac:dyDescent="0.3">
      <c r="A18" s="85"/>
      <c r="B18" s="88">
        <v>9</v>
      </c>
      <c r="C18" s="89" t="str">
        <f>'[1]INPUT EQUIPMENT'!B17</f>
        <v>Motor Condensat Pump 2#1</v>
      </c>
      <c r="D18" s="90" t="s">
        <v>67</v>
      </c>
      <c r="E18" s="88">
        <v>8.07</v>
      </c>
      <c r="F18" s="88">
        <v>7.31</v>
      </c>
      <c r="G18" s="88">
        <v>0</v>
      </c>
      <c r="H18" s="88">
        <v>2.29</v>
      </c>
      <c r="I18" s="88">
        <v>2.14</v>
      </c>
      <c r="J18" s="88">
        <v>1.1499999999999999</v>
      </c>
      <c r="K18" s="88">
        <v>1.02</v>
      </c>
      <c r="L18" s="88">
        <v>1.1399999999999999</v>
      </c>
      <c r="M18" s="88">
        <v>1.46</v>
      </c>
      <c r="N18" s="95" t="s">
        <v>66</v>
      </c>
      <c r="O18" s="95" t="s">
        <v>66</v>
      </c>
      <c r="P18" s="95" t="s">
        <v>66</v>
      </c>
      <c r="Q18" s="95" t="s">
        <v>66</v>
      </c>
      <c r="R18" s="95" t="s">
        <v>66</v>
      </c>
      <c r="S18" s="95" t="s">
        <v>66</v>
      </c>
      <c r="T18" s="95" t="s">
        <v>66</v>
      </c>
      <c r="U18" s="95" t="s">
        <v>66</v>
      </c>
      <c r="V18" s="95" t="s">
        <v>66</v>
      </c>
      <c r="W18" s="88">
        <f t="shared" si="33"/>
        <v>8.07</v>
      </c>
      <c r="X18" s="88" t="str">
        <f>IF(W18=0,"STAND BY",IF(W18&lt;1.4,"NORMAL",IF(W18&lt;2.81,"PREWARNING",IF(W18&lt;4.5,"WARNING","ALARM"))))</f>
        <v>ALARM</v>
      </c>
      <c r="Y18" s="72"/>
      <c r="Z18" s="67" t="s">
        <v>47</v>
      </c>
      <c r="AA18" s="68">
        <v>3.4</v>
      </c>
    </row>
    <row r="19" spans="1:27" ht="15" customHeight="1" x14ac:dyDescent="0.3">
      <c r="A19" s="85"/>
      <c r="B19" s="88">
        <v>10</v>
      </c>
      <c r="C19" s="89" t="str">
        <f>'[1]INPUT EQUIPMENT'!B18</f>
        <v>Motor Vacuum Pump 1#1</v>
      </c>
      <c r="D19" s="90" t="s">
        <v>67</v>
      </c>
      <c r="E19" s="88">
        <v>0.54</v>
      </c>
      <c r="F19" s="88">
        <v>0.74</v>
      </c>
      <c r="G19" s="88">
        <v>0.43</v>
      </c>
      <c r="H19" s="88">
        <v>0.6</v>
      </c>
      <c r="I19" s="88">
        <v>0.8</v>
      </c>
      <c r="J19" s="88">
        <v>0.54</v>
      </c>
      <c r="K19" s="88">
        <v>0.9</v>
      </c>
      <c r="L19" s="88">
        <v>0.78</v>
      </c>
      <c r="M19" s="88">
        <v>0.52</v>
      </c>
      <c r="N19" s="88">
        <v>1.54</v>
      </c>
      <c r="O19" s="88">
        <v>1.06</v>
      </c>
      <c r="P19" s="88">
        <v>0.4</v>
      </c>
      <c r="Q19" s="95" t="s">
        <v>66</v>
      </c>
      <c r="R19" s="95" t="s">
        <v>66</v>
      </c>
      <c r="S19" s="95" t="s">
        <v>66</v>
      </c>
      <c r="T19" s="95" t="s">
        <v>66</v>
      </c>
      <c r="U19" s="95" t="s">
        <v>66</v>
      </c>
      <c r="V19" s="95" t="s">
        <v>66</v>
      </c>
      <c r="W19" s="88">
        <f t="shared" si="33"/>
        <v>1.54</v>
      </c>
      <c r="X19" s="88" t="str">
        <f>IF(W19=0,"STAND BY",IF(W19&lt;1.4,"NORMAL",IF(W19&lt;2.81,"PREWARNING",IF(W19&lt;4.5,"WARNING","ALARM"))))</f>
        <v>PREWARNING</v>
      </c>
      <c r="Y19" s="72"/>
      <c r="AA19" s="68">
        <f>AA18-AA12</f>
        <v>2.8239999999999998</v>
      </c>
    </row>
    <row r="20" spans="1:27" ht="15" customHeight="1" x14ac:dyDescent="0.3">
      <c r="A20" s="85"/>
      <c r="B20" s="88">
        <v>11</v>
      </c>
      <c r="C20" s="89" t="str">
        <f>'[1]INPUT EQUIPMENT'!B19</f>
        <v>Motor Vacuum Pump 2#1</v>
      </c>
      <c r="D20" s="90" t="s">
        <v>67</v>
      </c>
      <c r="E20" s="88">
        <v>0.53</v>
      </c>
      <c r="F20" s="88">
        <v>0.73</v>
      </c>
      <c r="G20" s="88">
        <v>0.39</v>
      </c>
      <c r="H20" s="88">
        <v>0.62</v>
      </c>
      <c r="I20" s="88">
        <v>0.7</v>
      </c>
      <c r="J20" s="88">
        <v>0.46</v>
      </c>
      <c r="K20" s="88">
        <v>1.1499999999999999</v>
      </c>
      <c r="L20" s="88">
        <v>0.97</v>
      </c>
      <c r="M20" s="88">
        <v>0.54</v>
      </c>
      <c r="N20" s="88">
        <v>1.26</v>
      </c>
      <c r="O20" s="88">
        <v>2.4500000000000002</v>
      </c>
      <c r="P20" s="88">
        <v>0.37</v>
      </c>
      <c r="Q20" s="95" t="s">
        <v>66</v>
      </c>
      <c r="R20" s="95" t="s">
        <v>66</v>
      </c>
      <c r="S20" s="95" t="s">
        <v>66</v>
      </c>
      <c r="T20" s="95" t="s">
        <v>66</v>
      </c>
      <c r="U20" s="95" t="s">
        <v>66</v>
      </c>
      <c r="V20" s="95" t="s">
        <v>66</v>
      </c>
      <c r="W20" s="88">
        <f t="shared" si="33"/>
        <v>2.4500000000000002</v>
      </c>
      <c r="X20" s="88" t="str">
        <f t="shared" si="35"/>
        <v>PREWARNING</v>
      </c>
      <c r="Y20" s="72"/>
      <c r="Z20" s="67" t="s">
        <v>57</v>
      </c>
      <c r="AA20" s="68">
        <v>1.7</v>
      </c>
    </row>
    <row r="21" spans="1:27" ht="15" customHeight="1" x14ac:dyDescent="0.3">
      <c r="A21" s="85"/>
      <c r="B21" s="88">
        <v>12</v>
      </c>
      <c r="C21" s="89" t="str">
        <f>'[1]INPUT EQUIPMENT'!B20</f>
        <v>Motor Boiler Feed Pump 1#1</v>
      </c>
      <c r="D21" s="90" t="s">
        <v>67</v>
      </c>
      <c r="E21" s="88">
        <v>3.8</v>
      </c>
      <c r="F21" s="88">
        <v>2.06</v>
      </c>
      <c r="G21" s="88">
        <v>3.9</v>
      </c>
      <c r="H21" s="88">
        <v>4.2</v>
      </c>
      <c r="I21" s="88">
        <v>1.3</v>
      </c>
      <c r="J21" s="88">
        <v>2.63</v>
      </c>
      <c r="K21" s="88">
        <v>0.53</v>
      </c>
      <c r="L21" s="88">
        <v>2.77</v>
      </c>
      <c r="M21" s="88">
        <v>4.21</v>
      </c>
      <c r="N21" s="88">
        <v>0.76</v>
      </c>
      <c r="O21" s="88">
        <v>0.67</v>
      </c>
      <c r="P21" s="88">
        <v>1.08</v>
      </c>
      <c r="Q21" s="92">
        <v>1.81</v>
      </c>
      <c r="R21" s="92">
        <v>2.4900000000000002</v>
      </c>
      <c r="S21" s="92">
        <v>1.26</v>
      </c>
      <c r="T21" s="92">
        <v>1.58</v>
      </c>
      <c r="U21" s="92">
        <v>1.84</v>
      </c>
      <c r="V21" s="92">
        <v>1.33</v>
      </c>
      <c r="W21" s="88">
        <f t="shared" si="33"/>
        <v>4.21</v>
      </c>
      <c r="X21" s="88" t="str">
        <f t="shared" ref="X21:X22" si="36">IF(W21=0,"STAND BY",IF(W21&lt;2.4,"NORMAL",IF(W21&lt;4.6,"PREWARNING",IF(W21&lt;7.2,"WARNING","ALARM"))))</f>
        <v>PREWARNING</v>
      </c>
      <c r="Y21" s="72"/>
      <c r="AA21" s="68">
        <f>AA19-AA20</f>
        <v>1.1239999999999999</v>
      </c>
    </row>
    <row r="22" spans="1:27" ht="15" customHeight="1" x14ac:dyDescent="0.3">
      <c r="A22" s="85"/>
      <c r="B22" s="88">
        <v>13</v>
      </c>
      <c r="C22" s="89" t="str">
        <f>'[1]INPUT EQUIPMENT'!B21</f>
        <v>Motor Boiler Feed Pump 2#1</v>
      </c>
      <c r="D22" s="90" t="s">
        <v>67</v>
      </c>
      <c r="E22" s="88">
        <v>1.02</v>
      </c>
      <c r="F22" s="88">
        <v>1.07</v>
      </c>
      <c r="G22" s="88">
        <v>1.62</v>
      </c>
      <c r="H22" s="88">
        <v>1.1000000000000001</v>
      </c>
      <c r="I22" s="88">
        <v>0.94</v>
      </c>
      <c r="J22" s="88">
        <v>0.85</v>
      </c>
      <c r="K22" s="88">
        <v>0.61</v>
      </c>
      <c r="L22" s="88">
        <v>2.15</v>
      </c>
      <c r="M22" s="88">
        <v>0.9</v>
      </c>
      <c r="N22" s="88">
        <v>0.45</v>
      </c>
      <c r="O22" s="88">
        <v>1.1200000000000001</v>
      </c>
      <c r="P22" s="88">
        <v>1.22</v>
      </c>
      <c r="Q22" s="92">
        <v>3.52</v>
      </c>
      <c r="R22" s="92">
        <v>4.16</v>
      </c>
      <c r="S22" s="92">
        <v>0.34</v>
      </c>
      <c r="T22" s="92">
        <v>1.46</v>
      </c>
      <c r="U22" s="92">
        <v>1.84</v>
      </c>
      <c r="V22" s="92">
        <v>0.57999999999999996</v>
      </c>
      <c r="W22" s="88">
        <f t="shared" si="33"/>
        <v>4.16</v>
      </c>
      <c r="X22" s="88" t="str">
        <f t="shared" si="36"/>
        <v>PREWARNING</v>
      </c>
      <c r="Y22" s="72"/>
      <c r="Z22" s="67" t="s">
        <v>56</v>
      </c>
      <c r="AA22" s="68">
        <f>AA21/AA15</f>
        <v>93.666666666666657</v>
      </c>
    </row>
    <row r="23" spans="1:27" ht="15" customHeight="1" x14ac:dyDescent="0.3">
      <c r="A23" s="85"/>
      <c r="B23" s="88">
        <v>14</v>
      </c>
      <c r="C23" s="89" t="str">
        <f>'[1]INPUT EQUIPMENT'!B22</f>
        <v>Motor CCCWP 1#1</v>
      </c>
      <c r="D23" s="90" t="s">
        <v>67</v>
      </c>
      <c r="E23" s="88">
        <v>1.87</v>
      </c>
      <c r="F23" s="88">
        <v>1.88</v>
      </c>
      <c r="G23" s="95" t="s">
        <v>66</v>
      </c>
      <c r="H23" s="88">
        <v>1.72</v>
      </c>
      <c r="I23" s="88">
        <v>1.1299999999999999</v>
      </c>
      <c r="J23" s="88">
        <v>0.61</v>
      </c>
      <c r="K23" s="88">
        <v>1.1000000000000001</v>
      </c>
      <c r="L23" s="88">
        <v>0.71</v>
      </c>
      <c r="M23" s="88">
        <v>0.7</v>
      </c>
      <c r="N23" s="95" t="s">
        <v>66</v>
      </c>
      <c r="O23" s="95" t="s">
        <v>66</v>
      </c>
      <c r="P23" s="95" t="s">
        <v>66</v>
      </c>
      <c r="Q23" s="95" t="s">
        <v>66</v>
      </c>
      <c r="R23" s="95" t="s">
        <v>66</v>
      </c>
      <c r="S23" s="95" t="s">
        <v>66</v>
      </c>
      <c r="T23" s="95" t="s">
        <v>66</v>
      </c>
      <c r="U23" s="95" t="s">
        <v>66</v>
      </c>
      <c r="V23" s="95" t="s">
        <v>66</v>
      </c>
      <c r="W23" s="88">
        <f t="shared" si="33"/>
        <v>1.88</v>
      </c>
      <c r="X23" s="88" t="str">
        <f t="shared" ref="X23" si="37">IF(W23=0,"STAND BY",IF(W23&lt;1.5,"NORMAL",IF(W23&lt;2.81,"PREWARNING",IF(W23&lt;4.5,"WARNING","ALARM"))))</f>
        <v>PREWARNING</v>
      </c>
      <c r="Y23" s="72"/>
      <c r="Z23" s="67" t="s">
        <v>47</v>
      </c>
    </row>
    <row r="24" spans="1:27" ht="15" customHeight="1" x14ac:dyDescent="0.3">
      <c r="A24" s="85"/>
      <c r="B24" s="88">
        <v>15</v>
      </c>
      <c r="C24" s="89" t="str">
        <f>'[1]INPUT EQUIPMENT'!B23</f>
        <v>Motor CCCWP 2#1</v>
      </c>
      <c r="D24" s="90" t="s">
        <v>67</v>
      </c>
      <c r="E24" s="88">
        <v>2.13</v>
      </c>
      <c r="F24" s="88">
        <v>1.39</v>
      </c>
      <c r="G24" s="95" t="s">
        <v>66</v>
      </c>
      <c r="H24" s="88">
        <v>1.1200000000000001</v>
      </c>
      <c r="I24" s="88">
        <v>0.69</v>
      </c>
      <c r="J24" s="88">
        <v>0.57999999999999996</v>
      </c>
      <c r="K24" s="88">
        <v>0.57999999999999996</v>
      </c>
      <c r="L24" s="88">
        <v>0.4</v>
      </c>
      <c r="M24" s="88">
        <v>0.35</v>
      </c>
      <c r="N24" s="95" t="s">
        <v>66</v>
      </c>
      <c r="O24" s="95" t="s">
        <v>66</v>
      </c>
      <c r="P24" s="95" t="s">
        <v>66</v>
      </c>
      <c r="Q24" s="95" t="s">
        <v>66</v>
      </c>
      <c r="R24" s="95" t="s">
        <v>66</v>
      </c>
      <c r="S24" s="95" t="s">
        <v>66</v>
      </c>
      <c r="T24" s="95" t="s">
        <v>66</v>
      </c>
      <c r="U24" s="95" t="s">
        <v>66</v>
      </c>
      <c r="V24" s="95" t="s">
        <v>66</v>
      </c>
      <c r="W24" s="88">
        <f t="shared" si="33"/>
        <v>2.13</v>
      </c>
      <c r="X24" s="88" t="str">
        <f>IF(W24=0,"STAND BY",IF(W24&lt;1.5,"NORMAL",IF(W24&lt;2.81,"PREWARNING",IF(W24&lt;4.5,"WARNING","ALARM"))))</f>
        <v>PREWARNING</v>
      </c>
      <c r="Y24" s="72"/>
      <c r="Z24" s="67" t="s">
        <v>46</v>
      </c>
    </row>
    <row r="25" spans="1:27" ht="15" customHeight="1" x14ac:dyDescent="0.3">
      <c r="A25" s="85"/>
      <c r="B25" s="88">
        <v>16</v>
      </c>
      <c r="C25" s="89" t="str">
        <f>'[1]INPUT EQUIPMENT'!B24</f>
        <v>Motor CWP 355 Kw 1#1</v>
      </c>
      <c r="D25" s="90" t="s">
        <v>67</v>
      </c>
      <c r="E25" s="88">
        <v>1.87</v>
      </c>
      <c r="F25" s="88">
        <v>2.34</v>
      </c>
      <c r="G25" s="88">
        <v>1.4</v>
      </c>
      <c r="H25" s="88">
        <v>0.59</v>
      </c>
      <c r="I25" s="88">
        <v>0.53</v>
      </c>
      <c r="J25" s="88">
        <v>0.34</v>
      </c>
      <c r="K25" s="88">
        <v>0.37</v>
      </c>
      <c r="L25" s="88">
        <v>0.43</v>
      </c>
      <c r="M25" s="88">
        <v>0.45</v>
      </c>
      <c r="N25" s="95" t="s">
        <v>66</v>
      </c>
      <c r="O25" s="95" t="s">
        <v>66</v>
      </c>
      <c r="P25" s="95" t="s">
        <v>66</v>
      </c>
      <c r="Q25" s="95" t="s">
        <v>66</v>
      </c>
      <c r="R25" s="95" t="s">
        <v>66</v>
      </c>
      <c r="S25" s="95" t="s">
        <v>66</v>
      </c>
      <c r="T25" s="95" t="s">
        <v>66</v>
      </c>
      <c r="U25" s="95" t="s">
        <v>66</v>
      </c>
      <c r="V25" s="95" t="s">
        <v>66</v>
      </c>
      <c r="W25" s="88">
        <f t="shared" si="33"/>
        <v>2.34</v>
      </c>
      <c r="X25" s="88" t="str">
        <f t="shared" ref="X25:X26" si="38">IF(W25=0,"STAND BY",IF(W25&lt;2.4,"NORMAL",IF(W25&lt;4.6,"PREWARNING",IF(W25&lt;7.2,"WARNING","ALARM"))))</f>
        <v>NORMAL</v>
      </c>
      <c r="Y25" s="72"/>
      <c r="Z25" s="67" t="s">
        <v>48</v>
      </c>
    </row>
    <row r="26" spans="1:27" ht="15" customHeight="1" x14ac:dyDescent="0.3">
      <c r="A26" s="85"/>
      <c r="B26" s="88">
        <v>17</v>
      </c>
      <c r="C26" s="89" t="str">
        <f>'[1]INPUT EQUIPMENT'!B25</f>
        <v>Motor CWP 355 Kw 2#1</v>
      </c>
      <c r="D26" s="90" t="s">
        <v>67</v>
      </c>
      <c r="E26" s="88">
        <v>1.1100000000000001</v>
      </c>
      <c r="F26" s="88">
        <v>0.67</v>
      </c>
      <c r="G26" s="88">
        <v>0.97</v>
      </c>
      <c r="H26" s="88">
        <v>0.45</v>
      </c>
      <c r="I26" s="88">
        <v>0.86</v>
      </c>
      <c r="J26" s="88">
        <v>0.4</v>
      </c>
      <c r="K26" s="88">
        <v>0.26</v>
      </c>
      <c r="L26" s="88">
        <v>0.25</v>
      </c>
      <c r="M26" s="88">
        <v>0.35</v>
      </c>
      <c r="N26" s="95" t="s">
        <v>66</v>
      </c>
      <c r="O26" s="95" t="s">
        <v>66</v>
      </c>
      <c r="P26" s="95" t="s">
        <v>66</v>
      </c>
      <c r="Q26" s="95" t="s">
        <v>66</v>
      </c>
      <c r="R26" s="95" t="s">
        <v>66</v>
      </c>
      <c r="S26" s="95" t="s">
        <v>66</v>
      </c>
      <c r="T26" s="95" t="s">
        <v>66</v>
      </c>
      <c r="U26" s="95" t="s">
        <v>66</v>
      </c>
      <c r="V26" s="95" t="s">
        <v>66</v>
      </c>
      <c r="W26" s="88">
        <f t="shared" si="33"/>
        <v>1.1100000000000001</v>
      </c>
      <c r="X26" s="88" t="str">
        <f t="shared" si="38"/>
        <v>NORMAL</v>
      </c>
      <c r="Y26" s="72"/>
      <c r="Z26" s="67" t="s">
        <v>48</v>
      </c>
    </row>
    <row r="27" spans="1:27" ht="15" customHeight="1" x14ac:dyDescent="0.3">
      <c r="A27" s="85"/>
      <c r="B27" s="88">
        <v>18</v>
      </c>
      <c r="C27" s="89" t="str">
        <f>'[1]INPUT EQUIPMENT'!B26</f>
        <v>Motor BWRO 1#1</v>
      </c>
      <c r="D27" s="90" t="s">
        <v>67</v>
      </c>
      <c r="E27" s="88">
        <v>0.96</v>
      </c>
      <c r="F27" s="88">
        <v>1.01</v>
      </c>
      <c r="G27" s="95">
        <v>0</v>
      </c>
      <c r="H27" s="88">
        <v>1.03</v>
      </c>
      <c r="I27" s="88">
        <v>1.06</v>
      </c>
      <c r="J27" s="88">
        <v>0.79</v>
      </c>
      <c r="K27" s="95" t="s">
        <v>66</v>
      </c>
      <c r="L27" s="95" t="s">
        <v>66</v>
      </c>
      <c r="M27" s="95" t="s">
        <v>66</v>
      </c>
      <c r="N27" s="95" t="s">
        <v>66</v>
      </c>
      <c r="O27" s="95" t="s">
        <v>66</v>
      </c>
      <c r="P27" s="95" t="s">
        <v>66</v>
      </c>
      <c r="Q27" s="95" t="s">
        <v>66</v>
      </c>
      <c r="R27" s="95" t="s">
        <v>66</v>
      </c>
      <c r="S27" s="95" t="s">
        <v>66</v>
      </c>
      <c r="T27" s="95" t="s">
        <v>66</v>
      </c>
      <c r="U27" s="95" t="s">
        <v>66</v>
      </c>
      <c r="V27" s="95" t="s">
        <v>66</v>
      </c>
      <c r="W27" s="88">
        <f t="shared" si="33"/>
        <v>1.06</v>
      </c>
      <c r="X27" s="88" t="str">
        <f t="shared" ref="X27:X30" si="39">IF(W27=0,"STAND BY",IF(W27&lt;1.5,"NORMAL",IF(W27&lt;2.81,"PREWARNING",IF(W27&lt;4.5,"WARNING","ALARM"))))</f>
        <v>NORMAL</v>
      </c>
      <c r="Y27" s="72"/>
      <c r="Z27" s="67" t="s">
        <v>46</v>
      </c>
    </row>
    <row r="28" spans="1:27" ht="15" customHeight="1" x14ac:dyDescent="0.3">
      <c r="A28" s="85"/>
      <c r="B28" s="88">
        <v>19</v>
      </c>
      <c r="C28" s="89" t="str">
        <f>'[1]INPUT EQUIPMENT'!B27</f>
        <v>Motor BWRO 2#1</v>
      </c>
      <c r="D28" s="90" t="s">
        <v>67</v>
      </c>
      <c r="E28" s="88">
        <v>1.52</v>
      </c>
      <c r="F28" s="88">
        <v>1.64</v>
      </c>
      <c r="G28" s="95">
        <v>0</v>
      </c>
      <c r="H28" s="88">
        <v>1.05</v>
      </c>
      <c r="I28" s="88">
        <v>0.68</v>
      </c>
      <c r="J28" s="88">
        <v>0.8</v>
      </c>
      <c r="K28" s="95" t="s">
        <v>66</v>
      </c>
      <c r="L28" s="95" t="s">
        <v>66</v>
      </c>
      <c r="M28" s="95" t="s">
        <v>66</v>
      </c>
      <c r="N28" s="95" t="s">
        <v>66</v>
      </c>
      <c r="O28" s="95" t="s">
        <v>66</v>
      </c>
      <c r="P28" s="95" t="s">
        <v>66</v>
      </c>
      <c r="Q28" s="95" t="s">
        <v>66</v>
      </c>
      <c r="R28" s="95" t="s">
        <v>66</v>
      </c>
      <c r="S28" s="95" t="s">
        <v>66</v>
      </c>
      <c r="T28" s="95" t="s">
        <v>66</v>
      </c>
      <c r="U28" s="95" t="s">
        <v>66</v>
      </c>
      <c r="V28" s="95" t="s">
        <v>66</v>
      </c>
      <c r="W28" s="88">
        <f t="shared" si="33"/>
        <v>1.64</v>
      </c>
      <c r="X28" s="88" t="str">
        <f t="shared" si="39"/>
        <v>PREWARNING</v>
      </c>
      <c r="Y28" s="72"/>
    </row>
    <row r="29" spans="1:27" ht="15" customHeight="1" x14ac:dyDescent="0.3">
      <c r="A29" s="85"/>
      <c r="B29" s="88">
        <v>20</v>
      </c>
      <c r="C29" s="89" t="str">
        <f>'[1]INPUT EQUIPMENT'!B28</f>
        <v>Motor SWRO 1 #1</v>
      </c>
      <c r="D29" s="90" t="s">
        <v>67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95" t="s">
        <v>66</v>
      </c>
      <c r="L29" s="95" t="s">
        <v>66</v>
      </c>
      <c r="M29" s="95" t="s">
        <v>66</v>
      </c>
      <c r="N29" s="95" t="s">
        <v>66</v>
      </c>
      <c r="O29" s="95" t="s">
        <v>66</v>
      </c>
      <c r="P29" s="95" t="s">
        <v>66</v>
      </c>
      <c r="Q29" s="95" t="s">
        <v>66</v>
      </c>
      <c r="R29" s="95" t="s">
        <v>66</v>
      </c>
      <c r="S29" s="95" t="s">
        <v>66</v>
      </c>
      <c r="T29" s="95" t="s">
        <v>66</v>
      </c>
      <c r="U29" s="95" t="s">
        <v>66</v>
      </c>
      <c r="V29" s="95" t="s">
        <v>66</v>
      </c>
      <c r="W29" s="88">
        <f t="shared" si="33"/>
        <v>0</v>
      </c>
      <c r="X29" s="88" t="str">
        <f t="shared" si="39"/>
        <v>STAND BY</v>
      </c>
      <c r="Y29" s="72"/>
      <c r="Z29" s="67" t="s">
        <v>47</v>
      </c>
    </row>
    <row r="30" spans="1:27" ht="15" customHeight="1" x14ac:dyDescent="0.3">
      <c r="A30" s="85"/>
      <c r="B30" s="88">
        <v>21</v>
      </c>
      <c r="C30" s="89" t="str">
        <f>'[1]INPUT EQUIPMENT'!B29</f>
        <v>Motor SWRO 2#1</v>
      </c>
      <c r="D30" s="90" t="s">
        <v>67</v>
      </c>
      <c r="E30" s="88">
        <v>0.43</v>
      </c>
      <c r="F30" s="88">
        <v>1.02</v>
      </c>
      <c r="G30" s="88">
        <v>0.08</v>
      </c>
      <c r="H30" s="88">
        <v>0.27</v>
      </c>
      <c r="I30" s="88">
        <v>1.24</v>
      </c>
      <c r="J30" s="88">
        <v>0.28000000000000003</v>
      </c>
      <c r="K30" s="95" t="s">
        <v>66</v>
      </c>
      <c r="L30" s="95" t="s">
        <v>66</v>
      </c>
      <c r="M30" s="95" t="s">
        <v>66</v>
      </c>
      <c r="N30" s="95" t="s">
        <v>66</v>
      </c>
      <c r="O30" s="95" t="s">
        <v>66</v>
      </c>
      <c r="P30" s="95" t="s">
        <v>66</v>
      </c>
      <c r="Q30" s="95" t="s">
        <v>66</v>
      </c>
      <c r="R30" s="95" t="s">
        <v>66</v>
      </c>
      <c r="S30" s="95" t="s">
        <v>66</v>
      </c>
      <c r="T30" s="95" t="s">
        <v>66</v>
      </c>
      <c r="U30" s="95" t="s">
        <v>66</v>
      </c>
      <c r="V30" s="95" t="s">
        <v>66</v>
      </c>
      <c r="W30" s="88">
        <f t="shared" si="33"/>
        <v>1.24</v>
      </c>
      <c r="X30" s="88" t="str">
        <f t="shared" si="39"/>
        <v>NORMAL</v>
      </c>
      <c r="Y30" s="72"/>
      <c r="Z30" s="67" t="s">
        <v>47</v>
      </c>
    </row>
    <row r="31" spans="1:27" ht="15" customHeight="1" x14ac:dyDescent="0.3">
      <c r="A31" s="85"/>
      <c r="B31" s="88">
        <v>22</v>
      </c>
      <c r="C31" s="89" t="s">
        <v>68</v>
      </c>
      <c r="D31" s="90" t="s">
        <v>67</v>
      </c>
      <c r="E31" s="88">
        <v>0.35</v>
      </c>
      <c r="F31" s="88">
        <v>1.06</v>
      </c>
      <c r="G31" s="88">
        <v>0.26</v>
      </c>
      <c r="H31" s="88">
        <v>0.3</v>
      </c>
      <c r="I31" s="88">
        <v>0.67</v>
      </c>
      <c r="J31" s="88">
        <v>0.71</v>
      </c>
      <c r="K31" s="88">
        <v>0.62</v>
      </c>
      <c r="L31" s="88">
        <v>0.85</v>
      </c>
      <c r="M31" s="88">
        <v>0.21</v>
      </c>
      <c r="N31" s="88">
        <v>0.4</v>
      </c>
      <c r="O31" s="88">
        <v>0.5</v>
      </c>
      <c r="P31" s="88">
        <v>0.23</v>
      </c>
      <c r="Q31" s="95" t="s">
        <v>66</v>
      </c>
      <c r="R31" s="95" t="s">
        <v>66</v>
      </c>
      <c r="S31" s="95" t="s">
        <v>66</v>
      </c>
      <c r="T31" s="95" t="s">
        <v>66</v>
      </c>
      <c r="U31" s="95" t="s">
        <v>66</v>
      </c>
      <c r="V31" s="95" t="s">
        <v>66</v>
      </c>
      <c r="W31" s="88">
        <f t="shared" si="33"/>
        <v>1.06</v>
      </c>
      <c r="X31" s="88" t="str">
        <f>IF(W31=0,"STAND BY",IF(W31&lt;1.4,"NORMAL",IF(W31&lt;2.81,"PREWARNING",IF(W31&lt;4.5,"WARNING","ALARM"))))</f>
        <v>NORMAL</v>
      </c>
      <c r="Y31" s="72"/>
      <c r="Z31" s="67" t="s">
        <v>47</v>
      </c>
    </row>
    <row r="32" spans="1:27" ht="15" customHeight="1" x14ac:dyDescent="0.3">
      <c r="A32" s="85"/>
      <c r="B32" s="88">
        <v>23</v>
      </c>
      <c r="C32" s="89" t="s">
        <v>69</v>
      </c>
      <c r="D32" s="90" t="s">
        <v>67</v>
      </c>
      <c r="E32" s="88">
        <v>1.17</v>
      </c>
      <c r="F32" s="88">
        <v>0.87</v>
      </c>
      <c r="G32" s="88">
        <v>0.92</v>
      </c>
      <c r="H32" s="88">
        <v>0.99</v>
      </c>
      <c r="I32" s="88">
        <v>1.46</v>
      </c>
      <c r="J32" s="88">
        <v>1.21</v>
      </c>
      <c r="K32" s="88">
        <v>1.34</v>
      </c>
      <c r="L32" s="88">
        <v>1.95</v>
      </c>
      <c r="M32" s="88">
        <v>0.76</v>
      </c>
      <c r="N32" s="88">
        <v>1.07</v>
      </c>
      <c r="O32" s="88">
        <v>1.28</v>
      </c>
      <c r="P32" s="88">
        <v>0.74</v>
      </c>
      <c r="Q32" s="95" t="s">
        <v>66</v>
      </c>
      <c r="R32" s="95" t="s">
        <v>66</v>
      </c>
      <c r="S32" s="95" t="s">
        <v>66</v>
      </c>
      <c r="T32" s="95" t="s">
        <v>66</v>
      </c>
      <c r="U32" s="95" t="s">
        <v>66</v>
      </c>
      <c r="V32" s="95" t="s">
        <v>66</v>
      </c>
      <c r="W32" s="88">
        <f t="shared" si="33"/>
        <v>1.95</v>
      </c>
      <c r="X32" s="88" t="str">
        <f t="shared" ref="X32:X34" si="40">IF(W32=0,"STAND BY",IF(W32&lt;1.4,"NORMAL",IF(W32&lt;2.81,"PREWARNING",IF(W32&lt;4.5,"WARNING","ALARM"))))</f>
        <v>PREWARNING</v>
      </c>
      <c r="Y32" s="72"/>
      <c r="Z32" s="67" t="s">
        <v>47</v>
      </c>
    </row>
    <row r="33" spans="1:27" ht="15" customHeight="1" x14ac:dyDescent="0.3">
      <c r="A33" s="85"/>
      <c r="B33" s="88">
        <v>24</v>
      </c>
      <c r="C33" s="89" t="s">
        <v>70</v>
      </c>
      <c r="D33" s="90"/>
      <c r="E33" s="88">
        <v>7.65</v>
      </c>
      <c r="F33" s="88">
        <v>6.11</v>
      </c>
      <c r="G33" s="88">
        <v>6.23</v>
      </c>
      <c r="H33" s="88">
        <v>12.07</v>
      </c>
      <c r="I33" s="88">
        <v>9.52</v>
      </c>
      <c r="J33" s="88">
        <v>7.39</v>
      </c>
      <c r="K33" s="88">
        <v>3.36</v>
      </c>
      <c r="L33" s="88">
        <v>3.2</v>
      </c>
      <c r="M33" s="88">
        <v>3.56</v>
      </c>
      <c r="N33" s="88">
        <v>3.12</v>
      </c>
      <c r="O33" s="88">
        <v>3.33</v>
      </c>
      <c r="P33" s="88">
        <v>3.41</v>
      </c>
      <c r="Q33" s="95" t="s">
        <v>66</v>
      </c>
      <c r="R33" s="95" t="s">
        <v>66</v>
      </c>
      <c r="S33" s="95" t="s">
        <v>66</v>
      </c>
      <c r="T33" s="95" t="s">
        <v>66</v>
      </c>
      <c r="U33" s="95" t="s">
        <v>66</v>
      </c>
      <c r="V33" s="95" t="s">
        <v>66</v>
      </c>
      <c r="W33" s="88">
        <f t="shared" si="33"/>
        <v>12.07</v>
      </c>
      <c r="X33" s="88" t="str">
        <f>IF(W33=0,"STAND BY",IF(W33&lt;4.46,"NORMAL",IF(W33&lt;28.2,"PREWARNING",IF(W33&lt;44.6,"WARNING","ALARM"))))</f>
        <v>PREWARNING</v>
      </c>
      <c r="Y33" s="72"/>
      <c r="Z33" s="67" t="s">
        <v>47</v>
      </c>
    </row>
    <row r="34" spans="1:27" ht="15" customHeight="1" x14ac:dyDescent="0.3">
      <c r="A34" s="85"/>
      <c r="B34" s="88">
        <v>25</v>
      </c>
      <c r="C34" s="89" t="s">
        <v>71</v>
      </c>
      <c r="D34" s="90" t="s">
        <v>67</v>
      </c>
      <c r="E34" s="88">
        <v>1.6</v>
      </c>
      <c r="F34" s="88">
        <v>1.28</v>
      </c>
      <c r="G34" s="88">
        <v>1.72</v>
      </c>
      <c r="H34" s="88">
        <v>1.81</v>
      </c>
      <c r="I34" s="88">
        <v>1.44</v>
      </c>
      <c r="J34" s="88">
        <v>1.88</v>
      </c>
      <c r="K34" s="88">
        <v>2.13</v>
      </c>
      <c r="L34" s="88">
        <v>2.04</v>
      </c>
      <c r="M34" s="88">
        <v>2.36</v>
      </c>
      <c r="N34" s="88">
        <v>2.15</v>
      </c>
      <c r="O34" s="88">
        <v>2.63</v>
      </c>
      <c r="P34" s="88">
        <v>2.12</v>
      </c>
      <c r="Q34" s="95" t="s">
        <v>66</v>
      </c>
      <c r="R34" s="95" t="s">
        <v>66</v>
      </c>
      <c r="S34" s="95" t="s">
        <v>66</v>
      </c>
      <c r="T34" s="95" t="s">
        <v>66</v>
      </c>
      <c r="U34" s="95" t="s">
        <v>66</v>
      </c>
      <c r="V34" s="95" t="s">
        <v>66</v>
      </c>
      <c r="W34" s="88">
        <f t="shared" si="33"/>
        <v>2.63</v>
      </c>
      <c r="X34" s="88" t="str">
        <f t="shared" si="40"/>
        <v>PREWARNING</v>
      </c>
      <c r="Y34" s="72"/>
      <c r="Z34" s="67" t="s">
        <v>47</v>
      </c>
    </row>
    <row r="35" spans="1:27" ht="15" customHeight="1" x14ac:dyDescent="0.3">
      <c r="A35" s="85"/>
      <c r="B35" s="88">
        <v>26</v>
      </c>
      <c r="C35" s="89" t="s">
        <v>72</v>
      </c>
      <c r="D35" s="90" t="s">
        <v>67</v>
      </c>
      <c r="E35" s="88">
        <v>0.86</v>
      </c>
      <c r="F35" s="88">
        <v>0.87</v>
      </c>
      <c r="G35" s="88" t="s">
        <v>73</v>
      </c>
      <c r="H35" s="88">
        <v>0.72</v>
      </c>
      <c r="I35" s="88">
        <v>0.78</v>
      </c>
      <c r="J35" s="88">
        <v>0.21</v>
      </c>
      <c r="K35" s="95" t="s">
        <v>66</v>
      </c>
      <c r="L35" s="95" t="s">
        <v>66</v>
      </c>
      <c r="M35" s="95" t="s">
        <v>66</v>
      </c>
      <c r="N35" s="95" t="s">
        <v>66</v>
      </c>
      <c r="O35" s="95" t="s">
        <v>66</v>
      </c>
      <c r="P35" s="95" t="s">
        <v>66</v>
      </c>
      <c r="Q35" s="95" t="s">
        <v>66</v>
      </c>
      <c r="R35" s="95" t="s">
        <v>66</v>
      </c>
      <c r="S35" s="95" t="s">
        <v>66</v>
      </c>
      <c r="T35" s="95" t="s">
        <v>66</v>
      </c>
      <c r="U35" s="95" t="s">
        <v>66</v>
      </c>
      <c r="V35" s="95" t="s">
        <v>66</v>
      </c>
      <c r="W35" s="88">
        <f t="shared" si="33"/>
        <v>0.87</v>
      </c>
      <c r="X35" s="88" t="str">
        <f>IF(W35=0,"STAND BY",IF(W35&lt;1.4,"NORMAL",IF(W35&lt;2.81,"PREWARNING",IF(W35&lt;4.5,"WARNING","ALARM"))))</f>
        <v>NORMAL</v>
      </c>
      <c r="Y35" s="72"/>
      <c r="Z35" s="67" t="s">
        <v>47</v>
      </c>
    </row>
    <row r="36" spans="1:27" ht="15" customHeight="1" x14ac:dyDescent="0.3">
      <c r="A36" s="85"/>
      <c r="B36" s="86"/>
      <c r="C36" s="86" t="str">
        <f>'[1]INPUT EQUIPMENT'!A30</f>
        <v>UNIT 2</v>
      </c>
      <c r="D36" s="86"/>
      <c r="E36" s="86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72"/>
    </row>
    <row r="37" spans="1:27" ht="15" customHeight="1" x14ac:dyDescent="0.3">
      <c r="A37" s="85"/>
      <c r="B37" s="88">
        <v>1</v>
      </c>
      <c r="C37" s="89" t="str">
        <f>'[1]INPUT EQUIPMENT'!B31</f>
        <v>Motor ID Fan 1#2</v>
      </c>
      <c r="D37" s="90" t="s">
        <v>65</v>
      </c>
      <c r="E37" s="91">
        <v>0.76</v>
      </c>
      <c r="F37" s="91">
        <v>1.81</v>
      </c>
      <c r="G37" s="91">
        <v>0.47</v>
      </c>
      <c r="H37" s="91">
        <v>0.66</v>
      </c>
      <c r="I37" s="91">
        <v>1.59</v>
      </c>
      <c r="J37" s="91">
        <v>0.46</v>
      </c>
      <c r="K37" s="91">
        <v>0.76</v>
      </c>
      <c r="L37" s="91">
        <v>1.26</v>
      </c>
      <c r="M37" s="91">
        <v>0.8</v>
      </c>
      <c r="N37" s="91">
        <v>0.4</v>
      </c>
      <c r="O37" s="91">
        <v>1.29</v>
      </c>
      <c r="P37" s="91">
        <v>0.41</v>
      </c>
      <c r="Q37" s="92">
        <v>0.7</v>
      </c>
      <c r="R37" s="92">
        <v>1.1499999999999999</v>
      </c>
      <c r="S37" s="92">
        <v>0.54</v>
      </c>
      <c r="T37" s="92">
        <v>0.51</v>
      </c>
      <c r="U37" s="92">
        <v>1.05</v>
      </c>
      <c r="V37" s="92">
        <v>0.49</v>
      </c>
      <c r="W37" s="88">
        <f>MAX(E37:V37)</f>
        <v>1.81</v>
      </c>
      <c r="X37" s="88" t="str">
        <f>IF(W37=0,"STAND BY",IF(W37&lt;2.3,"NORMAL",IF(W37&lt;4.6,"PREWARNING",IF(W37&lt;7.2,"WARNING","ALARM"))))</f>
        <v>NORMAL</v>
      </c>
      <c r="Y37" s="72"/>
      <c r="Z37" s="67" t="s">
        <v>49</v>
      </c>
    </row>
    <row r="38" spans="1:27" ht="15" customHeight="1" x14ac:dyDescent="0.3">
      <c r="A38" s="85"/>
      <c r="B38" s="88">
        <v>2</v>
      </c>
      <c r="C38" s="89" t="str">
        <f>'[1]INPUT EQUIPMENT'!B32</f>
        <v>Motor ID Fan 2#2</v>
      </c>
      <c r="D38" s="90" t="s">
        <v>65</v>
      </c>
      <c r="E38" s="91">
        <v>0.51</v>
      </c>
      <c r="F38" s="91">
        <v>0.97</v>
      </c>
      <c r="G38" s="91">
        <v>0.69</v>
      </c>
      <c r="H38" s="91">
        <v>1.1499999999999999</v>
      </c>
      <c r="I38" s="88">
        <v>0.97</v>
      </c>
      <c r="J38" s="88">
        <v>0.61</v>
      </c>
      <c r="K38" s="88">
        <v>0.7</v>
      </c>
      <c r="L38" s="88">
        <v>1.03</v>
      </c>
      <c r="M38" s="88">
        <v>1.62</v>
      </c>
      <c r="N38" s="88">
        <v>0.51</v>
      </c>
      <c r="O38" s="88">
        <v>0.69</v>
      </c>
      <c r="P38" s="88">
        <v>0.81</v>
      </c>
      <c r="Q38" s="92">
        <v>0.81</v>
      </c>
      <c r="R38" s="92">
        <v>1.1100000000000001</v>
      </c>
      <c r="S38" s="92">
        <v>0.54</v>
      </c>
      <c r="T38" s="92">
        <v>0.66</v>
      </c>
      <c r="U38" s="92">
        <v>0.81</v>
      </c>
      <c r="V38" s="92">
        <v>0.57999999999999996</v>
      </c>
      <c r="W38" s="88">
        <f t="shared" ref="W38:W87" si="41">MAX(E38:V38)</f>
        <v>1.62</v>
      </c>
      <c r="X38" s="88" t="str">
        <f t="shared" ref="X38:X42" si="42">IF(W38=0,"STAND BY",IF(W38&lt;2.3,"NORMAL",IF(W38&lt;4.6,"PREWARNING",IF(W38&lt;7.2,"WARNING","ALARM"))))</f>
        <v>NORMAL</v>
      </c>
      <c r="Y38" s="72"/>
      <c r="Z38" s="67" t="s">
        <v>54</v>
      </c>
      <c r="AA38" s="68">
        <f>29+19</f>
        <v>48</v>
      </c>
    </row>
    <row r="39" spans="1:27" ht="15" customHeight="1" x14ac:dyDescent="0.3">
      <c r="A39" s="85"/>
      <c r="B39" s="88">
        <v>3</v>
      </c>
      <c r="C39" s="89" t="str">
        <f>'[1]INPUT EQUIPMENT'!B33</f>
        <v>Motor Primary Air Fan 1#2</v>
      </c>
      <c r="D39" s="90" t="s">
        <v>65</v>
      </c>
      <c r="E39" s="91">
        <v>0.44</v>
      </c>
      <c r="F39" s="91">
        <v>1.54</v>
      </c>
      <c r="G39" s="91">
        <v>0.97</v>
      </c>
      <c r="H39" s="91">
        <v>0.86</v>
      </c>
      <c r="I39" s="91">
        <v>1.36</v>
      </c>
      <c r="J39" s="91">
        <v>0.6</v>
      </c>
      <c r="K39" s="91">
        <v>0.98</v>
      </c>
      <c r="L39" s="91">
        <v>1.78</v>
      </c>
      <c r="M39" s="91">
        <v>1.1100000000000001</v>
      </c>
      <c r="N39" s="91">
        <v>1.82</v>
      </c>
      <c r="O39" s="91">
        <v>2.23</v>
      </c>
      <c r="P39" s="91">
        <v>1.1599999999999999</v>
      </c>
      <c r="Q39" s="95" t="s">
        <v>66</v>
      </c>
      <c r="R39" s="95" t="s">
        <v>66</v>
      </c>
      <c r="S39" s="95" t="s">
        <v>66</v>
      </c>
      <c r="T39" s="95" t="s">
        <v>66</v>
      </c>
      <c r="U39" s="95" t="s">
        <v>66</v>
      </c>
      <c r="V39" s="95" t="s">
        <v>66</v>
      </c>
      <c r="W39" s="88">
        <f t="shared" si="41"/>
        <v>2.23</v>
      </c>
      <c r="X39" s="88" t="str">
        <f t="shared" si="42"/>
        <v>NORMAL</v>
      </c>
      <c r="Y39" s="72"/>
      <c r="Z39" s="67" t="s">
        <v>53</v>
      </c>
      <c r="AA39" s="68">
        <f>AA38*AA42</f>
        <v>0.57600000000000007</v>
      </c>
    </row>
    <row r="40" spans="1:27" ht="15" customHeight="1" x14ac:dyDescent="0.3">
      <c r="A40" s="85"/>
      <c r="B40" s="88">
        <v>4</v>
      </c>
      <c r="C40" s="89" t="str">
        <f>'[1]INPUT EQUIPMENT'!B34</f>
        <v>Motor Primary Air Fan 2#2</v>
      </c>
      <c r="D40" s="90" t="s">
        <v>65</v>
      </c>
      <c r="E40" s="91">
        <v>1.22</v>
      </c>
      <c r="F40" s="91">
        <v>2.4300000000000002</v>
      </c>
      <c r="G40" s="91">
        <v>1.04</v>
      </c>
      <c r="H40" s="91">
        <v>2.84</v>
      </c>
      <c r="I40" s="91">
        <v>2.41</v>
      </c>
      <c r="J40" s="91">
        <v>1.2</v>
      </c>
      <c r="K40" s="91">
        <v>0.86</v>
      </c>
      <c r="L40" s="91">
        <v>2.13</v>
      </c>
      <c r="M40" s="91">
        <v>0.7</v>
      </c>
      <c r="N40" s="91">
        <v>1.27</v>
      </c>
      <c r="O40" s="91">
        <v>1.35</v>
      </c>
      <c r="P40" s="91">
        <v>0.63</v>
      </c>
      <c r="Q40" s="95" t="s">
        <v>66</v>
      </c>
      <c r="R40" s="95" t="s">
        <v>66</v>
      </c>
      <c r="S40" s="95" t="s">
        <v>66</v>
      </c>
      <c r="T40" s="95" t="s">
        <v>66</v>
      </c>
      <c r="U40" s="95" t="s">
        <v>66</v>
      </c>
      <c r="V40" s="95" t="s">
        <v>66</v>
      </c>
      <c r="W40" s="88">
        <f t="shared" si="41"/>
        <v>2.84</v>
      </c>
      <c r="X40" s="88" t="str">
        <f t="shared" si="42"/>
        <v>PREWARNING</v>
      </c>
      <c r="Y40" s="72"/>
      <c r="Z40" s="67" t="s">
        <v>55</v>
      </c>
    </row>
    <row r="41" spans="1:27" ht="15" customHeight="1" x14ac:dyDescent="0.3">
      <c r="A41" s="85"/>
      <c r="B41" s="88">
        <v>5</v>
      </c>
      <c r="C41" s="89" t="str">
        <f>'[1]INPUT EQUIPMENT'!B35</f>
        <v>Motor Secondary Air Fan 1#2</v>
      </c>
      <c r="D41" s="90" t="s">
        <v>65</v>
      </c>
      <c r="E41" s="91">
        <v>0.61</v>
      </c>
      <c r="F41" s="91">
        <v>2.2999999999999998</v>
      </c>
      <c r="G41" s="91">
        <v>0.67</v>
      </c>
      <c r="H41" s="91">
        <v>1.41</v>
      </c>
      <c r="I41" s="91">
        <v>1.63</v>
      </c>
      <c r="J41" s="91">
        <v>0.83</v>
      </c>
      <c r="K41" s="91">
        <v>1.68</v>
      </c>
      <c r="L41" s="91">
        <v>2.9</v>
      </c>
      <c r="M41" s="91">
        <v>0.99</v>
      </c>
      <c r="N41" s="91">
        <v>0.49</v>
      </c>
      <c r="O41" s="91">
        <v>1.92</v>
      </c>
      <c r="P41" s="91">
        <v>1.03</v>
      </c>
      <c r="Q41" s="95" t="s">
        <v>66</v>
      </c>
      <c r="R41" s="95" t="s">
        <v>66</v>
      </c>
      <c r="S41" s="95" t="s">
        <v>66</v>
      </c>
      <c r="T41" s="95" t="s">
        <v>66</v>
      </c>
      <c r="U41" s="95" t="s">
        <v>66</v>
      </c>
      <c r="V41" s="95" t="s">
        <v>66</v>
      </c>
      <c r="W41" s="88">
        <f t="shared" si="41"/>
        <v>2.9</v>
      </c>
      <c r="X41" s="88" t="str">
        <f>IF(W41=0,"STAND BY",IF(W41&lt;2.3,"NORMAL",IF(W41&lt;4.6,"PREWARNING",IF(W41&lt;7.2,"WARNING","ALARM"))))</f>
        <v>PREWARNING</v>
      </c>
      <c r="Y41" s="72"/>
    </row>
    <row r="42" spans="1:27" ht="15" customHeight="1" x14ac:dyDescent="0.3">
      <c r="A42" s="85"/>
      <c r="B42" s="88">
        <v>6</v>
      </c>
      <c r="C42" s="89" t="str">
        <f>'[1]INPUT EQUIPMENT'!B36</f>
        <v>Motor Secondary Air Fan 2#2</v>
      </c>
      <c r="D42" s="90" t="s">
        <v>65</v>
      </c>
      <c r="E42" s="91">
        <v>1.08</v>
      </c>
      <c r="F42" s="91">
        <v>2.72</v>
      </c>
      <c r="G42" s="91">
        <v>0.8</v>
      </c>
      <c r="H42" s="91">
        <v>0.51</v>
      </c>
      <c r="I42" s="91">
        <v>2.71</v>
      </c>
      <c r="J42" s="91">
        <v>0.96</v>
      </c>
      <c r="K42" s="91">
        <v>0.69</v>
      </c>
      <c r="L42" s="91">
        <v>1.83</v>
      </c>
      <c r="M42" s="91">
        <v>0.99</v>
      </c>
      <c r="N42" s="91">
        <v>0.97</v>
      </c>
      <c r="O42" s="91">
        <v>2.08</v>
      </c>
      <c r="P42" s="91">
        <v>1.1000000000000001</v>
      </c>
      <c r="Q42" s="95" t="s">
        <v>66</v>
      </c>
      <c r="R42" s="95" t="s">
        <v>66</v>
      </c>
      <c r="S42" s="95" t="s">
        <v>66</v>
      </c>
      <c r="T42" s="95" t="s">
        <v>66</v>
      </c>
      <c r="U42" s="95" t="s">
        <v>66</v>
      </c>
      <c r="V42" s="95" t="s">
        <v>66</v>
      </c>
      <c r="W42" s="88">
        <f t="shared" si="41"/>
        <v>2.72</v>
      </c>
      <c r="X42" s="88" t="str">
        <f t="shared" si="42"/>
        <v>PREWARNING</v>
      </c>
      <c r="Y42" s="72"/>
      <c r="AA42" s="68">
        <v>1.2E-2</v>
      </c>
    </row>
    <row r="43" spans="1:27" ht="15" customHeight="1" x14ac:dyDescent="0.3">
      <c r="A43" s="85"/>
      <c r="B43" s="88">
        <v>7</v>
      </c>
      <c r="C43" s="89" t="str">
        <f>'[1]INPUT EQUIPMENT'!B37</f>
        <v>Turbin-Generator#2</v>
      </c>
      <c r="D43" s="90" t="s">
        <v>65</v>
      </c>
      <c r="E43" s="91">
        <v>4.2300000000000004</v>
      </c>
      <c r="F43" s="91">
        <v>2.36</v>
      </c>
      <c r="G43" s="91">
        <v>1.69</v>
      </c>
      <c r="H43" s="91">
        <v>0.39</v>
      </c>
      <c r="I43" s="91">
        <v>1.95</v>
      </c>
      <c r="J43" s="91">
        <v>1.05</v>
      </c>
      <c r="K43" s="91">
        <v>0.32</v>
      </c>
      <c r="L43" s="91">
        <v>2.5299999999999998</v>
      </c>
      <c r="M43" s="91">
        <v>1.1200000000000001</v>
      </c>
      <c r="N43" s="91">
        <v>2.61</v>
      </c>
      <c r="O43" s="91">
        <v>2.61</v>
      </c>
      <c r="P43" s="91">
        <v>5.85</v>
      </c>
      <c r="Q43" s="95" t="s">
        <v>66</v>
      </c>
      <c r="R43" s="95" t="s">
        <v>66</v>
      </c>
      <c r="S43" s="95" t="s">
        <v>66</v>
      </c>
      <c r="T43" s="95" t="s">
        <v>66</v>
      </c>
      <c r="U43" s="95" t="s">
        <v>66</v>
      </c>
      <c r="V43" s="95" t="s">
        <v>66</v>
      </c>
      <c r="W43" s="88">
        <f t="shared" si="41"/>
        <v>5.85</v>
      </c>
      <c r="X43" s="88" t="str">
        <f>IF(W43=0,"STAND BY",IF(W43&lt;3.8,"NORMAL",IF(W43&lt;7.5,"PREWARNING",IF(W43&lt;10.1,"WARNING","ALARM"))))</f>
        <v>PREWARNING</v>
      </c>
      <c r="Y43" s="72"/>
      <c r="Z43" s="67" t="s">
        <v>56</v>
      </c>
    </row>
    <row r="44" spans="1:27" ht="15" customHeight="1" x14ac:dyDescent="0.3">
      <c r="A44" s="85"/>
      <c r="B44" s="88">
        <v>8</v>
      </c>
      <c r="C44" s="89" t="str">
        <f>'[1]INPUT EQUIPMENT'!B38</f>
        <v>Motor Condensat Pump 1#2</v>
      </c>
      <c r="D44" s="90" t="s">
        <v>67</v>
      </c>
      <c r="E44" s="91">
        <v>0</v>
      </c>
      <c r="F44" s="91">
        <v>0</v>
      </c>
      <c r="G44" s="91">
        <v>0</v>
      </c>
      <c r="H44" s="91">
        <v>0</v>
      </c>
      <c r="I44" s="91">
        <v>0</v>
      </c>
      <c r="J44" s="91">
        <v>0</v>
      </c>
      <c r="K44" s="91">
        <v>0</v>
      </c>
      <c r="L44" s="91">
        <v>0</v>
      </c>
      <c r="M44" s="91">
        <v>0</v>
      </c>
      <c r="N44" s="95" t="s">
        <v>66</v>
      </c>
      <c r="O44" s="95" t="s">
        <v>66</v>
      </c>
      <c r="P44" s="95" t="s">
        <v>66</v>
      </c>
      <c r="Q44" s="95" t="s">
        <v>66</v>
      </c>
      <c r="R44" s="95" t="s">
        <v>66</v>
      </c>
      <c r="S44" s="95" t="s">
        <v>66</v>
      </c>
      <c r="T44" s="95" t="s">
        <v>66</v>
      </c>
      <c r="U44" s="95" t="s">
        <v>66</v>
      </c>
      <c r="V44" s="95" t="s">
        <v>66</v>
      </c>
      <c r="W44" s="88">
        <f t="shared" si="41"/>
        <v>0</v>
      </c>
      <c r="X44" s="88" t="str">
        <f t="shared" ref="X44" si="43">IF(W44=0,"STAND BY",IF(W44&lt;1.5,"NORMAL",IF(W44&lt;2.81,"PREWARNING",IF(W44&lt;4.5,"WARNING","ALARM"))))</f>
        <v>STAND BY</v>
      </c>
      <c r="Y44" s="72"/>
      <c r="Z44" s="67" t="s">
        <v>46</v>
      </c>
    </row>
    <row r="45" spans="1:27" ht="15" customHeight="1" x14ac:dyDescent="0.3">
      <c r="A45" s="85"/>
      <c r="B45" s="88">
        <v>9</v>
      </c>
      <c r="C45" s="89" t="str">
        <f>'[1]INPUT EQUIPMENT'!B39</f>
        <v>Motor Condensat Pump 2#2</v>
      </c>
      <c r="D45" s="90" t="s">
        <v>67</v>
      </c>
      <c r="E45" s="88">
        <v>1.1499999999999999</v>
      </c>
      <c r="F45" s="88">
        <v>1.2</v>
      </c>
      <c r="G45" s="88">
        <v>0</v>
      </c>
      <c r="H45" s="88">
        <v>0.4</v>
      </c>
      <c r="I45" s="88">
        <v>0.4</v>
      </c>
      <c r="J45" s="88">
        <v>0.74</v>
      </c>
      <c r="K45" s="88">
        <v>0.18</v>
      </c>
      <c r="L45" s="88">
        <v>0.54</v>
      </c>
      <c r="M45" s="88">
        <v>0.98</v>
      </c>
      <c r="N45" s="95" t="s">
        <v>66</v>
      </c>
      <c r="O45" s="95" t="s">
        <v>66</v>
      </c>
      <c r="P45" s="95" t="s">
        <v>66</v>
      </c>
      <c r="Q45" s="95" t="s">
        <v>66</v>
      </c>
      <c r="R45" s="95" t="s">
        <v>66</v>
      </c>
      <c r="S45" s="95" t="s">
        <v>66</v>
      </c>
      <c r="T45" s="95" t="s">
        <v>66</v>
      </c>
      <c r="U45" s="95" t="s">
        <v>66</v>
      </c>
      <c r="V45" s="95" t="s">
        <v>66</v>
      </c>
      <c r="W45" s="88">
        <f t="shared" si="41"/>
        <v>1.2</v>
      </c>
      <c r="X45" s="88" t="str">
        <f>IF(W45=0,"STAND BY",IF(W45&lt;1.4,"NORMAL",IF(W45&lt;2.81,"PREWARNING",IF(W45&lt;4.5,"WARNING","ALARM"))))</f>
        <v>NORMAL</v>
      </c>
      <c r="Y45" s="72"/>
      <c r="Z45" s="67" t="s">
        <v>47</v>
      </c>
      <c r="AA45" s="68">
        <v>3.4</v>
      </c>
    </row>
    <row r="46" spans="1:27" ht="15" customHeight="1" x14ac:dyDescent="0.3">
      <c r="A46" s="85"/>
      <c r="B46" s="88">
        <v>10</v>
      </c>
      <c r="C46" s="89" t="str">
        <f>'[1]INPUT EQUIPMENT'!B40</f>
        <v>Motor Vacuum Pump 1#2</v>
      </c>
      <c r="D46" s="90" t="s">
        <v>67</v>
      </c>
      <c r="E46" s="88">
        <v>0.78</v>
      </c>
      <c r="F46" s="88">
        <v>0.52</v>
      </c>
      <c r="G46" s="88">
        <v>0.66</v>
      </c>
      <c r="H46" s="88">
        <v>1.0900000000000001</v>
      </c>
      <c r="I46" s="88">
        <v>0.93</v>
      </c>
      <c r="J46" s="88">
        <v>0.62</v>
      </c>
      <c r="K46" s="88">
        <v>1.1599999999999999</v>
      </c>
      <c r="L46" s="88">
        <v>1.5</v>
      </c>
      <c r="M46" s="88">
        <v>0.56999999999999995</v>
      </c>
      <c r="N46" s="88">
        <v>0.94</v>
      </c>
      <c r="O46" s="88">
        <v>0.82</v>
      </c>
      <c r="P46" s="88">
        <v>0.49</v>
      </c>
      <c r="Q46" s="95" t="s">
        <v>66</v>
      </c>
      <c r="R46" s="95" t="s">
        <v>66</v>
      </c>
      <c r="S46" s="95" t="s">
        <v>66</v>
      </c>
      <c r="T46" s="95" t="s">
        <v>66</v>
      </c>
      <c r="U46" s="95" t="s">
        <v>66</v>
      </c>
      <c r="V46" s="95" t="s">
        <v>66</v>
      </c>
      <c r="W46" s="88">
        <f t="shared" si="41"/>
        <v>1.5</v>
      </c>
      <c r="X46" s="88" t="str">
        <f>IF(W46=0,"STAND BY",IF(W46&lt;1.4,"NORMAL",IF(W46&lt;2.81,"PREWARNING",IF(W46&lt;4.5,"WARNING","ALARM"))))</f>
        <v>PREWARNING</v>
      </c>
      <c r="Y46" s="72"/>
      <c r="AA46" s="68">
        <f>AA45-AA39</f>
        <v>2.8239999999999998</v>
      </c>
    </row>
    <row r="47" spans="1:27" ht="15" customHeight="1" x14ac:dyDescent="0.3">
      <c r="A47" s="85"/>
      <c r="B47" s="88">
        <v>11</v>
      </c>
      <c r="C47" s="89" t="str">
        <f>'[1]INPUT EQUIPMENT'!B41</f>
        <v>Motor Vacuum Pump 2#2</v>
      </c>
      <c r="D47" s="90" t="s">
        <v>67</v>
      </c>
      <c r="E47" s="88">
        <v>0.62</v>
      </c>
      <c r="F47" s="88">
        <v>0.56000000000000005</v>
      </c>
      <c r="G47" s="88">
        <v>0.71</v>
      </c>
      <c r="H47" s="88">
        <v>1.08</v>
      </c>
      <c r="I47" s="88">
        <v>1.1200000000000001</v>
      </c>
      <c r="J47" s="88">
        <v>0.96</v>
      </c>
      <c r="K47" s="88">
        <v>1.19</v>
      </c>
      <c r="L47" s="88">
        <v>1.5</v>
      </c>
      <c r="M47" s="88">
        <v>0.53</v>
      </c>
      <c r="N47" s="88">
        <v>1.28</v>
      </c>
      <c r="O47" s="88">
        <v>0.86</v>
      </c>
      <c r="P47" s="88">
        <v>0.45</v>
      </c>
      <c r="Q47" s="95" t="s">
        <v>66</v>
      </c>
      <c r="R47" s="95" t="s">
        <v>66</v>
      </c>
      <c r="S47" s="95" t="s">
        <v>66</v>
      </c>
      <c r="T47" s="95" t="s">
        <v>66</v>
      </c>
      <c r="U47" s="95" t="s">
        <v>66</v>
      </c>
      <c r="V47" s="95" t="s">
        <v>66</v>
      </c>
      <c r="W47" s="88">
        <f t="shared" si="41"/>
        <v>1.5</v>
      </c>
      <c r="X47" s="88" t="str">
        <f t="shared" ref="X47" si="44">IF(W47=0,"STAND BY",IF(W47&lt;1.5,"NORMAL",IF(W47&lt;2.81,"PREWARNING",IF(W47&lt;4.5,"WARNING","ALARM"))))</f>
        <v>PREWARNING</v>
      </c>
      <c r="Y47" s="72"/>
      <c r="Z47" s="67" t="s">
        <v>57</v>
      </c>
      <c r="AA47" s="68">
        <v>1.7</v>
      </c>
    </row>
    <row r="48" spans="1:27" ht="15" customHeight="1" x14ac:dyDescent="0.3">
      <c r="A48" s="85"/>
      <c r="B48" s="88">
        <v>12</v>
      </c>
      <c r="C48" s="89" t="str">
        <f>'[1]INPUT EQUIPMENT'!B42</f>
        <v>Motor Boiler Feed Pump 1#2</v>
      </c>
      <c r="D48" s="90" t="s">
        <v>67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92">
        <v>0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88">
        <f t="shared" si="41"/>
        <v>0</v>
      </c>
      <c r="X48" s="88" t="str">
        <f t="shared" ref="X48:X49" si="45">IF(W48=0,"STAND BY",IF(W48&lt;2.4,"NORMAL",IF(W48&lt;4.6,"PREWARNING",IF(W48&lt;7.2,"WARNING","ALARM"))))</f>
        <v>STAND BY</v>
      </c>
      <c r="Y48" s="72"/>
      <c r="AA48" s="68">
        <f>AA46-AA47</f>
        <v>1.1239999999999999</v>
      </c>
    </row>
    <row r="49" spans="1:30" ht="15" customHeight="1" x14ac:dyDescent="0.3">
      <c r="A49" s="85"/>
      <c r="B49" s="88">
        <v>13</v>
      </c>
      <c r="C49" s="89" t="str">
        <f>'[1]INPUT EQUIPMENT'!B43</f>
        <v>Motor Boiler Feed Pump 2#2</v>
      </c>
      <c r="D49" s="90" t="s">
        <v>67</v>
      </c>
      <c r="E49" s="88">
        <v>0.57999999999999996</v>
      </c>
      <c r="F49" s="88">
        <v>1.1100000000000001</v>
      </c>
      <c r="G49" s="88">
        <v>1.4</v>
      </c>
      <c r="H49" s="88">
        <v>1.2</v>
      </c>
      <c r="I49" s="88">
        <v>1.43</v>
      </c>
      <c r="J49" s="88">
        <v>1.28</v>
      </c>
      <c r="K49" s="88">
        <v>0.41</v>
      </c>
      <c r="L49" s="88">
        <v>0.7</v>
      </c>
      <c r="M49" s="88">
        <v>0.69</v>
      </c>
      <c r="N49" s="88">
        <v>0.35</v>
      </c>
      <c r="O49" s="88">
        <v>0.65</v>
      </c>
      <c r="P49" s="88">
        <v>0.67</v>
      </c>
      <c r="Q49" s="92">
        <v>1.33</v>
      </c>
      <c r="R49" s="92">
        <v>1.92</v>
      </c>
      <c r="S49" s="92">
        <v>0.38</v>
      </c>
      <c r="T49" s="92">
        <v>2.14</v>
      </c>
      <c r="U49" s="92">
        <v>1.99</v>
      </c>
      <c r="V49" s="92">
        <v>0.86</v>
      </c>
      <c r="W49" s="88">
        <f t="shared" si="41"/>
        <v>2.14</v>
      </c>
      <c r="X49" s="88" t="str">
        <f t="shared" si="45"/>
        <v>NORMAL</v>
      </c>
      <c r="Y49" s="72"/>
      <c r="Z49" s="67" t="s">
        <v>56</v>
      </c>
      <c r="AA49" s="68">
        <f>AA48/AA42</f>
        <v>93.666666666666657</v>
      </c>
    </row>
    <row r="50" spans="1:30" ht="15" customHeight="1" x14ac:dyDescent="0.3">
      <c r="A50" s="85"/>
      <c r="B50" s="88">
        <v>14</v>
      </c>
      <c r="C50" s="89" t="str">
        <f>'[1]INPUT EQUIPMENT'!B44</f>
        <v>Motor CCCWP 1#2</v>
      </c>
      <c r="D50" s="90" t="s">
        <v>67</v>
      </c>
      <c r="E50" s="88">
        <v>1.6</v>
      </c>
      <c r="F50" s="88">
        <v>2.2599999999999998</v>
      </c>
      <c r="G50" s="95" t="s">
        <v>66</v>
      </c>
      <c r="H50" s="88">
        <v>1.44</v>
      </c>
      <c r="I50" s="88">
        <v>0.71</v>
      </c>
      <c r="J50" s="88">
        <v>0.75</v>
      </c>
      <c r="K50" s="88">
        <v>0.81</v>
      </c>
      <c r="L50" s="88">
        <v>0.54</v>
      </c>
      <c r="M50" s="88">
        <v>0.66</v>
      </c>
      <c r="N50" s="95" t="s">
        <v>66</v>
      </c>
      <c r="O50" s="95" t="s">
        <v>66</v>
      </c>
      <c r="P50" s="95" t="s">
        <v>66</v>
      </c>
      <c r="Q50" s="95" t="s">
        <v>66</v>
      </c>
      <c r="R50" s="95" t="s">
        <v>66</v>
      </c>
      <c r="S50" s="95" t="s">
        <v>66</v>
      </c>
      <c r="T50" s="95" t="s">
        <v>66</v>
      </c>
      <c r="U50" s="95" t="s">
        <v>66</v>
      </c>
      <c r="V50" s="95" t="s">
        <v>66</v>
      </c>
      <c r="W50" s="88">
        <f t="shared" si="41"/>
        <v>2.2599999999999998</v>
      </c>
      <c r="X50" s="88" t="str">
        <f t="shared" ref="X50" si="46">IF(W50=0,"STAND BY",IF(W50&lt;1.5,"NORMAL",IF(W50&lt;2.81,"PREWARNING",IF(W50&lt;4.5,"WARNING","ALARM"))))</f>
        <v>PREWARNING</v>
      </c>
      <c r="Y50" s="72"/>
      <c r="Z50" s="67" t="s">
        <v>47</v>
      </c>
    </row>
    <row r="51" spans="1:30" ht="15" customHeight="1" x14ac:dyDescent="0.3">
      <c r="A51" s="85"/>
      <c r="B51" s="88">
        <v>15</v>
      </c>
      <c r="C51" s="89" t="str">
        <f>'[1]INPUT EQUIPMENT'!B45</f>
        <v>Motor CCCWP 2#2</v>
      </c>
      <c r="D51" s="90" t="s">
        <v>67</v>
      </c>
      <c r="E51" s="88">
        <v>0</v>
      </c>
      <c r="F51" s="88">
        <v>0</v>
      </c>
      <c r="G51" s="95" t="s">
        <v>66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95" t="s">
        <v>66</v>
      </c>
      <c r="O51" s="95" t="s">
        <v>66</v>
      </c>
      <c r="P51" s="95" t="s">
        <v>66</v>
      </c>
      <c r="Q51" s="95" t="s">
        <v>66</v>
      </c>
      <c r="R51" s="95" t="s">
        <v>66</v>
      </c>
      <c r="S51" s="95" t="s">
        <v>66</v>
      </c>
      <c r="T51" s="95" t="s">
        <v>66</v>
      </c>
      <c r="U51" s="95" t="s">
        <v>66</v>
      </c>
      <c r="V51" s="95" t="s">
        <v>66</v>
      </c>
      <c r="W51" s="88">
        <f t="shared" si="41"/>
        <v>0</v>
      </c>
      <c r="X51" s="88" t="str">
        <f>IF(W51=0,"STAND BY",IF(W51&lt;1.5,"NORMAL",IF(W51&lt;2.81,"PREWARNING",IF(W51&lt;4.5,"WARNING","ALARM"))))</f>
        <v>STAND BY</v>
      </c>
      <c r="Y51" s="72"/>
      <c r="Z51" s="67" t="s">
        <v>46</v>
      </c>
    </row>
    <row r="52" spans="1:30" ht="15" customHeight="1" x14ac:dyDescent="0.3">
      <c r="A52" s="85"/>
      <c r="B52" s="88">
        <v>16</v>
      </c>
      <c r="C52" s="89" t="s">
        <v>74</v>
      </c>
      <c r="D52" s="90" t="s">
        <v>67</v>
      </c>
      <c r="E52" s="88">
        <v>1</v>
      </c>
      <c r="F52" s="88">
        <v>1.22</v>
      </c>
      <c r="G52" s="88">
        <v>0.91</v>
      </c>
      <c r="H52" s="88">
        <v>2.0699999999999998</v>
      </c>
      <c r="I52" s="88">
        <v>1.1100000000000001</v>
      </c>
      <c r="J52" s="88">
        <v>0.47</v>
      </c>
      <c r="K52" s="88">
        <v>0.57999999999999996</v>
      </c>
      <c r="L52" s="88">
        <v>0.32</v>
      </c>
      <c r="M52" s="88">
        <v>0.38</v>
      </c>
      <c r="N52" s="95" t="s">
        <v>66</v>
      </c>
      <c r="O52" s="95" t="s">
        <v>66</v>
      </c>
      <c r="P52" s="95" t="s">
        <v>66</v>
      </c>
      <c r="Q52" s="95" t="s">
        <v>66</v>
      </c>
      <c r="R52" s="95" t="s">
        <v>66</v>
      </c>
      <c r="S52" s="95" t="s">
        <v>66</v>
      </c>
      <c r="T52" s="95" t="s">
        <v>66</v>
      </c>
      <c r="U52" s="95" t="s">
        <v>66</v>
      </c>
      <c r="V52" s="95" t="s">
        <v>66</v>
      </c>
      <c r="W52" s="88">
        <f t="shared" si="41"/>
        <v>2.0699999999999998</v>
      </c>
      <c r="X52" s="88" t="str">
        <f>IF(W52=0,"STAND BY",IF(W52&lt;1.5,"NORMAL",IF(W52&lt;2.81,"PREWARNING",IF(W52&lt;4.5,"WARNING","ALARM"))))</f>
        <v>PREWARNING</v>
      </c>
      <c r="Y52" s="72"/>
      <c r="Z52" s="67" t="s">
        <v>46</v>
      </c>
    </row>
    <row r="53" spans="1:30" ht="15" customHeight="1" x14ac:dyDescent="0.3">
      <c r="A53" s="85"/>
      <c r="B53" s="88">
        <v>17</v>
      </c>
      <c r="C53" s="89" t="str">
        <f>'[1]INPUT EQUIPMENT'!B46</f>
        <v>Motor CWP 355 Kw 1#2</v>
      </c>
      <c r="D53" s="90" t="s">
        <v>67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95" t="s">
        <v>66</v>
      </c>
      <c r="O53" s="95" t="s">
        <v>66</v>
      </c>
      <c r="P53" s="95" t="s">
        <v>66</v>
      </c>
      <c r="Q53" s="95" t="s">
        <v>66</v>
      </c>
      <c r="R53" s="95" t="s">
        <v>66</v>
      </c>
      <c r="S53" s="95" t="s">
        <v>66</v>
      </c>
      <c r="T53" s="95" t="s">
        <v>66</v>
      </c>
      <c r="U53" s="95" t="s">
        <v>66</v>
      </c>
      <c r="V53" s="95" t="s">
        <v>66</v>
      </c>
      <c r="W53" s="88">
        <f t="shared" si="41"/>
        <v>0</v>
      </c>
      <c r="X53" s="88" t="str">
        <f t="shared" ref="X53:X54" si="47">IF(W53=0,"STAND BY",IF(W53&lt;2.4,"NORMAL",IF(W53&lt;4.6,"PREWARNING",IF(W53&lt;7.2,"WARNING","ALARM"))))</f>
        <v>STAND BY</v>
      </c>
      <c r="Y53" s="72"/>
      <c r="Z53" s="67" t="s">
        <v>48</v>
      </c>
    </row>
    <row r="54" spans="1:30" ht="15" customHeight="1" x14ac:dyDescent="0.3">
      <c r="A54" s="85"/>
      <c r="B54" s="88">
        <v>18</v>
      </c>
      <c r="C54" s="89" t="str">
        <f>'[1]INPUT EQUIPMENT'!B47</f>
        <v>Motor CWP 355 Kw 2#2</v>
      </c>
      <c r="D54" s="90" t="s">
        <v>67</v>
      </c>
      <c r="E54" s="88">
        <v>1.62</v>
      </c>
      <c r="F54" s="88">
        <v>2.02</v>
      </c>
      <c r="G54" s="88">
        <v>1.02</v>
      </c>
      <c r="H54" s="88">
        <v>0.6</v>
      </c>
      <c r="I54" s="88">
        <v>1.49</v>
      </c>
      <c r="J54" s="88">
        <v>0.4</v>
      </c>
      <c r="K54" s="88">
        <v>0</v>
      </c>
      <c r="L54" s="88">
        <v>0</v>
      </c>
      <c r="M54" s="88">
        <v>0</v>
      </c>
      <c r="N54" s="95" t="s">
        <v>66</v>
      </c>
      <c r="O54" s="95" t="s">
        <v>66</v>
      </c>
      <c r="P54" s="95" t="s">
        <v>66</v>
      </c>
      <c r="Q54" s="95" t="s">
        <v>66</v>
      </c>
      <c r="R54" s="95" t="s">
        <v>66</v>
      </c>
      <c r="S54" s="95" t="s">
        <v>66</v>
      </c>
      <c r="T54" s="95" t="s">
        <v>66</v>
      </c>
      <c r="U54" s="95" t="s">
        <v>66</v>
      </c>
      <c r="V54" s="95" t="s">
        <v>66</v>
      </c>
      <c r="W54" s="88">
        <f t="shared" si="41"/>
        <v>2.02</v>
      </c>
      <c r="X54" s="88" t="str">
        <f t="shared" si="47"/>
        <v>NORMAL</v>
      </c>
      <c r="Y54" s="72"/>
      <c r="Z54" s="67" t="s">
        <v>48</v>
      </c>
    </row>
    <row r="55" spans="1:30" ht="15" customHeight="1" x14ac:dyDescent="0.3">
      <c r="A55" s="85"/>
      <c r="B55" s="88">
        <v>19</v>
      </c>
      <c r="C55" s="89" t="s">
        <v>75</v>
      </c>
      <c r="D55" s="90" t="s">
        <v>67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95" t="s">
        <v>66</v>
      </c>
      <c r="R55" s="95" t="s">
        <v>66</v>
      </c>
      <c r="S55" s="95" t="s">
        <v>66</v>
      </c>
      <c r="T55" s="95" t="s">
        <v>66</v>
      </c>
      <c r="U55" s="95" t="s">
        <v>66</v>
      </c>
      <c r="V55" s="95" t="s">
        <v>66</v>
      </c>
      <c r="W55" s="88">
        <f t="shared" si="41"/>
        <v>0</v>
      </c>
      <c r="X55" s="88" t="str">
        <f>IF(W55=0,"STAND BY",IF(W55&lt;1.4,"NORMAL",IF(W55&lt;2.81,"PREWARNING",IF(W55&lt;4.5,"WARNING","ALARM"))))</f>
        <v>STAND BY</v>
      </c>
      <c r="Y55" s="72"/>
      <c r="Z55" s="67" t="s">
        <v>47</v>
      </c>
    </row>
    <row r="56" spans="1:30" ht="15" customHeight="1" x14ac:dyDescent="0.3">
      <c r="A56" s="85"/>
      <c r="B56" s="88">
        <v>20</v>
      </c>
      <c r="C56" s="89" t="s">
        <v>76</v>
      </c>
      <c r="D56" s="90" t="s">
        <v>67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95" t="s">
        <v>66</v>
      </c>
      <c r="R56" s="95" t="s">
        <v>66</v>
      </c>
      <c r="S56" s="95" t="s">
        <v>66</v>
      </c>
      <c r="T56" s="95" t="s">
        <v>66</v>
      </c>
      <c r="U56" s="95" t="s">
        <v>66</v>
      </c>
      <c r="V56" s="95" t="s">
        <v>66</v>
      </c>
      <c r="W56" s="88">
        <f t="shared" si="41"/>
        <v>0</v>
      </c>
      <c r="X56" s="88" t="str">
        <f t="shared" ref="X56" si="48">IF(W56=0,"STAND BY",IF(W56&lt;1.4,"NORMAL",IF(W56&lt;2.81,"PREWARNING",IF(W56&lt;4.5,"WARNING","ALARM"))))</f>
        <v>STAND BY</v>
      </c>
      <c r="Y56" s="72"/>
      <c r="Z56" s="67" t="s">
        <v>47</v>
      </c>
    </row>
    <row r="57" spans="1:30" ht="21" customHeight="1" x14ac:dyDescent="0.3">
      <c r="A57" s="75"/>
      <c r="B57" s="96"/>
      <c r="C57" s="96" t="str">
        <f>'[1]INPUT EQUIPMENT'!A48</f>
        <v>UNIT 3</v>
      </c>
      <c r="D57" s="96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72"/>
      <c r="AA57" s="84"/>
      <c r="AB57" s="84"/>
      <c r="AC57" s="74">
        <v>4</v>
      </c>
      <c r="AD57" s="74" t="s">
        <v>77</v>
      </c>
    </row>
    <row r="58" spans="1:30" ht="16.5" customHeight="1" x14ac:dyDescent="0.3">
      <c r="A58" s="98"/>
      <c r="B58" s="91">
        <v>1</v>
      </c>
      <c r="C58" s="89" t="str">
        <f>'[1]INPUT EQUIPMENT'!B49</f>
        <v>Motor ID Fan 1#3</v>
      </c>
      <c r="D58" s="91" t="s">
        <v>65</v>
      </c>
      <c r="E58" s="91">
        <v>0.62</v>
      </c>
      <c r="F58" s="91">
        <v>0.93</v>
      </c>
      <c r="G58" s="91">
        <v>0.79</v>
      </c>
      <c r="H58" s="91">
        <v>0.87</v>
      </c>
      <c r="I58" s="91">
        <v>0.69</v>
      </c>
      <c r="J58" s="91">
        <v>0.39</v>
      </c>
      <c r="K58" s="91">
        <v>0.77</v>
      </c>
      <c r="L58" s="91">
        <v>1.23</v>
      </c>
      <c r="M58" s="91">
        <v>0.4</v>
      </c>
      <c r="N58" s="91">
        <v>0.52</v>
      </c>
      <c r="O58" s="91">
        <v>1.19</v>
      </c>
      <c r="P58" s="91">
        <v>0.32</v>
      </c>
      <c r="Q58" s="95" t="s">
        <v>66</v>
      </c>
      <c r="R58" s="95" t="s">
        <v>66</v>
      </c>
      <c r="S58" s="95" t="s">
        <v>66</v>
      </c>
      <c r="T58" s="95" t="s">
        <v>66</v>
      </c>
      <c r="U58" s="95" t="s">
        <v>66</v>
      </c>
      <c r="V58" s="95" t="s">
        <v>66</v>
      </c>
      <c r="W58" s="88">
        <f t="shared" si="41"/>
        <v>1.23</v>
      </c>
      <c r="X58" s="88" t="str">
        <f>IF(W58=0,"STAND BY",IF(W58&lt;2.4,"NORMAL",IF(W58&lt;4.6,"PREWARNING",IF(W58&lt;7.2,"WARNING","ALARM"))))</f>
        <v>NORMAL</v>
      </c>
      <c r="Y58" s="72"/>
      <c r="Z58" s="67" t="s">
        <v>55</v>
      </c>
      <c r="AA58" s="84"/>
      <c r="AB58" s="84"/>
      <c r="AC58" s="74">
        <v>5</v>
      </c>
      <c r="AD58" s="74" t="s">
        <v>78</v>
      </c>
    </row>
    <row r="59" spans="1:30" ht="15" customHeight="1" x14ac:dyDescent="0.3">
      <c r="A59" s="98"/>
      <c r="B59" s="91">
        <v>2</v>
      </c>
      <c r="C59" s="89" t="str">
        <f>'[1]INPUT EQUIPMENT'!B50</f>
        <v>Motor ID Fan 2#3</v>
      </c>
      <c r="D59" s="91" t="s">
        <v>65</v>
      </c>
      <c r="E59" s="91">
        <v>0.26</v>
      </c>
      <c r="F59" s="91">
        <v>0.42</v>
      </c>
      <c r="G59" s="91">
        <v>0.55000000000000004</v>
      </c>
      <c r="H59" s="91">
        <v>0.41</v>
      </c>
      <c r="I59" s="91">
        <v>0.53</v>
      </c>
      <c r="J59" s="91">
        <v>0.28000000000000003</v>
      </c>
      <c r="K59" s="91">
        <v>0.24</v>
      </c>
      <c r="L59" s="91">
        <v>0.33</v>
      </c>
      <c r="M59" s="91">
        <v>0.8</v>
      </c>
      <c r="N59" s="91">
        <v>0.36</v>
      </c>
      <c r="O59" s="91">
        <v>0.54</v>
      </c>
      <c r="P59" s="91">
        <v>0.31</v>
      </c>
      <c r="Q59" s="95" t="s">
        <v>66</v>
      </c>
      <c r="R59" s="95" t="s">
        <v>66</v>
      </c>
      <c r="S59" s="95" t="s">
        <v>66</v>
      </c>
      <c r="T59" s="95" t="s">
        <v>66</v>
      </c>
      <c r="U59" s="95" t="s">
        <v>66</v>
      </c>
      <c r="V59" s="95" t="s">
        <v>66</v>
      </c>
      <c r="W59" s="88">
        <f t="shared" si="41"/>
        <v>0.8</v>
      </c>
      <c r="X59" s="88" t="str">
        <f>IF(W59=0,"STAND BY",IF(W59&lt;2.4,"NORMAL",IF(W59&lt;4.6,"PREWARNING",IF(W59&lt;7.2,"WARNING","ALARM"))))</f>
        <v>NORMAL</v>
      </c>
      <c r="Y59" s="72"/>
      <c r="Z59" s="67" t="s">
        <v>51</v>
      </c>
      <c r="AC59" s="74">
        <v>6</v>
      </c>
      <c r="AD59" s="74" t="s">
        <v>79</v>
      </c>
    </row>
    <row r="60" spans="1:30" ht="15" customHeight="1" x14ac:dyDescent="0.3">
      <c r="A60" s="98"/>
      <c r="B60" s="91">
        <v>3</v>
      </c>
      <c r="C60" s="89" t="str">
        <f>'[1]INPUT EQUIPMENT'!B51</f>
        <v>Motor Primary Air Fan#3</v>
      </c>
      <c r="D60" s="91" t="s">
        <v>65</v>
      </c>
      <c r="E60" s="91">
        <v>1.78</v>
      </c>
      <c r="F60" s="91">
        <v>1.96</v>
      </c>
      <c r="G60" s="91">
        <v>1.34</v>
      </c>
      <c r="H60" s="91">
        <v>1.22</v>
      </c>
      <c r="I60" s="91">
        <v>2.21</v>
      </c>
      <c r="J60" s="91">
        <v>1.18</v>
      </c>
      <c r="K60" s="91">
        <v>1.27</v>
      </c>
      <c r="L60" s="91">
        <v>1.33</v>
      </c>
      <c r="M60" s="91">
        <v>1.29</v>
      </c>
      <c r="N60" s="91">
        <v>1.47</v>
      </c>
      <c r="O60" s="91">
        <v>1.84</v>
      </c>
      <c r="P60" s="91">
        <v>1.29</v>
      </c>
      <c r="Q60" s="95" t="s">
        <v>66</v>
      </c>
      <c r="R60" s="95" t="s">
        <v>66</v>
      </c>
      <c r="S60" s="95" t="s">
        <v>66</v>
      </c>
      <c r="T60" s="95" t="s">
        <v>66</v>
      </c>
      <c r="U60" s="95" t="s">
        <v>66</v>
      </c>
      <c r="V60" s="95" t="s">
        <v>66</v>
      </c>
      <c r="W60" s="88">
        <f t="shared" si="41"/>
        <v>2.21</v>
      </c>
      <c r="X60" s="88" t="str">
        <f>IF(W60=0,"STAND BY",IF(W60&lt;2.4,"NORMAL",IF(W60&lt;4.6,"PREWARNING",IF(W60&lt;7.2,"WARNING","ALARM"))))</f>
        <v>NORMAL</v>
      </c>
      <c r="Y60" s="72"/>
      <c r="Z60" s="67" t="s">
        <v>55</v>
      </c>
      <c r="AB60" s="99"/>
      <c r="AC60" s="74">
        <v>7</v>
      </c>
      <c r="AD60" s="74" t="s">
        <v>80</v>
      </c>
    </row>
    <row r="61" spans="1:30" ht="15" customHeight="1" x14ac:dyDescent="0.3">
      <c r="A61" s="98"/>
      <c r="B61" s="91">
        <v>4</v>
      </c>
      <c r="C61" s="89" t="str">
        <f>'[1]INPUT EQUIPMENT'!B52</f>
        <v>Motor Secondary Air Fan#3</v>
      </c>
      <c r="D61" s="91" t="s">
        <v>65</v>
      </c>
      <c r="E61" s="91">
        <v>1.6</v>
      </c>
      <c r="F61" s="91">
        <v>2.39</v>
      </c>
      <c r="G61" s="91">
        <v>1.19</v>
      </c>
      <c r="H61" s="91">
        <v>1.72</v>
      </c>
      <c r="I61" s="91">
        <v>2.4900000000000002</v>
      </c>
      <c r="J61" s="91">
        <v>1.45</v>
      </c>
      <c r="K61" s="91">
        <v>1.7</v>
      </c>
      <c r="L61" s="91">
        <v>1.81</v>
      </c>
      <c r="M61" s="91">
        <v>1.68</v>
      </c>
      <c r="N61" s="91">
        <v>2.4500000000000002</v>
      </c>
      <c r="O61" s="91">
        <v>2.46</v>
      </c>
      <c r="P61" s="91">
        <v>1.73</v>
      </c>
      <c r="Q61" s="95" t="s">
        <v>66</v>
      </c>
      <c r="R61" s="95" t="s">
        <v>66</v>
      </c>
      <c r="S61" s="95" t="s">
        <v>66</v>
      </c>
      <c r="T61" s="95" t="s">
        <v>66</v>
      </c>
      <c r="U61" s="95" t="s">
        <v>66</v>
      </c>
      <c r="V61" s="95" t="s">
        <v>66</v>
      </c>
      <c r="W61" s="88">
        <f t="shared" si="41"/>
        <v>2.4900000000000002</v>
      </c>
      <c r="X61" s="88" t="str">
        <f>IF(W61=0,"STAND BY",IF(W61&lt;2.4,"NORMAL",IF(W61&lt;4.6,"PREWARNING",IF(W61&lt;7.2,"WARNING","ALARM"))))</f>
        <v>PREWARNING</v>
      </c>
      <c r="Y61" s="72"/>
      <c r="Z61" s="67" t="s">
        <v>53</v>
      </c>
      <c r="AC61" s="74">
        <v>8</v>
      </c>
      <c r="AD61" s="74" t="s">
        <v>81</v>
      </c>
    </row>
    <row r="62" spans="1:30" ht="15" customHeight="1" x14ac:dyDescent="0.3">
      <c r="A62" s="98"/>
      <c r="B62" s="91">
        <v>5</v>
      </c>
      <c r="C62" s="89" t="str">
        <f>'[1]INPUT EQUIPMENT'!B53</f>
        <v>Motor Recirculating Air Fan 1#3</v>
      </c>
      <c r="D62" s="91" t="s">
        <v>67</v>
      </c>
      <c r="E62" s="91">
        <v>0</v>
      </c>
      <c r="F62" s="91">
        <v>0</v>
      </c>
      <c r="G62" s="91">
        <v>0</v>
      </c>
      <c r="H62" s="91">
        <v>0</v>
      </c>
      <c r="I62" s="91">
        <v>0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88">
        <f t="shared" si="41"/>
        <v>0</v>
      </c>
      <c r="X62" s="88" t="str">
        <f t="shared" ref="X62:X63" si="49">IF(W62=0,"STAND BY",IF(W62&lt;2.4,"NORMAL",IF(W62&lt;4.6,"PREWARNING",IF(W62&lt;7.2,"WARNING","ALARM"))))</f>
        <v>STAND BY</v>
      </c>
      <c r="Y62" s="72"/>
      <c r="Z62" s="67" t="s">
        <v>59</v>
      </c>
      <c r="AC62" s="74">
        <v>9</v>
      </c>
      <c r="AD62" s="74" t="s">
        <v>82</v>
      </c>
    </row>
    <row r="63" spans="1:30" ht="15" customHeight="1" x14ac:dyDescent="0.3">
      <c r="A63" s="98"/>
      <c r="B63" s="91">
        <v>6</v>
      </c>
      <c r="C63" s="89" t="str">
        <f>'[1]INPUT EQUIPMENT'!B54</f>
        <v>Motor Recirculating Air Fan 2#3</v>
      </c>
      <c r="D63" s="91" t="s">
        <v>67</v>
      </c>
      <c r="E63" s="91">
        <v>1.19</v>
      </c>
      <c r="F63" s="91">
        <v>1.1200000000000001</v>
      </c>
      <c r="G63" s="91">
        <v>1.08</v>
      </c>
      <c r="H63" s="91">
        <v>0.81</v>
      </c>
      <c r="I63" s="91">
        <v>1.47</v>
      </c>
      <c r="J63" s="91">
        <v>1.04</v>
      </c>
      <c r="K63" s="91">
        <v>2.2799999999999998</v>
      </c>
      <c r="L63" s="91">
        <v>3.36</v>
      </c>
      <c r="M63" s="91">
        <v>2.16</v>
      </c>
      <c r="N63" s="91">
        <v>2.37</v>
      </c>
      <c r="O63" s="91">
        <v>2.7</v>
      </c>
      <c r="P63" s="91">
        <v>2.16</v>
      </c>
      <c r="Q63" s="91">
        <v>2.42</v>
      </c>
      <c r="R63" s="91">
        <v>3.06</v>
      </c>
      <c r="S63" s="91">
        <v>2.31</v>
      </c>
      <c r="T63" s="91">
        <v>2.23</v>
      </c>
      <c r="U63" s="91">
        <v>2.7</v>
      </c>
      <c r="V63" s="91">
        <v>2.39</v>
      </c>
      <c r="W63" s="88">
        <f t="shared" si="41"/>
        <v>3.36</v>
      </c>
      <c r="X63" s="88" t="str">
        <f t="shared" si="49"/>
        <v>PREWARNING</v>
      </c>
      <c r="Y63" s="72"/>
      <c r="Z63" s="67" t="s">
        <v>62</v>
      </c>
      <c r="AB63" s="99"/>
      <c r="AC63" s="74">
        <v>10</v>
      </c>
      <c r="AD63" s="74" t="s">
        <v>83</v>
      </c>
    </row>
    <row r="64" spans="1:30" ht="15" customHeight="1" x14ac:dyDescent="0.3">
      <c r="A64" s="85"/>
      <c r="B64" s="91">
        <v>7</v>
      </c>
      <c r="C64" s="89" t="str">
        <f>'[1]INPUT EQUIPMENT'!B55</f>
        <v>Turbin-Generator#3</v>
      </c>
      <c r="D64" s="91" t="s">
        <v>67</v>
      </c>
      <c r="E64" s="91">
        <v>1.04</v>
      </c>
      <c r="F64" s="91">
        <v>1.24</v>
      </c>
      <c r="G64" s="91">
        <v>0.91</v>
      </c>
      <c r="H64" s="91">
        <v>3.04</v>
      </c>
      <c r="I64" s="91">
        <v>2.79</v>
      </c>
      <c r="J64" s="91">
        <v>2.61</v>
      </c>
      <c r="K64" s="91">
        <v>0.37</v>
      </c>
      <c r="L64" s="91">
        <v>1.43</v>
      </c>
      <c r="M64" s="91">
        <v>2.73</v>
      </c>
      <c r="N64" s="91">
        <v>0.97</v>
      </c>
      <c r="O64" s="91">
        <v>0.48</v>
      </c>
      <c r="P64" s="91">
        <v>1.29</v>
      </c>
      <c r="Q64" s="95" t="s">
        <v>66</v>
      </c>
      <c r="R64" s="95" t="s">
        <v>66</v>
      </c>
      <c r="S64" s="95" t="s">
        <v>66</v>
      </c>
      <c r="T64" s="95" t="s">
        <v>66</v>
      </c>
      <c r="U64" s="95" t="s">
        <v>66</v>
      </c>
      <c r="V64" s="95" t="s">
        <v>66</v>
      </c>
      <c r="W64" s="88">
        <f t="shared" si="41"/>
        <v>3.04</v>
      </c>
      <c r="X64" s="88" t="str">
        <f>IF(W64=0,"STAND BY",IF(W64&lt;3.8,"NORMAL",IF(W64&lt;7.5,"PREWARNING",IF(W64&lt;11.8,"WARNING","ALARM"))))</f>
        <v>NORMAL</v>
      </c>
      <c r="Y64" s="72"/>
      <c r="Z64" s="67" t="s">
        <v>57</v>
      </c>
      <c r="AA64" s="100"/>
    </row>
    <row r="65" spans="1:27" ht="15" customHeight="1" x14ac:dyDescent="0.3">
      <c r="A65" s="85"/>
      <c r="B65" s="91">
        <v>8</v>
      </c>
      <c r="C65" s="89" t="str">
        <f>'[1]INPUT EQUIPMENT'!B56</f>
        <v>Motor Condensat Pump 1#3</v>
      </c>
      <c r="D65" s="91" t="s">
        <v>67</v>
      </c>
      <c r="E65" s="91">
        <v>2.11</v>
      </c>
      <c r="F65" s="91">
        <v>2.54</v>
      </c>
      <c r="G65" s="91">
        <v>0.95</v>
      </c>
      <c r="H65" s="91">
        <v>1.7</v>
      </c>
      <c r="I65" s="91">
        <v>2.71</v>
      </c>
      <c r="J65" s="91">
        <v>1.85</v>
      </c>
      <c r="K65" s="91">
        <v>1.66</v>
      </c>
      <c r="L65" s="91">
        <v>1.57</v>
      </c>
      <c r="M65" s="91">
        <v>0.67</v>
      </c>
      <c r="N65" s="91">
        <v>1.1299999999999999</v>
      </c>
      <c r="O65" s="91">
        <v>1.37</v>
      </c>
      <c r="P65" s="91">
        <v>1.02</v>
      </c>
      <c r="Q65" s="95" t="s">
        <v>66</v>
      </c>
      <c r="R65" s="95" t="s">
        <v>66</v>
      </c>
      <c r="S65" s="95" t="s">
        <v>66</v>
      </c>
      <c r="T65" s="95" t="s">
        <v>66</v>
      </c>
      <c r="U65" s="95" t="s">
        <v>66</v>
      </c>
      <c r="V65" s="95" t="s">
        <v>66</v>
      </c>
      <c r="W65" s="88">
        <f>MAX(E65:V65)</f>
        <v>2.71</v>
      </c>
      <c r="X65" s="88" t="str">
        <f>IF(W65=0,"STAND BY",IF(W65&lt;1.5,"NORMAL",IF(W65&lt;2.9,"PREWARNING",IF(W65&lt;4.6,"WARNING","ALARM"))))</f>
        <v>PREWARNING</v>
      </c>
      <c r="Y65" s="72"/>
      <c r="Z65" s="67" t="s">
        <v>47</v>
      </c>
    </row>
    <row r="66" spans="1:27" ht="15" customHeight="1" x14ac:dyDescent="0.3">
      <c r="A66" s="85"/>
      <c r="B66" s="91">
        <v>9</v>
      </c>
      <c r="C66" s="89" t="str">
        <f>'[1]INPUT EQUIPMENT'!B57</f>
        <v>Motor Condensat Pump 2#3</v>
      </c>
      <c r="D66" s="91" t="s">
        <v>67</v>
      </c>
      <c r="E66" s="91">
        <v>1.1299999999999999</v>
      </c>
      <c r="F66" s="91">
        <v>2.0099999999999998</v>
      </c>
      <c r="G66" s="91">
        <v>0.3</v>
      </c>
      <c r="H66" s="91">
        <v>1.72</v>
      </c>
      <c r="I66" s="91">
        <v>2.06</v>
      </c>
      <c r="J66" s="91">
        <v>0.91</v>
      </c>
      <c r="K66" s="91">
        <v>0.76</v>
      </c>
      <c r="L66" s="91">
        <v>1.54</v>
      </c>
      <c r="M66" s="91">
        <v>0.88</v>
      </c>
      <c r="N66" s="91">
        <v>1.81</v>
      </c>
      <c r="O66" s="91">
        <v>1.57</v>
      </c>
      <c r="P66" s="91">
        <v>1.06</v>
      </c>
      <c r="Q66" s="95" t="s">
        <v>66</v>
      </c>
      <c r="R66" s="95" t="s">
        <v>66</v>
      </c>
      <c r="S66" s="95" t="s">
        <v>66</v>
      </c>
      <c r="T66" s="95" t="s">
        <v>66</v>
      </c>
      <c r="U66" s="95" t="s">
        <v>66</v>
      </c>
      <c r="V66" s="95" t="s">
        <v>66</v>
      </c>
      <c r="W66" s="88">
        <f t="shared" si="41"/>
        <v>2.06</v>
      </c>
      <c r="X66" s="88" t="str">
        <f>IF(W66=0,"STAND BY",IF(W66&lt;1.5,"NORMAL",IF(W66&lt;2.9,"PREWARNING",IF(W66&lt;4.6,"WARNING","ALARM"))))</f>
        <v>PREWARNING</v>
      </c>
      <c r="Y66" s="72"/>
      <c r="Z66" s="67" t="s">
        <v>47</v>
      </c>
    </row>
    <row r="67" spans="1:27" ht="15" customHeight="1" x14ac:dyDescent="0.3">
      <c r="A67" s="85"/>
      <c r="B67" s="91">
        <v>10</v>
      </c>
      <c r="C67" s="89" t="str">
        <f>'[1]INPUT EQUIPMENT'!B58</f>
        <v>Motor Condensat Pump 3#3</v>
      </c>
      <c r="D67" s="91" t="s">
        <v>67</v>
      </c>
      <c r="E67" s="91">
        <v>0.77</v>
      </c>
      <c r="F67" s="91">
        <v>1.68</v>
      </c>
      <c r="G67" s="91">
        <v>0.55000000000000004</v>
      </c>
      <c r="H67" s="91">
        <v>0.87</v>
      </c>
      <c r="I67" s="91">
        <v>1.74</v>
      </c>
      <c r="J67" s="91">
        <v>0.86</v>
      </c>
      <c r="K67" s="91">
        <v>0.62</v>
      </c>
      <c r="L67" s="91">
        <v>1.59</v>
      </c>
      <c r="M67" s="91">
        <v>0.77</v>
      </c>
      <c r="N67" s="91">
        <v>0.84</v>
      </c>
      <c r="O67" s="91">
        <v>1.81</v>
      </c>
      <c r="P67" s="91">
        <v>0.97</v>
      </c>
      <c r="Q67" s="95" t="s">
        <v>66</v>
      </c>
      <c r="R67" s="95" t="s">
        <v>66</v>
      </c>
      <c r="S67" s="95" t="s">
        <v>66</v>
      </c>
      <c r="T67" s="95" t="s">
        <v>66</v>
      </c>
      <c r="U67" s="95" t="s">
        <v>66</v>
      </c>
      <c r="V67" s="95" t="s">
        <v>66</v>
      </c>
      <c r="W67" s="88">
        <f t="shared" si="41"/>
        <v>1.81</v>
      </c>
      <c r="X67" s="88" t="str">
        <f>IF(W67=0,"STAND BY",IF(W67&lt;1.5,"NORMAL",IF(W67&lt;2.9,"PREWARNING",IF(W67&lt;4.6,"WARNING","ALARM"))))</f>
        <v>PREWARNING</v>
      </c>
      <c r="Y67" s="72"/>
      <c r="Z67" s="67" t="s">
        <v>47</v>
      </c>
    </row>
    <row r="68" spans="1:27" ht="15" customHeight="1" x14ac:dyDescent="0.3">
      <c r="A68" s="85"/>
      <c r="B68" s="91">
        <v>11</v>
      </c>
      <c r="C68" s="89" t="str">
        <f>'[1]INPUT EQUIPMENT'!B59</f>
        <v>Motor Water jet Pump 1#3</v>
      </c>
      <c r="D68" s="91" t="s">
        <v>67</v>
      </c>
      <c r="E68" s="91">
        <v>0.51</v>
      </c>
      <c r="F68" s="91">
        <v>1</v>
      </c>
      <c r="G68" s="91">
        <v>0.22</v>
      </c>
      <c r="H68" s="91">
        <v>0.92</v>
      </c>
      <c r="I68" s="91">
        <v>1.21</v>
      </c>
      <c r="J68" s="91">
        <v>0.57999999999999996</v>
      </c>
      <c r="K68" s="91">
        <v>0.89</v>
      </c>
      <c r="L68" s="91">
        <v>1.02</v>
      </c>
      <c r="M68" s="91">
        <v>0.62</v>
      </c>
      <c r="N68" s="91">
        <v>0.91</v>
      </c>
      <c r="O68" s="91">
        <v>0.88</v>
      </c>
      <c r="P68" s="91">
        <v>0.67</v>
      </c>
      <c r="Q68" s="95" t="s">
        <v>66</v>
      </c>
      <c r="R68" s="95" t="s">
        <v>66</v>
      </c>
      <c r="S68" s="95" t="s">
        <v>66</v>
      </c>
      <c r="T68" s="95" t="s">
        <v>66</v>
      </c>
      <c r="U68" s="95" t="s">
        <v>66</v>
      </c>
      <c r="V68" s="95" t="s">
        <v>66</v>
      </c>
      <c r="W68" s="88">
        <f t="shared" si="41"/>
        <v>1.21</v>
      </c>
      <c r="X68" s="88" t="str">
        <f>IF(W68=0,"STAND BY",IF(W68&lt;1.5,"NORMAL",IF(W68&lt;2.9,"PREWARNING",IF(W68&lt;4.6,"WARNING","ALARM"))))</f>
        <v>NORMAL</v>
      </c>
      <c r="Y68" s="72"/>
      <c r="Z68" s="67" t="s">
        <v>53</v>
      </c>
    </row>
    <row r="69" spans="1:27" ht="15" customHeight="1" x14ac:dyDescent="0.3">
      <c r="A69" s="85"/>
      <c r="B69" s="91">
        <v>12</v>
      </c>
      <c r="C69" s="89" t="str">
        <f>'[1]INPUT EQUIPMENT'!B60</f>
        <v>Motor Water jet Pump 2#3</v>
      </c>
      <c r="D69" s="91" t="s">
        <v>67</v>
      </c>
      <c r="E69" s="91">
        <v>0</v>
      </c>
      <c r="F69" s="91">
        <v>0</v>
      </c>
      <c r="G69" s="91">
        <v>0</v>
      </c>
      <c r="H69" s="91">
        <v>0</v>
      </c>
      <c r="I69" s="91">
        <v>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0</v>
      </c>
      <c r="Q69" s="95" t="s">
        <v>66</v>
      </c>
      <c r="R69" s="95" t="s">
        <v>66</v>
      </c>
      <c r="S69" s="95" t="s">
        <v>66</v>
      </c>
      <c r="T69" s="95" t="s">
        <v>66</v>
      </c>
      <c r="U69" s="95" t="s">
        <v>66</v>
      </c>
      <c r="V69" s="95" t="s">
        <v>66</v>
      </c>
      <c r="W69" s="88">
        <f t="shared" si="41"/>
        <v>0</v>
      </c>
      <c r="X69" s="88" t="str">
        <f>IF(W69=0,"STAND BY",IF(W69&lt;1.5,"NORMAL",IF(W69&lt;2.9,"PREWARNING",IF(W69&lt;4.6,"WARNING","ALARM"))))</f>
        <v>STAND BY</v>
      </c>
      <c r="Y69" s="72"/>
      <c r="Z69" s="67" t="s">
        <v>53</v>
      </c>
    </row>
    <row r="70" spans="1:27" ht="15" customHeight="1" x14ac:dyDescent="0.3">
      <c r="A70" s="85"/>
      <c r="B70" s="91">
        <v>13</v>
      </c>
      <c r="C70" s="89" t="str">
        <f>'[1]INPUT EQUIPMENT'!B61</f>
        <v>Motor Boiler Feed Pump 1#3</v>
      </c>
      <c r="D70" s="91" t="s">
        <v>65</v>
      </c>
      <c r="E70" s="91">
        <v>0.69</v>
      </c>
      <c r="F70" s="91">
        <v>1.5</v>
      </c>
      <c r="G70" s="91">
        <v>1.79</v>
      </c>
      <c r="H70" s="91">
        <v>0.71</v>
      </c>
      <c r="I70" s="91">
        <v>1.06</v>
      </c>
      <c r="J70" s="91">
        <v>1.03</v>
      </c>
      <c r="K70" s="91">
        <v>0.74</v>
      </c>
      <c r="L70" s="91">
        <v>2.06</v>
      </c>
      <c r="M70" s="91">
        <v>1.25</v>
      </c>
      <c r="N70" s="91">
        <v>0.76</v>
      </c>
      <c r="O70" s="91">
        <v>2.02</v>
      </c>
      <c r="P70" s="91">
        <v>1.27</v>
      </c>
      <c r="Q70" s="92">
        <v>1.6</v>
      </c>
      <c r="R70" s="92">
        <v>2.08</v>
      </c>
      <c r="S70" s="92">
        <v>0.5</v>
      </c>
      <c r="T70" s="92">
        <v>0.63</v>
      </c>
      <c r="U70" s="92">
        <v>0.92</v>
      </c>
      <c r="V70" s="92">
        <v>0.43</v>
      </c>
      <c r="W70" s="88">
        <f t="shared" si="41"/>
        <v>2.08</v>
      </c>
      <c r="X70" s="88" t="str">
        <f>IF(W70=0,"STAND BY",IF(W70&lt;2.4,"NORMAL",IF(W70&lt;7.2,"PREWARNING",IF(W70&lt;7.2,"WARNING","ALARM"))))</f>
        <v>NORMAL</v>
      </c>
      <c r="Y70" s="72"/>
      <c r="Z70" s="67" t="s">
        <v>53</v>
      </c>
    </row>
    <row r="71" spans="1:27" ht="15" customHeight="1" x14ac:dyDescent="0.3">
      <c r="A71" s="85"/>
      <c r="B71" s="91">
        <v>14</v>
      </c>
      <c r="C71" s="89" t="str">
        <f>'[1]INPUT EQUIPMENT'!B62</f>
        <v>Motor Boiler Feed Pump 2#3</v>
      </c>
      <c r="D71" s="91" t="s">
        <v>65</v>
      </c>
      <c r="E71" s="91">
        <v>0</v>
      </c>
      <c r="F71" s="91">
        <v>0</v>
      </c>
      <c r="G71" s="91">
        <v>0</v>
      </c>
      <c r="H71" s="91">
        <v>0</v>
      </c>
      <c r="I71" s="91">
        <v>0</v>
      </c>
      <c r="J71" s="91">
        <v>0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91">
        <v>0</v>
      </c>
      <c r="Q71" s="92">
        <v>0</v>
      </c>
      <c r="R71" s="92">
        <v>0</v>
      </c>
      <c r="S71" s="92">
        <v>0</v>
      </c>
      <c r="T71" s="92">
        <v>0</v>
      </c>
      <c r="U71" s="92">
        <v>0</v>
      </c>
      <c r="V71" s="92">
        <v>0</v>
      </c>
      <c r="W71" s="88">
        <f t="shared" si="41"/>
        <v>0</v>
      </c>
      <c r="X71" s="88" t="str">
        <f>IF(W71=0,"STAND BY",IF(W71&lt;2.4,"NORMAL",IF(W71&lt;7.2,"PREWARNING",IF(W71&lt;7.2,"WARNING","ALARM"))))</f>
        <v>STAND BY</v>
      </c>
      <c r="Y71" s="72"/>
    </row>
    <row r="72" spans="1:27" ht="15" customHeight="1" x14ac:dyDescent="0.3">
      <c r="A72" s="85"/>
      <c r="B72" s="91">
        <v>15</v>
      </c>
      <c r="C72" s="89" t="str">
        <f>'[1]INPUT EQUIPMENT'!B63</f>
        <v>Motor CCWP 1#3</v>
      </c>
      <c r="D72" s="91" t="s">
        <v>67</v>
      </c>
      <c r="E72" s="91">
        <v>0.83</v>
      </c>
      <c r="F72" s="91">
        <v>0.77</v>
      </c>
      <c r="G72" s="91">
        <v>0.98</v>
      </c>
      <c r="H72" s="91">
        <v>1.39</v>
      </c>
      <c r="I72" s="91">
        <v>2.34</v>
      </c>
      <c r="J72" s="91">
        <v>1.28</v>
      </c>
      <c r="K72" s="91">
        <v>1.26</v>
      </c>
      <c r="L72" s="91">
        <v>1.7</v>
      </c>
      <c r="M72" s="91">
        <v>0.77</v>
      </c>
      <c r="N72" s="91">
        <v>0.93</v>
      </c>
      <c r="O72" s="91">
        <v>0.64</v>
      </c>
      <c r="P72" s="91">
        <v>1.0900000000000001</v>
      </c>
      <c r="Q72" s="95" t="s">
        <v>66</v>
      </c>
      <c r="R72" s="95" t="s">
        <v>66</v>
      </c>
      <c r="S72" s="95" t="s">
        <v>66</v>
      </c>
      <c r="T72" s="95" t="s">
        <v>66</v>
      </c>
      <c r="U72" s="95" t="s">
        <v>66</v>
      </c>
      <c r="V72" s="95" t="s">
        <v>66</v>
      </c>
      <c r="W72" s="88">
        <f t="shared" si="41"/>
        <v>2.34</v>
      </c>
      <c r="X72" s="88" t="str">
        <f>IF(W72=0,"STAND BY",IF(W72&lt;1.5,"NORMAL",IF(W72&lt;2.8,"PREWARNING",IF(W72&lt;4.6,"WARNING","ALARM"))))</f>
        <v>PREWARNING</v>
      </c>
      <c r="Y72" s="72"/>
      <c r="Z72" s="67" t="s">
        <v>51</v>
      </c>
    </row>
    <row r="73" spans="1:27" ht="15" customHeight="1" x14ac:dyDescent="0.3">
      <c r="A73" s="85"/>
      <c r="B73" s="91">
        <v>16</v>
      </c>
      <c r="C73" s="89" t="str">
        <f>'[1]INPUT EQUIPMENT'!B64</f>
        <v>Motor CCWP 2#3</v>
      </c>
      <c r="D73" s="91" t="s">
        <v>67</v>
      </c>
      <c r="E73" s="91">
        <v>0.46</v>
      </c>
      <c r="F73" s="91">
        <v>1.62</v>
      </c>
      <c r="G73" s="91">
        <v>0.64</v>
      </c>
      <c r="H73" s="91">
        <v>1.97</v>
      </c>
      <c r="I73" s="91">
        <v>2.04</v>
      </c>
      <c r="J73" s="91">
        <v>1.41</v>
      </c>
      <c r="K73" s="91">
        <v>1.79</v>
      </c>
      <c r="L73" s="91">
        <v>1.1399999999999999</v>
      </c>
      <c r="M73" s="91">
        <v>1.3</v>
      </c>
      <c r="N73" s="91">
        <v>1.23</v>
      </c>
      <c r="O73" s="91">
        <v>0.79</v>
      </c>
      <c r="P73" s="91">
        <v>1.84</v>
      </c>
      <c r="Q73" s="95" t="s">
        <v>66</v>
      </c>
      <c r="R73" s="95" t="s">
        <v>66</v>
      </c>
      <c r="S73" s="95" t="s">
        <v>66</v>
      </c>
      <c r="T73" s="95" t="s">
        <v>66</v>
      </c>
      <c r="U73" s="95" t="s">
        <v>66</v>
      </c>
      <c r="V73" s="95" t="s">
        <v>66</v>
      </c>
      <c r="W73" s="88">
        <f>MAX(E73:V73)</f>
        <v>2.04</v>
      </c>
      <c r="X73" s="88" t="str">
        <f t="shared" ref="X73" si="50">IF(W73=0,"STAND BY",IF(W73&lt;1.5,"NORMAL",IF(W73&lt;2.9,"PREWARNING",IF(W73&lt;4.6,"WARNING","ALARM"))))</f>
        <v>PREWARNING</v>
      </c>
      <c r="Y73" s="72"/>
      <c r="Z73" s="67" t="s">
        <v>46</v>
      </c>
    </row>
    <row r="74" spans="1:27" ht="15" customHeight="1" x14ac:dyDescent="0.3">
      <c r="A74" s="85"/>
      <c r="B74" s="91">
        <v>17</v>
      </c>
      <c r="C74" s="89" t="str">
        <f>'[1]INPUT EQUIPMENT'!B65</f>
        <v>Motor CWP 355 Kw 1#3</v>
      </c>
      <c r="D74" s="91" t="s">
        <v>65</v>
      </c>
      <c r="E74" s="91">
        <v>0</v>
      </c>
      <c r="F74" s="91">
        <v>0</v>
      </c>
      <c r="G74" s="91">
        <v>0</v>
      </c>
      <c r="H74" s="91">
        <v>0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5" t="s">
        <v>66</v>
      </c>
      <c r="O74" s="95" t="s">
        <v>66</v>
      </c>
      <c r="P74" s="95" t="s">
        <v>66</v>
      </c>
      <c r="Q74" s="95" t="s">
        <v>66</v>
      </c>
      <c r="R74" s="95" t="s">
        <v>66</v>
      </c>
      <c r="S74" s="95" t="s">
        <v>66</v>
      </c>
      <c r="T74" s="95" t="s">
        <v>66</v>
      </c>
      <c r="U74" s="95" t="s">
        <v>66</v>
      </c>
      <c r="V74" s="95" t="s">
        <v>66</v>
      </c>
      <c r="W74" s="88">
        <f t="shared" si="41"/>
        <v>0</v>
      </c>
      <c r="X74" s="88" t="str">
        <f t="shared" ref="X74:X75" si="51">IF(W74=0,"STAND BY",IF(W74&lt;2.4,"NORMAL",IF(W74&lt;4.6,"PREWARNING",IF(W74&lt;7.2,"WARNING","ALARM"))))</f>
        <v>STAND BY</v>
      </c>
      <c r="Y74" s="72"/>
      <c r="Z74" s="67" t="s">
        <v>54</v>
      </c>
      <c r="AA74" s="67"/>
    </row>
    <row r="75" spans="1:27" ht="15" customHeight="1" x14ac:dyDescent="0.3">
      <c r="A75" s="85"/>
      <c r="B75" s="91">
        <v>18</v>
      </c>
      <c r="C75" s="89" t="str">
        <f>'[1]INPUT EQUIPMENT'!B66</f>
        <v>Motor CWP 355 Kw 2#3</v>
      </c>
      <c r="D75" s="91" t="s">
        <v>65</v>
      </c>
      <c r="E75" s="91">
        <v>2.79</v>
      </c>
      <c r="F75" s="91">
        <v>2.3199999999999998</v>
      </c>
      <c r="G75" s="91">
        <v>2.19</v>
      </c>
      <c r="H75" s="91">
        <v>1.75</v>
      </c>
      <c r="I75" s="91">
        <v>1.58</v>
      </c>
      <c r="J75" s="91">
        <v>2</v>
      </c>
      <c r="K75" s="91">
        <v>1.08</v>
      </c>
      <c r="L75" s="91">
        <v>0.87</v>
      </c>
      <c r="M75" s="91">
        <v>1.39</v>
      </c>
      <c r="N75" s="95" t="s">
        <v>66</v>
      </c>
      <c r="O75" s="95" t="s">
        <v>66</v>
      </c>
      <c r="P75" s="95" t="s">
        <v>66</v>
      </c>
      <c r="Q75" s="95" t="s">
        <v>66</v>
      </c>
      <c r="R75" s="95" t="s">
        <v>66</v>
      </c>
      <c r="S75" s="95" t="s">
        <v>66</v>
      </c>
      <c r="T75" s="95" t="s">
        <v>66</v>
      </c>
      <c r="U75" s="95" t="s">
        <v>66</v>
      </c>
      <c r="V75" s="95" t="s">
        <v>66</v>
      </c>
      <c r="W75" s="88">
        <f t="shared" si="41"/>
        <v>2.79</v>
      </c>
      <c r="X75" s="88" t="str">
        <f t="shared" si="51"/>
        <v>PREWARNING</v>
      </c>
      <c r="Y75" s="72"/>
      <c r="AA75" s="67"/>
    </row>
    <row r="76" spans="1:27" ht="15" customHeight="1" x14ac:dyDescent="0.3">
      <c r="A76" s="85"/>
      <c r="B76" s="91">
        <v>19</v>
      </c>
      <c r="C76" s="89" t="str">
        <f>'[1]INPUT EQUIPMENT'!B67</f>
        <v>Motor BWRO 1#3</v>
      </c>
      <c r="D76" s="91" t="s">
        <v>67</v>
      </c>
      <c r="E76" s="91">
        <v>1.75</v>
      </c>
      <c r="F76" s="91">
        <v>1.98</v>
      </c>
      <c r="G76" s="95" t="s">
        <v>66</v>
      </c>
      <c r="H76" s="91">
        <v>0.61</v>
      </c>
      <c r="I76" s="91">
        <v>0.67</v>
      </c>
      <c r="J76" s="91">
        <v>0.36</v>
      </c>
      <c r="K76" s="95" t="s">
        <v>66</v>
      </c>
      <c r="L76" s="95" t="s">
        <v>66</v>
      </c>
      <c r="M76" s="95" t="s">
        <v>66</v>
      </c>
      <c r="N76" s="95" t="s">
        <v>66</v>
      </c>
      <c r="O76" s="95" t="s">
        <v>66</v>
      </c>
      <c r="P76" s="95" t="s">
        <v>66</v>
      </c>
      <c r="Q76" s="95" t="s">
        <v>66</v>
      </c>
      <c r="R76" s="95" t="s">
        <v>66</v>
      </c>
      <c r="S76" s="95" t="s">
        <v>66</v>
      </c>
      <c r="T76" s="95" t="s">
        <v>66</v>
      </c>
      <c r="U76" s="95" t="s">
        <v>66</v>
      </c>
      <c r="V76" s="95" t="s">
        <v>66</v>
      </c>
      <c r="W76" s="88">
        <f t="shared" si="41"/>
        <v>1.98</v>
      </c>
      <c r="X76" s="88" t="str">
        <f>IF(W76=0,"STAND BY",IF(W76&lt;1.4,"NORMAL",IF(W76&lt;2.9,"PREWARNING",IF(W76&lt;4.6,"WARNING","ALARM"))))</f>
        <v>PREWARNING</v>
      </c>
      <c r="Y76" s="72"/>
      <c r="AA76" s="67" t="s">
        <v>84</v>
      </c>
    </row>
    <row r="77" spans="1:27" ht="15" customHeight="1" x14ac:dyDescent="0.3">
      <c r="A77" s="85"/>
      <c r="B77" s="91">
        <v>20</v>
      </c>
      <c r="C77" s="89" t="str">
        <f>'[1]INPUT EQUIPMENT'!B68</f>
        <v>Motor BWRO 2#3</v>
      </c>
      <c r="D77" s="91" t="s">
        <v>67</v>
      </c>
      <c r="E77" s="91">
        <v>0</v>
      </c>
      <c r="F77" s="91">
        <v>0</v>
      </c>
      <c r="G77" s="95" t="s">
        <v>66</v>
      </c>
      <c r="H77" s="91">
        <v>0</v>
      </c>
      <c r="I77" s="91">
        <v>0</v>
      </c>
      <c r="J77" s="91">
        <v>0</v>
      </c>
      <c r="K77" s="95" t="s">
        <v>66</v>
      </c>
      <c r="L77" s="95" t="s">
        <v>66</v>
      </c>
      <c r="M77" s="95" t="s">
        <v>66</v>
      </c>
      <c r="N77" s="95" t="s">
        <v>66</v>
      </c>
      <c r="O77" s="95" t="s">
        <v>66</v>
      </c>
      <c r="P77" s="95" t="s">
        <v>66</v>
      </c>
      <c r="Q77" s="95" t="s">
        <v>66</v>
      </c>
      <c r="R77" s="95" t="s">
        <v>66</v>
      </c>
      <c r="S77" s="95" t="s">
        <v>66</v>
      </c>
      <c r="T77" s="95" t="s">
        <v>66</v>
      </c>
      <c r="U77" s="95" t="s">
        <v>66</v>
      </c>
      <c r="V77" s="95" t="s">
        <v>66</v>
      </c>
      <c r="W77" s="88">
        <f t="shared" si="41"/>
        <v>0</v>
      </c>
      <c r="X77" s="88" t="str">
        <f>IF(W77=0,"STAND BY",IF(W77&lt;1.5,"NORMAL",IF(W77&lt;2.9,"PREWARNING",IF(W77&lt;4.6,"WARNING","ALARM"))))</f>
        <v>STAND BY</v>
      </c>
      <c r="Y77" s="72"/>
      <c r="AA77" s="67" t="s">
        <v>84</v>
      </c>
    </row>
    <row r="78" spans="1:27" ht="15" customHeight="1" x14ac:dyDescent="0.3">
      <c r="A78" s="85"/>
      <c r="B78" s="91">
        <v>21</v>
      </c>
      <c r="C78" s="89" t="str">
        <f>'[1]INPUT EQUIPMENT'!B69</f>
        <v>Motor SWRO 1#3</v>
      </c>
      <c r="D78" s="91" t="s">
        <v>67</v>
      </c>
      <c r="E78" s="91">
        <v>0.49</v>
      </c>
      <c r="F78" s="91">
        <v>0.69</v>
      </c>
      <c r="G78" s="91">
        <v>0.13</v>
      </c>
      <c r="H78" s="91">
        <v>0.39</v>
      </c>
      <c r="I78" s="91">
        <v>0.8</v>
      </c>
      <c r="J78" s="91">
        <v>0.2</v>
      </c>
      <c r="K78" s="95" t="s">
        <v>66</v>
      </c>
      <c r="L78" s="95" t="s">
        <v>66</v>
      </c>
      <c r="M78" s="95" t="s">
        <v>66</v>
      </c>
      <c r="N78" s="95" t="s">
        <v>66</v>
      </c>
      <c r="O78" s="95" t="s">
        <v>66</v>
      </c>
      <c r="P78" s="95" t="s">
        <v>66</v>
      </c>
      <c r="Q78" s="95" t="s">
        <v>66</v>
      </c>
      <c r="R78" s="95" t="s">
        <v>66</v>
      </c>
      <c r="S78" s="95" t="s">
        <v>66</v>
      </c>
      <c r="T78" s="95" t="s">
        <v>66</v>
      </c>
      <c r="U78" s="95" t="s">
        <v>66</v>
      </c>
      <c r="V78" s="95" t="s">
        <v>66</v>
      </c>
      <c r="W78" s="88">
        <f t="shared" si="41"/>
        <v>0.8</v>
      </c>
      <c r="X78" s="88" t="str">
        <f>IF(W78=0,"STAND BY",IF(W78&lt;1.5,"NORMAL",IF(W78&lt;2.9,"PREWARNING",IF(W78&lt;4.6,"WARNING","ALARM"))))</f>
        <v>NORMAL</v>
      </c>
      <c r="Y78" s="72"/>
      <c r="AA78" s="67" t="s">
        <v>84</v>
      </c>
    </row>
    <row r="79" spans="1:27" ht="15" customHeight="1" x14ac:dyDescent="0.3">
      <c r="A79" s="85"/>
      <c r="B79" s="91">
        <v>22</v>
      </c>
      <c r="C79" s="89" t="str">
        <f>'[1]INPUT EQUIPMENT'!B70</f>
        <v>Motor SWRO 2#3</v>
      </c>
      <c r="D79" s="91" t="s">
        <v>67</v>
      </c>
      <c r="E79" s="91">
        <v>0</v>
      </c>
      <c r="F79" s="91">
        <v>0</v>
      </c>
      <c r="G79" s="91">
        <v>0</v>
      </c>
      <c r="H79" s="91">
        <v>0</v>
      </c>
      <c r="I79" s="91">
        <v>0</v>
      </c>
      <c r="J79" s="91">
        <v>0</v>
      </c>
      <c r="K79" s="95" t="s">
        <v>66</v>
      </c>
      <c r="L79" s="95" t="s">
        <v>66</v>
      </c>
      <c r="M79" s="95" t="s">
        <v>66</v>
      </c>
      <c r="N79" s="95" t="s">
        <v>66</v>
      </c>
      <c r="O79" s="95" t="s">
        <v>66</v>
      </c>
      <c r="P79" s="95" t="s">
        <v>66</v>
      </c>
      <c r="Q79" s="95" t="s">
        <v>66</v>
      </c>
      <c r="R79" s="95" t="s">
        <v>66</v>
      </c>
      <c r="S79" s="95" t="s">
        <v>66</v>
      </c>
      <c r="T79" s="95" t="s">
        <v>66</v>
      </c>
      <c r="U79" s="95" t="s">
        <v>66</v>
      </c>
      <c r="V79" s="95" t="s">
        <v>66</v>
      </c>
      <c r="W79" s="88">
        <f t="shared" si="41"/>
        <v>0</v>
      </c>
      <c r="X79" s="88" t="str">
        <f>IF(W79=0,"STAND BY",IF(W79&lt;1.5,"NORMAL",IF(W79&lt;2.9,"PREWARNING",IF(W79&lt;4.6,"WARNING","ALARM"))))</f>
        <v>STAND BY</v>
      </c>
      <c r="Y79" s="72"/>
      <c r="AA79" s="67" t="s">
        <v>84</v>
      </c>
    </row>
    <row r="80" spans="1:27" ht="15" customHeight="1" x14ac:dyDescent="0.3">
      <c r="A80" s="85"/>
      <c r="B80" s="91">
        <v>24</v>
      </c>
      <c r="C80" s="89" t="s">
        <v>85</v>
      </c>
      <c r="D80" s="91" t="s">
        <v>67</v>
      </c>
      <c r="E80" s="91">
        <v>0.93</v>
      </c>
      <c r="F80" s="91">
        <v>0.83</v>
      </c>
      <c r="G80" s="91">
        <v>0.41</v>
      </c>
      <c r="H80" s="91">
        <v>0.46</v>
      </c>
      <c r="I80" s="91">
        <v>0.47</v>
      </c>
      <c r="J80" s="91">
        <v>0.43</v>
      </c>
      <c r="K80" s="95" t="s">
        <v>66</v>
      </c>
      <c r="L80" s="95" t="s">
        <v>66</v>
      </c>
      <c r="M80" s="95" t="s">
        <v>66</v>
      </c>
      <c r="N80" s="95" t="s">
        <v>66</v>
      </c>
      <c r="O80" s="95" t="s">
        <v>66</v>
      </c>
      <c r="P80" s="95" t="s">
        <v>66</v>
      </c>
      <c r="Q80" s="95" t="s">
        <v>66</v>
      </c>
      <c r="R80" s="95" t="s">
        <v>66</v>
      </c>
      <c r="S80" s="95" t="s">
        <v>66</v>
      </c>
      <c r="T80" s="95" t="s">
        <v>66</v>
      </c>
      <c r="U80" s="95" t="s">
        <v>66</v>
      </c>
      <c r="V80" s="95" t="s">
        <v>66</v>
      </c>
      <c r="W80" s="88">
        <f t="shared" si="41"/>
        <v>0.93</v>
      </c>
      <c r="X80" s="88" t="str">
        <f t="shared" ref="X80:X82" si="52">IF(W80=0,"STAND BY",IF(W80&lt;1.5,"NORMAL",IF(W80&lt;2.9,"PREWARNING",IF(W80&lt;4.6,"WARNING","ALARM"))))</f>
        <v>NORMAL</v>
      </c>
      <c r="Y80" s="72"/>
      <c r="AA80" s="67" t="s">
        <v>86</v>
      </c>
    </row>
    <row r="81" spans="1:30" ht="15" customHeight="1" x14ac:dyDescent="0.3">
      <c r="A81" s="85"/>
      <c r="B81" s="91">
        <v>25</v>
      </c>
      <c r="C81" s="89" t="s">
        <v>87</v>
      </c>
      <c r="D81" s="91" t="s">
        <v>67</v>
      </c>
      <c r="E81" s="91">
        <v>0</v>
      </c>
      <c r="F81" s="91">
        <v>0</v>
      </c>
      <c r="G81" s="91">
        <v>0</v>
      </c>
      <c r="H81" s="91">
        <v>0</v>
      </c>
      <c r="I81" s="91">
        <v>0</v>
      </c>
      <c r="J81" s="91">
        <v>0</v>
      </c>
      <c r="K81" s="95" t="s">
        <v>66</v>
      </c>
      <c r="L81" s="95" t="s">
        <v>66</v>
      </c>
      <c r="M81" s="95" t="s">
        <v>66</v>
      </c>
      <c r="N81" s="95" t="s">
        <v>66</v>
      </c>
      <c r="O81" s="95" t="s">
        <v>66</v>
      </c>
      <c r="P81" s="95" t="s">
        <v>66</v>
      </c>
      <c r="Q81" s="95" t="s">
        <v>66</v>
      </c>
      <c r="R81" s="95" t="s">
        <v>66</v>
      </c>
      <c r="S81" s="95" t="s">
        <v>66</v>
      </c>
      <c r="T81" s="95" t="s">
        <v>66</v>
      </c>
      <c r="U81" s="95" t="s">
        <v>66</v>
      </c>
      <c r="V81" s="95" t="s">
        <v>66</v>
      </c>
      <c r="W81" s="88">
        <f t="shared" si="41"/>
        <v>0</v>
      </c>
      <c r="X81" s="88" t="str">
        <f t="shared" si="52"/>
        <v>STAND BY</v>
      </c>
      <c r="Y81" s="72"/>
      <c r="AC81" s="74">
        <v>11</v>
      </c>
      <c r="AD81" s="74" t="s">
        <v>88</v>
      </c>
    </row>
    <row r="82" spans="1:30" ht="15" customHeight="1" x14ac:dyDescent="0.3">
      <c r="A82" s="85"/>
      <c r="B82" s="91">
        <v>26</v>
      </c>
      <c r="C82" s="89" t="s">
        <v>89</v>
      </c>
      <c r="D82" s="91" t="s">
        <v>67</v>
      </c>
      <c r="E82" s="91">
        <v>1.19</v>
      </c>
      <c r="F82" s="91">
        <v>1.82</v>
      </c>
      <c r="G82" s="91">
        <v>0.27</v>
      </c>
      <c r="H82" s="91">
        <v>1.72</v>
      </c>
      <c r="I82" s="91">
        <v>1.8</v>
      </c>
      <c r="J82" s="91">
        <v>1.07</v>
      </c>
      <c r="K82" s="91">
        <v>1.91</v>
      </c>
      <c r="L82" s="91">
        <v>1.7</v>
      </c>
      <c r="M82" s="91">
        <v>1.56</v>
      </c>
      <c r="N82" s="91">
        <v>1.61</v>
      </c>
      <c r="O82" s="91">
        <v>1.71</v>
      </c>
      <c r="P82" s="91">
        <v>1.74</v>
      </c>
      <c r="Q82" s="95" t="s">
        <v>66</v>
      </c>
      <c r="R82" s="95" t="s">
        <v>66</v>
      </c>
      <c r="S82" s="95" t="s">
        <v>66</v>
      </c>
      <c r="T82" s="95" t="s">
        <v>66</v>
      </c>
      <c r="U82" s="95" t="s">
        <v>66</v>
      </c>
      <c r="V82" s="95" t="s">
        <v>66</v>
      </c>
      <c r="W82" s="88">
        <f t="shared" si="41"/>
        <v>1.91</v>
      </c>
      <c r="X82" s="88" t="str">
        <f t="shared" si="52"/>
        <v>PREWARNING</v>
      </c>
      <c r="Y82" s="72"/>
      <c r="AA82" s="67" t="s">
        <v>86</v>
      </c>
    </row>
    <row r="83" spans="1:30" ht="15" customHeight="1" x14ac:dyDescent="0.3">
      <c r="A83" s="85"/>
      <c r="B83" s="91">
        <v>27</v>
      </c>
      <c r="C83" s="89" t="s">
        <v>90</v>
      </c>
      <c r="D83" s="91"/>
      <c r="E83" s="91">
        <v>6.08</v>
      </c>
      <c r="F83" s="91">
        <v>16.489999999999998</v>
      </c>
      <c r="G83" s="91">
        <v>5.31</v>
      </c>
      <c r="H83" s="91">
        <v>5.01</v>
      </c>
      <c r="I83" s="91">
        <v>4.91</v>
      </c>
      <c r="J83" s="91">
        <v>8.5299999999999994</v>
      </c>
      <c r="K83" s="91">
        <v>2.35</v>
      </c>
      <c r="L83" s="91">
        <v>2.27</v>
      </c>
      <c r="M83" s="91">
        <v>5.65</v>
      </c>
      <c r="N83" s="91">
        <v>1.9</v>
      </c>
      <c r="O83" s="91">
        <v>2.09</v>
      </c>
      <c r="P83" s="91">
        <v>5.89</v>
      </c>
      <c r="Q83" s="95" t="s">
        <v>66</v>
      </c>
      <c r="R83" s="95" t="s">
        <v>66</v>
      </c>
      <c r="S83" s="95" t="s">
        <v>66</v>
      </c>
      <c r="T83" s="95" t="s">
        <v>66</v>
      </c>
      <c r="U83" s="95" t="s">
        <v>66</v>
      </c>
      <c r="V83" s="95" t="s">
        <v>66</v>
      </c>
      <c r="W83" s="88">
        <f t="shared" si="41"/>
        <v>16.489999999999998</v>
      </c>
      <c r="X83" s="88" t="str">
        <f>IF(W83=0,"STAND BY",IF(W83&lt;4.45,"NORMAL",IF(W83&lt;28.1,"PREWARNING",IF(W83&lt;44.5,"WARNING","ALARM"))))</f>
        <v>PREWARNING</v>
      </c>
      <c r="Y83" s="72"/>
      <c r="AC83" s="74">
        <v>12</v>
      </c>
      <c r="AD83" s="74" t="s">
        <v>91</v>
      </c>
    </row>
    <row r="84" spans="1:30" ht="15" customHeight="1" x14ac:dyDescent="0.3">
      <c r="A84" s="85"/>
      <c r="B84" s="91">
        <v>28</v>
      </c>
      <c r="C84" s="89" t="s">
        <v>92</v>
      </c>
      <c r="D84" s="91" t="s">
        <v>67</v>
      </c>
      <c r="E84" s="91">
        <v>0</v>
      </c>
      <c r="F84" s="91">
        <v>0</v>
      </c>
      <c r="G84" s="91">
        <v>0</v>
      </c>
      <c r="H84" s="91">
        <v>0</v>
      </c>
      <c r="I84" s="91">
        <v>0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5" t="s">
        <v>66</v>
      </c>
      <c r="R84" s="95" t="s">
        <v>66</v>
      </c>
      <c r="S84" s="95" t="s">
        <v>66</v>
      </c>
      <c r="T84" s="95" t="s">
        <v>66</v>
      </c>
      <c r="U84" s="95" t="s">
        <v>66</v>
      </c>
      <c r="V84" s="95" t="s">
        <v>66</v>
      </c>
      <c r="W84" s="88">
        <f t="shared" si="41"/>
        <v>0</v>
      </c>
      <c r="X84" s="88" t="str">
        <f t="shared" ref="X84:X86" si="53">IF(W84=0,"STAND BY",IF(W84&lt;1.5,"NORMAL",IF(W84&lt;2.9,"PREWARNING",IF(W84&lt;4.6,"WARNING","ALARM"))))</f>
        <v>STAND BY</v>
      </c>
      <c r="Y84" s="72"/>
      <c r="AA84" s="67" t="s">
        <v>86</v>
      </c>
    </row>
    <row r="85" spans="1:30" ht="15" customHeight="1" x14ac:dyDescent="0.3">
      <c r="A85" s="85"/>
      <c r="B85" s="91">
        <v>29</v>
      </c>
      <c r="C85" s="89" t="s">
        <v>93</v>
      </c>
      <c r="D85" s="91" t="s">
        <v>67</v>
      </c>
      <c r="E85" s="91">
        <v>0</v>
      </c>
      <c r="F85" s="91">
        <v>0</v>
      </c>
      <c r="G85" s="91">
        <v>0</v>
      </c>
      <c r="H85" s="91">
        <v>0</v>
      </c>
      <c r="I85" s="91">
        <v>0</v>
      </c>
      <c r="J85" s="91">
        <v>0</v>
      </c>
      <c r="K85" s="91">
        <v>0</v>
      </c>
      <c r="L85" s="91">
        <v>0</v>
      </c>
      <c r="M85" s="91">
        <v>0</v>
      </c>
      <c r="N85" s="91">
        <v>0</v>
      </c>
      <c r="O85" s="91">
        <v>0</v>
      </c>
      <c r="P85" s="91">
        <v>0</v>
      </c>
      <c r="Q85" s="95" t="s">
        <v>66</v>
      </c>
      <c r="R85" s="95" t="s">
        <v>66</v>
      </c>
      <c r="S85" s="95" t="s">
        <v>66</v>
      </c>
      <c r="T85" s="95" t="s">
        <v>66</v>
      </c>
      <c r="U85" s="95" t="s">
        <v>66</v>
      </c>
      <c r="V85" s="95" t="s">
        <v>66</v>
      </c>
      <c r="W85" s="88">
        <f t="shared" si="41"/>
        <v>0</v>
      </c>
      <c r="X85" s="88" t="str">
        <f t="shared" si="53"/>
        <v>STAND BY</v>
      </c>
      <c r="Y85" s="72"/>
      <c r="AC85" s="74">
        <v>11</v>
      </c>
      <c r="AD85" s="74" t="s">
        <v>88</v>
      </c>
    </row>
    <row r="86" spans="1:30" ht="15" customHeight="1" x14ac:dyDescent="0.3">
      <c r="A86" s="85"/>
      <c r="B86" s="91">
        <v>30</v>
      </c>
      <c r="C86" s="89" t="s">
        <v>94</v>
      </c>
      <c r="D86" s="91" t="s">
        <v>67</v>
      </c>
      <c r="E86" s="91">
        <v>0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  <c r="L86" s="91">
        <v>0</v>
      </c>
      <c r="M86" s="91">
        <v>0</v>
      </c>
      <c r="N86" s="91">
        <v>0</v>
      </c>
      <c r="O86" s="91">
        <v>0</v>
      </c>
      <c r="P86" s="91">
        <v>0</v>
      </c>
      <c r="Q86" s="95" t="s">
        <v>66</v>
      </c>
      <c r="R86" s="95" t="s">
        <v>66</v>
      </c>
      <c r="S86" s="95" t="s">
        <v>66</v>
      </c>
      <c r="T86" s="95" t="s">
        <v>66</v>
      </c>
      <c r="U86" s="95" t="s">
        <v>66</v>
      </c>
      <c r="V86" s="95" t="s">
        <v>66</v>
      </c>
      <c r="W86" s="88">
        <f>MAX(E86:V86)</f>
        <v>0</v>
      </c>
      <c r="X86" s="88" t="str">
        <f t="shared" si="53"/>
        <v>STAND BY</v>
      </c>
      <c r="Y86" s="72"/>
      <c r="AA86" s="67" t="s">
        <v>86</v>
      </c>
    </row>
    <row r="87" spans="1:30" ht="15" customHeight="1" x14ac:dyDescent="0.3">
      <c r="A87" s="85"/>
      <c r="B87" s="91">
        <v>31</v>
      </c>
      <c r="C87" s="89" t="s">
        <v>95</v>
      </c>
      <c r="D87" s="91" t="s">
        <v>67</v>
      </c>
      <c r="E87" s="91">
        <v>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  <c r="L87" s="91">
        <v>0</v>
      </c>
      <c r="M87" s="91">
        <v>0</v>
      </c>
      <c r="N87" s="91">
        <v>0</v>
      </c>
      <c r="O87" s="91">
        <v>0</v>
      </c>
      <c r="P87" s="91">
        <v>0</v>
      </c>
      <c r="Q87" s="95" t="s">
        <v>66</v>
      </c>
      <c r="R87" s="95" t="s">
        <v>66</v>
      </c>
      <c r="S87" s="95" t="s">
        <v>66</v>
      </c>
      <c r="T87" s="95" t="s">
        <v>66</v>
      </c>
      <c r="U87" s="95" t="s">
        <v>66</v>
      </c>
      <c r="V87" s="95" t="s">
        <v>66</v>
      </c>
      <c r="W87" s="88">
        <f t="shared" si="41"/>
        <v>0</v>
      </c>
      <c r="X87" s="88" t="str">
        <f>IF(W87=0,"STAND BY",IF(W87&lt;2.8,"NORMAL",IF(W87&lt;11,"PREWARNING",IF(W87&lt;18,"WARNING","ALARM"))))</f>
        <v>STAND BY</v>
      </c>
      <c r="Y87" s="72"/>
      <c r="AC87" s="74">
        <v>12</v>
      </c>
      <c r="AD87" s="74" t="s">
        <v>91</v>
      </c>
    </row>
    <row r="88" spans="1:30" ht="15" customHeight="1" x14ac:dyDescent="0.3">
      <c r="A88" s="101"/>
      <c r="B88" s="102"/>
      <c r="C88" s="103"/>
      <c r="D88" s="104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6"/>
      <c r="R88" s="106"/>
      <c r="S88" s="106"/>
      <c r="T88" s="106"/>
      <c r="U88" s="106"/>
      <c r="V88" s="106"/>
      <c r="W88" s="105"/>
      <c r="X88" s="105"/>
      <c r="Y88" s="107"/>
    </row>
    <row r="89" spans="1:30" ht="19.5" customHeight="1" x14ac:dyDescent="0.3">
      <c r="A89" s="85"/>
      <c r="B89" s="108"/>
      <c r="C89" s="97" t="str">
        <f>'[1]INPUT EQUIPMENT'!A75</f>
        <v>COAL ASH HANDLING</v>
      </c>
      <c r="D89" s="109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72"/>
    </row>
    <row r="90" spans="1:30" ht="15" customHeight="1" x14ac:dyDescent="0.3">
      <c r="A90" s="85"/>
      <c r="B90" s="91">
        <v>1</v>
      </c>
      <c r="C90" s="89" t="str">
        <f>'[1]INPUT EQUIPMENT'!B76</f>
        <v>BC 4.1</v>
      </c>
      <c r="D90" s="91" t="s">
        <v>67</v>
      </c>
      <c r="E90" s="88">
        <v>1.22</v>
      </c>
      <c r="F90" s="88">
        <v>3.07</v>
      </c>
      <c r="G90" s="88">
        <v>1.32</v>
      </c>
      <c r="H90" s="88">
        <v>1.79</v>
      </c>
      <c r="I90" s="88">
        <v>3.5</v>
      </c>
      <c r="J90" s="88">
        <v>1.85</v>
      </c>
      <c r="K90" s="88">
        <v>1.59</v>
      </c>
      <c r="L90" s="88">
        <v>1.47</v>
      </c>
      <c r="M90" s="88">
        <v>1.75</v>
      </c>
      <c r="N90" s="88">
        <v>1.29</v>
      </c>
      <c r="O90" s="88">
        <v>1.79</v>
      </c>
      <c r="P90" s="88">
        <v>1.23</v>
      </c>
      <c r="Q90" s="88">
        <v>1.92</v>
      </c>
      <c r="R90" s="88">
        <v>1.74</v>
      </c>
      <c r="S90" s="88">
        <v>2.2799999999999998</v>
      </c>
      <c r="T90" s="88">
        <v>1.68</v>
      </c>
      <c r="U90" s="88">
        <v>1.5</v>
      </c>
      <c r="V90" s="88">
        <v>1.82</v>
      </c>
      <c r="W90" s="88">
        <f>MAX(E90:V90)</f>
        <v>3.5</v>
      </c>
      <c r="X90" s="88" t="str">
        <f>IF(W90=0,"STAND BY",IF(W90&lt;2.4,"NORMAL",IF(W90&lt;4.6,"PREWARNING",IF(W90&lt;7.1,"WARNING","ALARM"))))</f>
        <v>PREWARNING</v>
      </c>
      <c r="Y90" s="72"/>
      <c r="Z90" s="67" t="s">
        <v>50</v>
      </c>
    </row>
    <row r="91" spans="1:30" ht="15" customHeight="1" x14ac:dyDescent="0.3">
      <c r="A91" s="85"/>
      <c r="B91" s="91">
        <v>2</v>
      </c>
      <c r="C91" s="89" t="str">
        <f>'[1]INPUT EQUIPMENT'!B77</f>
        <v>BC 4.2</v>
      </c>
      <c r="D91" s="91" t="s">
        <v>67</v>
      </c>
      <c r="E91" s="88">
        <v>0.72</v>
      </c>
      <c r="F91" s="88">
        <v>0.72</v>
      </c>
      <c r="G91" s="88">
        <v>0.75</v>
      </c>
      <c r="H91" s="88">
        <v>0.81</v>
      </c>
      <c r="I91" s="88">
        <v>1.07</v>
      </c>
      <c r="J91" s="88">
        <v>0.94</v>
      </c>
      <c r="K91" s="88">
        <v>1.08</v>
      </c>
      <c r="L91" s="88">
        <v>0.84</v>
      </c>
      <c r="M91" s="88">
        <v>1.1399999999999999</v>
      </c>
      <c r="N91" s="88">
        <v>0.81</v>
      </c>
      <c r="O91" s="88">
        <v>0.7</v>
      </c>
      <c r="P91" s="88">
        <v>0.68</v>
      </c>
      <c r="Q91" s="88">
        <v>1.61</v>
      </c>
      <c r="R91" s="88">
        <v>1.02</v>
      </c>
      <c r="S91" s="88">
        <v>1.01</v>
      </c>
      <c r="T91" s="88">
        <v>0.9</v>
      </c>
      <c r="U91" s="88">
        <v>1.1000000000000001</v>
      </c>
      <c r="V91" s="88">
        <v>1.33</v>
      </c>
      <c r="W91" s="88">
        <f t="shared" ref="W91:W103" si="54">MAX(E91:V91)</f>
        <v>1.61</v>
      </c>
      <c r="X91" s="88" t="str">
        <f t="shared" ref="X91:X99" si="55">IF(W91=0,"STAND BY",IF(W91&lt;2.4,"NORMAL",IF(W91&lt;4.6,"PREWARNING",IF(W91&lt;7.1,"WARNING","ALARM"))))</f>
        <v>NORMAL</v>
      </c>
      <c r="Y91" s="72"/>
      <c r="Z91" s="67" t="s">
        <v>50</v>
      </c>
    </row>
    <row r="92" spans="1:30" ht="15" customHeight="1" x14ac:dyDescent="0.3">
      <c r="A92" s="85"/>
      <c r="B92" s="91">
        <v>3</v>
      </c>
      <c r="C92" s="89" t="str">
        <f>'[1]INPUT EQUIPMENT'!B78</f>
        <v>BC 5.1</v>
      </c>
      <c r="D92" s="91" t="s">
        <v>67</v>
      </c>
      <c r="E92" s="88">
        <v>1.65</v>
      </c>
      <c r="F92" s="88">
        <v>1.71</v>
      </c>
      <c r="G92" s="88">
        <v>1.19</v>
      </c>
      <c r="H92" s="88">
        <v>1.8</v>
      </c>
      <c r="I92" s="88">
        <v>1.74</v>
      </c>
      <c r="J92" s="88">
        <v>1.22</v>
      </c>
      <c r="K92" s="88">
        <v>2.73</v>
      </c>
      <c r="L92" s="88">
        <v>2.61</v>
      </c>
      <c r="M92" s="88">
        <v>4.2</v>
      </c>
      <c r="N92" s="88">
        <v>3.01</v>
      </c>
      <c r="O92" s="88">
        <v>2.65</v>
      </c>
      <c r="P92" s="88">
        <v>2.23</v>
      </c>
      <c r="Q92" s="88">
        <v>2.81</v>
      </c>
      <c r="R92" s="88">
        <v>1.74</v>
      </c>
      <c r="S92" s="88">
        <v>1.86</v>
      </c>
      <c r="T92" s="88">
        <v>2.65</v>
      </c>
      <c r="U92" s="88">
        <v>1.64</v>
      </c>
      <c r="V92" s="88">
        <v>1.89</v>
      </c>
      <c r="W92" s="88">
        <f t="shared" si="54"/>
        <v>4.2</v>
      </c>
      <c r="X92" s="88" t="str">
        <f t="shared" si="55"/>
        <v>PREWARNING</v>
      </c>
      <c r="Y92" s="72"/>
      <c r="Z92" s="67" t="s">
        <v>54</v>
      </c>
    </row>
    <row r="93" spans="1:30" ht="15" customHeight="1" x14ac:dyDescent="0.3">
      <c r="A93" s="85"/>
      <c r="B93" s="91">
        <v>4</v>
      </c>
      <c r="C93" s="89" t="str">
        <f>'[1]INPUT EQUIPMENT'!B79</f>
        <v>BC 5.2</v>
      </c>
      <c r="D93" s="91" t="s">
        <v>67</v>
      </c>
      <c r="E93" s="88">
        <v>1.53</v>
      </c>
      <c r="F93" s="88">
        <v>1.57</v>
      </c>
      <c r="G93" s="88">
        <v>0.94</v>
      </c>
      <c r="H93" s="88">
        <v>1.44</v>
      </c>
      <c r="I93" s="88">
        <v>1.69</v>
      </c>
      <c r="J93" s="88">
        <v>0.87</v>
      </c>
      <c r="K93" s="88">
        <v>2.4300000000000002</v>
      </c>
      <c r="L93" s="88">
        <v>1.63</v>
      </c>
      <c r="M93" s="88">
        <v>3.07</v>
      </c>
      <c r="N93" s="88">
        <v>2.3199999999999998</v>
      </c>
      <c r="O93" s="88">
        <v>1.85</v>
      </c>
      <c r="P93" s="88">
        <v>3.72</v>
      </c>
      <c r="Q93" s="88">
        <v>2.5299999999999998</v>
      </c>
      <c r="R93" s="88">
        <v>1.32</v>
      </c>
      <c r="S93" s="88">
        <v>1.46</v>
      </c>
      <c r="T93" s="88">
        <v>2.2400000000000002</v>
      </c>
      <c r="U93" s="88">
        <v>1.34</v>
      </c>
      <c r="V93" s="88">
        <v>2.74</v>
      </c>
      <c r="W93" s="88">
        <f t="shared" si="54"/>
        <v>3.72</v>
      </c>
      <c r="X93" s="88" t="str">
        <f t="shared" si="55"/>
        <v>PREWARNING</v>
      </c>
      <c r="Y93" s="72"/>
      <c r="Z93" s="67" t="s">
        <v>60</v>
      </c>
    </row>
    <row r="94" spans="1:30" ht="15" customHeight="1" x14ac:dyDescent="0.3">
      <c r="A94" s="85"/>
      <c r="B94" s="91">
        <v>5</v>
      </c>
      <c r="C94" s="89" t="str">
        <f>'[1]INPUT EQUIPMENT'!B80</f>
        <v>BC 7.1</v>
      </c>
      <c r="D94" s="91" t="s">
        <v>67</v>
      </c>
      <c r="E94" s="88">
        <v>1.66</v>
      </c>
      <c r="F94" s="88">
        <v>2.0299999999999998</v>
      </c>
      <c r="G94" s="88">
        <v>0.6</v>
      </c>
      <c r="H94" s="88">
        <v>1.43</v>
      </c>
      <c r="I94" s="88">
        <v>1.93</v>
      </c>
      <c r="J94" s="88">
        <v>0.78</v>
      </c>
      <c r="K94" s="88">
        <v>2.5499999999999998</v>
      </c>
      <c r="L94" s="88">
        <v>2.38</v>
      </c>
      <c r="M94" s="88">
        <v>2.21</v>
      </c>
      <c r="N94" s="88">
        <v>2.4500000000000002</v>
      </c>
      <c r="O94" s="88">
        <v>1.48</v>
      </c>
      <c r="P94" s="88">
        <v>1.1000000000000001</v>
      </c>
      <c r="Q94" s="88">
        <v>1.03</v>
      </c>
      <c r="R94" s="88">
        <v>0.76</v>
      </c>
      <c r="S94" s="88">
        <v>3.19</v>
      </c>
      <c r="T94" s="88">
        <v>0.95</v>
      </c>
      <c r="U94" s="88">
        <v>0.8</v>
      </c>
      <c r="V94" s="88">
        <v>3.43</v>
      </c>
      <c r="W94" s="88">
        <f t="shared" si="54"/>
        <v>3.43</v>
      </c>
      <c r="X94" s="88" t="str">
        <f t="shared" si="55"/>
        <v>PREWARNING</v>
      </c>
      <c r="Y94" s="72"/>
      <c r="Z94" s="67" t="s">
        <v>63</v>
      </c>
    </row>
    <row r="95" spans="1:30" ht="15" customHeight="1" x14ac:dyDescent="0.3">
      <c r="A95" s="85"/>
      <c r="B95" s="91">
        <v>6</v>
      </c>
      <c r="C95" s="89" t="str">
        <f>'[1]INPUT EQUIPMENT'!B81</f>
        <v>BC 7. 2</v>
      </c>
      <c r="D95" s="91" t="s">
        <v>67</v>
      </c>
      <c r="E95" s="88">
        <v>1.75</v>
      </c>
      <c r="F95" s="88">
        <v>1.29</v>
      </c>
      <c r="G95" s="88">
        <v>1.0900000000000001</v>
      </c>
      <c r="H95" s="88">
        <v>3.01</v>
      </c>
      <c r="I95" s="88">
        <v>0.79</v>
      </c>
      <c r="J95" s="88">
        <v>1.29</v>
      </c>
      <c r="K95" s="88">
        <v>1.57</v>
      </c>
      <c r="L95" s="88">
        <v>2.0499999999999998</v>
      </c>
      <c r="M95" s="88">
        <v>2.78</v>
      </c>
      <c r="N95" s="88">
        <v>2.14</v>
      </c>
      <c r="O95" s="88">
        <v>2.79</v>
      </c>
      <c r="P95" s="88">
        <v>2.48</v>
      </c>
      <c r="Q95" s="88">
        <v>0.44</v>
      </c>
      <c r="R95" s="88">
        <v>0.37</v>
      </c>
      <c r="S95" s="88">
        <v>2.09</v>
      </c>
      <c r="T95" s="88">
        <v>0.47</v>
      </c>
      <c r="U95" s="88">
        <v>0.59</v>
      </c>
      <c r="V95" s="88">
        <v>2.0099999999999998</v>
      </c>
      <c r="W95" s="88">
        <f t="shared" si="54"/>
        <v>3.01</v>
      </c>
      <c r="X95" s="88" t="str">
        <f t="shared" si="55"/>
        <v>PREWARNING</v>
      </c>
      <c r="Y95" s="72"/>
      <c r="Z95" s="67" t="s">
        <v>54</v>
      </c>
    </row>
    <row r="96" spans="1:30" ht="15" customHeight="1" x14ac:dyDescent="0.3">
      <c r="A96" s="85"/>
      <c r="B96" s="91">
        <v>7</v>
      </c>
      <c r="C96" s="89" t="str">
        <f>'[1]INPUT EQUIPMENT'!B82</f>
        <v>BC 8.1</v>
      </c>
      <c r="D96" s="91" t="s">
        <v>67</v>
      </c>
      <c r="E96" s="88">
        <v>3.21</v>
      </c>
      <c r="F96" s="88">
        <v>2.4900000000000002</v>
      </c>
      <c r="G96" s="95" t="s">
        <v>66</v>
      </c>
      <c r="H96" s="88">
        <v>2.67</v>
      </c>
      <c r="I96" s="88">
        <v>2.91</v>
      </c>
      <c r="J96" s="88">
        <v>2.78</v>
      </c>
      <c r="K96" s="88">
        <v>2.09</v>
      </c>
      <c r="L96" s="88">
        <v>2.02</v>
      </c>
      <c r="M96" s="88">
        <v>1.57</v>
      </c>
      <c r="N96" s="88">
        <v>2.65</v>
      </c>
      <c r="O96" s="88">
        <v>3.01</v>
      </c>
      <c r="P96" s="88">
        <v>2.96</v>
      </c>
      <c r="Q96" s="88">
        <v>0.48</v>
      </c>
      <c r="R96" s="88">
        <v>0.26</v>
      </c>
      <c r="S96" s="88">
        <v>0.27</v>
      </c>
      <c r="T96" s="88">
        <v>0.4</v>
      </c>
      <c r="U96" s="88">
        <v>0.25</v>
      </c>
      <c r="V96" s="88">
        <v>0.56000000000000005</v>
      </c>
      <c r="W96" s="88">
        <f t="shared" si="54"/>
        <v>3.21</v>
      </c>
      <c r="X96" s="88" t="str">
        <f>IF(W96=0,"STAND BY",IF(W96&lt;2.4,"NORMAL",IF(W96&lt;4.6,"PREWARNING",IF(W96&lt;7.1,"WARNING","ALARM"))))</f>
        <v>PREWARNING</v>
      </c>
      <c r="Y96" s="72"/>
      <c r="Z96" s="67" t="s">
        <v>46</v>
      </c>
    </row>
    <row r="97" spans="1:31" ht="15" customHeight="1" x14ac:dyDescent="0.3">
      <c r="A97" s="85"/>
      <c r="B97" s="91">
        <v>8</v>
      </c>
      <c r="C97" s="89" t="str">
        <f>'[1]INPUT EQUIPMENT'!B83</f>
        <v>BC 8.2</v>
      </c>
      <c r="D97" s="91" t="s">
        <v>67</v>
      </c>
      <c r="E97" s="88">
        <v>3.75</v>
      </c>
      <c r="F97" s="88">
        <v>3.03</v>
      </c>
      <c r="G97" s="95" t="s">
        <v>66</v>
      </c>
      <c r="H97" s="88">
        <v>2.4900000000000002</v>
      </c>
      <c r="I97" s="88">
        <v>2.38</v>
      </c>
      <c r="J97" s="88">
        <v>1.63</v>
      </c>
      <c r="K97" s="88">
        <v>2.1800000000000002</v>
      </c>
      <c r="L97" s="88">
        <v>2.21</v>
      </c>
      <c r="M97" s="88">
        <v>2.56</v>
      </c>
      <c r="N97" s="88">
        <v>2.4300000000000002</v>
      </c>
      <c r="O97" s="88">
        <v>1.97</v>
      </c>
      <c r="P97" s="88">
        <v>2.0099999999999998</v>
      </c>
      <c r="Q97" s="88">
        <v>0.9</v>
      </c>
      <c r="R97" s="88">
        <v>0.44</v>
      </c>
      <c r="S97" s="88">
        <v>0.46</v>
      </c>
      <c r="T97" s="88">
        <v>0.72</v>
      </c>
      <c r="U97" s="88">
        <v>0.37</v>
      </c>
      <c r="V97" s="88">
        <v>0.5</v>
      </c>
      <c r="W97" s="88">
        <f t="shared" si="54"/>
        <v>3.75</v>
      </c>
      <c r="X97" s="88" t="str">
        <f t="shared" si="55"/>
        <v>PREWARNING</v>
      </c>
      <c r="Y97" s="72"/>
      <c r="Z97" s="67" t="s">
        <v>47</v>
      </c>
    </row>
    <row r="98" spans="1:31" ht="15" customHeight="1" x14ac:dyDescent="0.3">
      <c r="A98" s="85"/>
      <c r="B98" s="91">
        <v>9</v>
      </c>
      <c r="C98" s="89" t="str">
        <f>'[1]INPUT EQUIPMENT'!B84</f>
        <v>BC 10.1</v>
      </c>
      <c r="D98" s="91" t="s">
        <v>67</v>
      </c>
      <c r="E98" s="88">
        <v>2.59</v>
      </c>
      <c r="F98" s="88">
        <v>3.47</v>
      </c>
      <c r="G98" s="95" t="s">
        <v>66</v>
      </c>
      <c r="H98" s="88">
        <v>1.27</v>
      </c>
      <c r="I98" s="88">
        <v>2.7</v>
      </c>
      <c r="J98" s="88">
        <v>1.46</v>
      </c>
      <c r="K98" s="88">
        <v>1.42</v>
      </c>
      <c r="L98" s="88">
        <v>1.21</v>
      </c>
      <c r="M98" s="95" t="s">
        <v>66</v>
      </c>
      <c r="N98" s="88">
        <v>2.0099999999999998</v>
      </c>
      <c r="O98" s="88">
        <v>1.4</v>
      </c>
      <c r="P98" s="88">
        <v>1.27</v>
      </c>
      <c r="Q98" s="88">
        <v>0.8</v>
      </c>
      <c r="R98" s="88">
        <v>0.48</v>
      </c>
      <c r="S98" s="88">
        <v>0.6</v>
      </c>
      <c r="T98" s="88">
        <v>0.5</v>
      </c>
      <c r="U98" s="88">
        <v>0.47</v>
      </c>
      <c r="V98" s="88">
        <v>0.7</v>
      </c>
      <c r="W98" s="88">
        <f t="shared" si="54"/>
        <v>3.47</v>
      </c>
      <c r="X98" s="88" t="str">
        <f>IF(W98=0,"STAND BY",IF(W98&lt;2.4,"NORMAL",IF(W98&lt;4.6,"PREWARNING",IF(W98&lt;7.1,"WARNING","ALARM"))))</f>
        <v>PREWARNING</v>
      </c>
      <c r="Y98" s="72"/>
      <c r="Z98" s="67" t="s">
        <v>46</v>
      </c>
    </row>
    <row r="99" spans="1:31" ht="15" customHeight="1" x14ac:dyDescent="0.3">
      <c r="A99" s="85"/>
      <c r="B99" s="91">
        <v>10</v>
      </c>
      <c r="C99" s="89" t="str">
        <f>'[1]INPUT EQUIPMENT'!B85</f>
        <v>BC 10.2</v>
      </c>
      <c r="D99" s="91" t="s">
        <v>67</v>
      </c>
      <c r="E99" s="88">
        <v>3.45</v>
      </c>
      <c r="F99" s="88">
        <v>3.47</v>
      </c>
      <c r="G99" s="95" t="s">
        <v>66</v>
      </c>
      <c r="H99" s="88">
        <v>4.34</v>
      </c>
      <c r="I99" s="88">
        <v>3.24</v>
      </c>
      <c r="J99" s="88">
        <v>4.08</v>
      </c>
      <c r="K99" s="88">
        <v>1.51</v>
      </c>
      <c r="L99" s="88">
        <v>0.93</v>
      </c>
      <c r="M99" s="95" t="s">
        <v>66</v>
      </c>
      <c r="N99" s="88">
        <v>2.61</v>
      </c>
      <c r="O99" s="88">
        <v>1.34</v>
      </c>
      <c r="P99" s="88">
        <v>3.07</v>
      </c>
      <c r="Q99" s="88">
        <v>0.5</v>
      </c>
      <c r="R99" s="88">
        <v>0.4</v>
      </c>
      <c r="S99" s="88">
        <v>0.6</v>
      </c>
      <c r="T99" s="88">
        <v>1.21</v>
      </c>
      <c r="U99" s="88">
        <v>0.4</v>
      </c>
      <c r="V99" s="88">
        <v>0.77</v>
      </c>
      <c r="W99" s="88">
        <f t="shared" si="54"/>
        <v>4.34</v>
      </c>
      <c r="X99" s="88" t="str">
        <f t="shared" si="55"/>
        <v>PREWARNING</v>
      </c>
      <c r="Y99" s="72"/>
      <c r="Z99" s="67" t="s">
        <v>47</v>
      </c>
    </row>
    <row r="100" spans="1:31" ht="15" customHeight="1" x14ac:dyDescent="0.3">
      <c r="A100" s="85"/>
      <c r="B100" s="91">
        <v>11</v>
      </c>
      <c r="C100" s="89" t="str">
        <f>'[1]INPUT EQUIPMENT'!B86</f>
        <v>ROLLER SCREEN 1</v>
      </c>
      <c r="D100" s="91" t="s">
        <v>67</v>
      </c>
      <c r="E100" s="88">
        <v>8.2100000000000009</v>
      </c>
      <c r="F100" s="88">
        <v>5.32</v>
      </c>
      <c r="G100" s="95" t="s">
        <v>66</v>
      </c>
      <c r="H100" s="88">
        <v>6.05</v>
      </c>
      <c r="I100" s="88">
        <v>4.83</v>
      </c>
      <c r="J100" s="88">
        <v>4.84</v>
      </c>
      <c r="K100" s="95" t="s">
        <v>66</v>
      </c>
      <c r="L100" s="95" t="s">
        <v>66</v>
      </c>
      <c r="M100" s="95" t="s">
        <v>66</v>
      </c>
      <c r="N100" s="95" t="s">
        <v>66</v>
      </c>
      <c r="O100" s="95" t="s">
        <v>66</v>
      </c>
      <c r="P100" s="95" t="s">
        <v>66</v>
      </c>
      <c r="Q100" s="95" t="s">
        <v>66</v>
      </c>
      <c r="R100" s="95" t="s">
        <v>66</v>
      </c>
      <c r="S100" s="95" t="s">
        <v>66</v>
      </c>
      <c r="T100" s="95" t="s">
        <v>66</v>
      </c>
      <c r="U100" s="95" t="s">
        <v>66</v>
      </c>
      <c r="V100" s="95" t="s">
        <v>66</v>
      </c>
      <c r="W100" s="88">
        <f t="shared" si="54"/>
        <v>8.2100000000000009</v>
      </c>
      <c r="X100" s="88" t="str">
        <f>IF(W100=0,"STAND BY",IF(W100&lt;4.6,"NORMAL",IF(W100&lt;6.6,"PREWARNING",IF(W100&lt;7.6,"WARNING","ALARM"))))</f>
        <v>ALARM</v>
      </c>
      <c r="Y100" s="72"/>
      <c r="Z100" s="67" t="s">
        <v>46</v>
      </c>
    </row>
    <row r="101" spans="1:31" ht="15" customHeight="1" x14ac:dyDescent="0.3">
      <c r="A101" s="85"/>
      <c r="B101" s="91">
        <v>12</v>
      </c>
      <c r="C101" s="89" t="str">
        <f>'[1]INPUT EQUIPMENT'!B87</f>
        <v>ROLLER SCREEN 2</v>
      </c>
      <c r="D101" s="91" t="s">
        <v>67</v>
      </c>
      <c r="E101" s="88">
        <v>6.43</v>
      </c>
      <c r="F101" s="88">
        <v>5</v>
      </c>
      <c r="G101" s="95" t="s">
        <v>66</v>
      </c>
      <c r="H101" s="88">
        <v>4.2</v>
      </c>
      <c r="I101" s="88">
        <v>3.29</v>
      </c>
      <c r="J101" s="88">
        <v>3.14</v>
      </c>
      <c r="K101" s="95" t="s">
        <v>66</v>
      </c>
      <c r="L101" s="95" t="s">
        <v>66</v>
      </c>
      <c r="M101" s="95" t="s">
        <v>66</v>
      </c>
      <c r="N101" s="95" t="s">
        <v>66</v>
      </c>
      <c r="O101" s="95" t="s">
        <v>66</v>
      </c>
      <c r="P101" s="95" t="s">
        <v>66</v>
      </c>
      <c r="Q101" s="95" t="s">
        <v>66</v>
      </c>
      <c r="R101" s="95" t="s">
        <v>66</v>
      </c>
      <c r="S101" s="95" t="s">
        <v>66</v>
      </c>
      <c r="T101" s="95" t="s">
        <v>66</v>
      </c>
      <c r="U101" s="95" t="s">
        <v>66</v>
      </c>
      <c r="V101" s="95" t="s">
        <v>66</v>
      </c>
      <c r="W101" s="88">
        <f t="shared" si="54"/>
        <v>6.43</v>
      </c>
      <c r="X101" s="88" t="str">
        <f>IF(W101=0,"STAND BY",IF(W101&lt;4.6,"NORMAL",IF(W101&lt;6.6,"PREWARNING",IF(W101&lt;7.6,"WARNING","ALARM"))))</f>
        <v>PREWARNING</v>
      </c>
      <c r="Y101" s="72"/>
      <c r="Z101" s="67" t="s">
        <v>46</v>
      </c>
    </row>
    <row r="102" spans="1:31" ht="15" customHeight="1" x14ac:dyDescent="0.3">
      <c r="A102" s="85"/>
      <c r="B102" s="91">
        <v>13</v>
      </c>
      <c r="C102" s="89" t="str">
        <f>'[1]INPUT EQUIPMENT'!B88</f>
        <v>Motor Crusser 185kW 1</v>
      </c>
      <c r="D102" s="91" t="s">
        <v>67</v>
      </c>
      <c r="E102" s="88">
        <v>1.88</v>
      </c>
      <c r="F102" s="88">
        <v>6.09</v>
      </c>
      <c r="G102" s="88">
        <v>1.0900000000000001</v>
      </c>
      <c r="H102" s="88">
        <v>3.01</v>
      </c>
      <c r="I102" s="88">
        <v>7.85</v>
      </c>
      <c r="J102" s="88">
        <v>1.62</v>
      </c>
      <c r="K102" s="88">
        <v>2.2000000000000002</v>
      </c>
      <c r="L102" s="88">
        <v>4.6900000000000004</v>
      </c>
      <c r="M102" s="88">
        <v>2.42</v>
      </c>
      <c r="N102" s="88">
        <v>3.26</v>
      </c>
      <c r="O102" s="88">
        <v>4.97</v>
      </c>
      <c r="P102" s="88">
        <v>4.24</v>
      </c>
      <c r="Q102" s="95" t="s">
        <v>66</v>
      </c>
      <c r="R102" s="95" t="s">
        <v>66</v>
      </c>
      <c r="S102" s="95" t="s">
        <v>66</v>
      </c>
      <c r="T102" s="95" t="s">
        <v>66</v>
      </c>
      <c r="U102" s="95" t="s">
        <v>66</v>
      </c>
      <c r="V102" s="95" t="s">
        <v>66</v>
      </c>
      <c r="W102" s="88">
        <f t="shared" si="54"/>
        <v>7.85</v>
      </c>
      <c r="X102" s="88" t="str">
        <f>IF(W102=0,"STAND BY",IF(W102&lt;4.6,"NORMAL",IF(W102&lt;7.1,"PREWARNING",IF(W102&lt;8.01,"WARNING","ALARM"))))</f>
        <v>WARNING</v>
      </c>
      <c r="Y102" s="72"/>
      <c r="Z102" s="67" t="s">
        <v>54</v>
      </c>
    </row>
    <row r="103" spans="1:31" ht="15" customHeight="1" x14ac:dyDescent="0.3">
      <c r="A103" s="85"/>
      <c r="B103" s="91">
        <v>14</v>
      </c>
      <c r="C103" s="89" t="str">
        <f>'[1]INPUT EQUIPMENT'!B89</f>
        <v>Motor Crusser 185kW 2</v>
      </c>
      <c r="D103" s="90" t="s">
        <v>67</v>
      </c>
      <c r="E103" s="88">
        <v>1</v>
      </c>
      <c r="F103" s="88">
        <v>1.46</v>
      </c>
      <c r="G103" s="88">
        <v>0.73</v>
      </c>
      <c r="H103" s="88">
        <v>2.02</v>
      </c>
      <c r="I103" s="88">
        <v>2.33</v>
      </c>
      <c r="J103" s="88">
        <v>1.06</v>
      </c>
      <c r="K103" s="88">
        <v>1.19</v>
      </c>
      <c r="L103" s="88">
        <v>4.74</v>
      </c>
      <c r="M103" s="88">
        <v>2.02</v>
      </c>
      <c r="N103" s="88">
        <v>2.0699999999999998</v>
      </c>
      <c r="O103" s="88">
        <v>2.96</v>
      </c>
      <c r="P103" s="88">
        <v>2.76</v>
      </c>
      <c r="Q103" s="95" t="s">
        <v>66</v>
      </c>
      <c r="R103" s="95" t="s">
        <v>66</v>
      </c>
      <c r="S103" s="95" t="s">
        <v>66</v>
      </c>
      <c r="T103" s="95" t="s">
        <v>66</v>
      </c>
      <c r="U103" s="95" t="s">
        <v>66</v>
      </c>
      <c r="V103" s="95" t="s">
        <v>66</v>
      </c>
      <c r="W103" s="88">
        <f t="shared" si="54"/>
        <v>4.74</v>
      </c>
      <c r="X103" s="88" t="str">
        <f>IF(W103=0,"STAND BY",IF(W103&lt;4.6,"NORMAL",IF(W103&lt;7.1,"PREWARNING",IF(W103&lt;8.01,"WARNING","ALARM"))))</f>
        <v>PREWARNING</v>
      </c>
      <c r="Y103" s="72"/>
      <c r="Z103" s="67" t="s">
        <v>54</v>
      </c>
    </row>
    <row r="104" spans="1:31" ht="15" customHeight="1" x14ac:dyDescent="0.3">
      <c r="A104" s="101"/>
      <c r="B104" s="102"/>
      <c r="C104" s="103"/>
      <c r="D104" s="104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6"/>
      <c r="R104" s="106"/>
      <c r="S104" s="106"/>
      <c r="T104" s="106"/>
      <c r="U104" s="106"/>
      <c r="V104" s="106"/>
      <c r="W104" s="105"/>
      <c r="X104" s="105"/>
      <c r="Y104" s="107"/>
    </row>
    <row r="105" spans="1:31" ht="15" hidden="1" customHeight="1" x14ac:dyDescent="0.3">
      <c r="A105" s="85"/>
      <c r="B105" s="88">
        <v>22</v>
      </c>
      <c r="C105" s="89" t="str">
        <f>'[1]INPUT EQUIPMENT'!B92</f>
        <v>Compressor For Instrument 1#1</v>
      </c>
      <c r="D105" s="90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>
        <f t="shared" ref="W105:W113" si="56">MAX(E105:V105)</f>
        <v>0</v>
      </c>
      <c r="X105" s="88" t="str">
        <f t="shared" ref="X105:X113" si="57">IF(W105=0,"STAND BY",IF(W105&lt;1.5,"NORMAL",IF(W105&lt;2.9,"PREWARNING",IF(W105&lt;4.6,"WARNING","ALARM"))))</f>
        <v>STAND BY</v>
      </c>
      <c r="Y105" s="72"/>
    </row>
    <row r="106" spans="1:31" ht="15" hidden="1" customHeight="1" x14ac:dyDescent="0.3">
      <c r="A106" s="85"/>
      <c r="B106" s="88">
        <v>23</v>
      </c>
      <c r="C106" s="89" t="str">
        <f>'[1]INPUT EQUIPMENT'!B93</f>
        <v>Compressor For Instrument 2#1</v>
      </c>
      <c r="D106" s="90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>
        <f t="shared" si="56"/>
        <v>0</v>
      </c>
      <c r="X106" s="88" t="str">
        <f t="shared" si="57"/>
        <v>STAND BY</v>
      </c>
      <c r="Y106" s="72"/>
    </row>
    <row r="107" spans="1:31" ht="15" hidden="1" customHeight="1" x14ac:dyDescent="0.3">
      <c r="A107" s="85"/>
      <c r="B107" s="88">
        <v>24</v>
      </c>
      <c r="C107" s="89" t="str">
        <f>'[1]INPUT EQUIPMENT'!B94</f>
        <v>Compressor For Instrument 3#1</v>
      </c>
      <c r="D107" s="90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>
        <f t="shared" si="56"/>
        <v>0</v>
      </c>
      <c r="X107" s="88" t="str">
        <f t="shared" si="57"/>
        <v>STAND BY</v>
      </c>
      <c r="Y107" s="72"/>
    </row>
    <row r="108" spans="1:31" ht="15" hidden="1" customHeight="1" x14ac:dyDescent="0.3">
      <c r="A108" s="85"/>
      <c r="B108" s="88">
        <v>25</v>
      </c>
      <c r="C108" s="89" t="str">
        <f>'[1]INPUT EQUIPMENT'!B95</f>
        <v>Compressor For Ash Handling 1#1</v>
      </c>
      <c r="D108" s="90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>
        <f t="shared" si="56"/>
        <v>0</v>
      </c>
      <c r="X108" s="88" t="str">
        <f t="shared" si="57"/>
        <v>STAND BY</v>
      </c>
      <c r="Y108" s="72"/>
    </row>
    <row r="109" spans="1:31" ht="15" hidden="1" customHeight="1" x14ac:dyDescent="0.3">
      <c r="A109" s="85"/>
      <c r="B109" s="88">
        <v>26</v>
      </c>
      <c r="C109" s="89" t="str">
        <f>'[1]INPUT EQUIPMENT'!B96</f>
        <v>Compressor For Ash Handling 2#1</v>
      </c>
      <c r="D109" s="90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>
        <f t="shared" si="56"/>
        <v>0</v>
      </c>
      <c r="X109" s="88" t="str">
        <f t="shared" si="57"/>
        <v>STAND BY</v>
      </c>
      <c r="Y109" s="72"/>
      <c r="AA109" s="111"/>
      <c r="AB109" s="111"/>
      <c r="AC109" s="111"/>
      <c r="AD109" s="111"/>
      <c r="AE109" s="112"/>
    </row>
    <row r="110" spans="1:31" ht="15" hidden="1" customHeight="1" x14ac:dyDescent="0.3">
      <c r="A110" s="85"/>
      <c r="B110" s="88">
        <v>27</v>
      </c>
      <c r="C110" s="89" t="str">
        <f>'[1]INPUT EQUIPMENT'!B97</f>
        <v>Compressor For Ash Handling 3#1</v>
      </c>
      <c r="D110" s="90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>
        <f t="shared" si="56"/>
        <v>0</v>
      </c>
      <c r="X110" s="88" t="str">
        <f t="shared" si="57"/>
        <v>STAND BY</v>
      </c>
      <c r="Y110" s="72"/>
    </row>
    <row r="111" spans="1:31" ht="15" hidden="1" customHeight="1" x14ac:dyDescent="0.3">
      <c r="A111" s="85"/>
      <c r="B111" s="88">
        <v>28</v>
      </c>
      <c r="C111" s="89" t="str">
        <f>'[1]INPUT EQUIPMENT'!B98</f>
        <v>Compressor For Service 1#1</v>
      </c>
      <c r="D111" s="90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>
        <f t="shared" si="56"/>
        <v>0</v>
      </c>
      <c r="X111" s="88" t="str">
        <f t="shared" si="57"/>
        <v>STAND BY</v>
      </c>
      <c r="Y111" s="72"/>
    </row>
    <row r="112" spans="1:31" ht="15" hidden="1" customHeight="1" x14ac:dyDescent="0.3">
      <c r="A112" s="85"/>
      <c r="B112" s="88">
        <v>29</v>
      </c>
      <c r="C112" s="89" t="str">
        <f>'[1]INPUT EQUIPMENT'!B99</f>
        <v>Compressor For Service 2#1</v>
      </c>
      <c r="D112" s="90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>
        <f t="shared" si="56"/>
        <v>0</v>
      </c>
      <c r="X112" s="88" t="str">
        <f t="shared" si="57"/>
        <v>STAND BY</v>
      </c>
      <c r="Y112" s="72"/>
    </row>
    <row r="113" spans="1:31" ht="15" hidden="1" customHeight="1" x14ac:dyDescent="0.3">
      <c r="A113" s="85"/>
      <c r="B113" s="88">
        <v>30</v>
      </c>
      <c r="C113" s="89" t="str">
        <f>'[1]INPUT EQUIPMENT'!B100</f>
        <v>Compressor For Service 3#1</v>
      </c>
      <c r="D113" s="90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>
        <f t="shared" si="56"/>
        <v>0</v>
      </c>
      <c r="X113" s="88" t="str">
        <f t="shared" si="57"/>
        <v>STAND BY</v>
      </c>
      <c r="Y113" s="72"/>
    </row>
    <row r="114" spans="1:31" ht="15" customHeight="1" x14ac:dyDescent="0.3">
      <c r="A114" s="101"/>
      <c r="B114" s="113"/>
      <c r="C114" s="113"/>
      <c r="D114" s="113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5"/>
      <c r="X114" s="115"/>
      <c r="Y114" s="107"/>
    </row>
    <row r="115" spans="1:31" ht="15" customHeight="1" x14ac:dyDescent="0.3"/>
    <row r="124" spans="1:31" x14ac:dyDescent="0.3">
      <c r="AA124" s="111"/>
      <c r="AB124" s="111"/>
      <c r="AC124" s="111"/>
      <c r="AD124" s="111"/>
      <c r="AE124" s="112"/>
    </row>
    <row r="143" spans="27:31" x14ac:dyDescent="0.3">
      <c r="AA143" s="111"/>
      <c r="AB143" s="111"/>
      <c r="AC143" s="111"/>
      <c r="AD143" s="111"/>
      <c r="AE143" s="112"/>
    </row>
  </sheetData>
  <mergeCells count="20">
    <mergeCell ref="D4:S4"/>
    <mergeCell ref="T4:V4"/>
    <mergeCell ref="W4:Y4"/>
    <mergeCell ref="A5:Y5"/>
    <mergeCell ref="B7:B8"/>
    <mergeCell ref="C7:C8"/>
    <mergeCell ref="D7:D8"/>
    <mergeCell ref="E7:V7"/>
    <mergeCell ref="W7:W8"/>
    <mergeCell ref="X7:X8"/>
    <mergeCell ref="A1:C4"/>
    <mergeCell ref="D1:S1"/>
    <mergeCell ref="T1:V1"/>
    <mergeCell ref="W1:Y1"/>
    <mergeCell ref="D2:S2"/>
    <mergeCell ref="T2:V2"/>
    <mergeCell ref="W2:Y2"/>
    <mergeCell ref="D3:S3"/>
    <mergeCell ref="T3:V3"/>
    <mergeCell ref="W3:Y3"/>
  </mergeCells>
  <conditionalFormatting sqref="E8:E29 E36:E51 E57 Q100:V104 E53:E54">
    <cfRule type="expression" dxfId="281" priority="83">
      <formula>"0&gt;$E$141+$E$141&lt;2.4"</formula>
    </cfRule>
  </conditionalFormatting>
  <conditionalFormatting sqref="E77:E78">
    <cfRule type="expression" dxfId="280" priority="175">
      <formula>"0&gt;$E$141+$E$141&lt;2.4"</formula>
    </cfRule>
  </conditionalFormatting>
  <conditionalFormatting sqref="E76:F76">
    <cfRule type="expression" dxfId="279" priority="177">
      <formula>"0&gt;$E$141+$E$141&lt;2.4"</formula>
    </cfRule>
  </conditionalFormatting>
  <conditionalFormatting sqref="E11:H11">
    <cfRule type="expression" dxfId="278" priority="184">
      <formula>"0&gt;$E$141+$E$141&lt;2.4"</formula>
    </cfRule>
  </conditionalFormatting>
  <conditionalFormatting sqref="E38:H38">
    <cfRule type="expression" dxfId="277" priority="81">
      <formula>"0&gt;$E$141+$E$141&lt;2.4"</formula>
    </cfRule>
  </conditionalFormatting>
  <conditionalFormatting sqref="E73:J73">
    <cfRule type="expression" dxfId="276" priority="180">
      <formula>"0&gt;$E$141+$E$141&lt;2.4"</formula>
    </cfRule>
  </conditionalFormatting>
  <conditionalFormatting sqref="E79:J79 E84:F84">
    <cfRule type="expression" dxfId="275" priority="69">
      <formula>"0&gt;$E$141+$E$141&lt;2.4"</formula>
    </cfRule>
  </conditionalFormatting>
  <conditionalFormatting sqref="E17:M17">
    <cfRule type="expression" dxfId="274" priority="183">
      <formula>"0&gt;$E$141+$E$141&lt;2.4"</formula>
    </cfRule>
  </conditionalFormatting>
  <conditionalFormatting sqref="E44:M44">
    <cfRule type="expression" dxfId="273" priority="80">
      <formula>"0&gt;$E$141+$E$141&lt;2.4"</formula>
    </cfRule>
  </conditionalFormatting>
  <conditionalFormatting sqref="E10:P10">
    <cfRule type="expression" dxfId="272" priority="185">
      <formula>"0&gt;$E$141+$E$141&lt;2.4"</formula>
    </cfRule>
  </conditionalFormatting>
  <conditionalFormatting sqref="E12:P16">
    <cfRule type="expression" dxfId="271" priority="164">
      <formula>"0&gt;$E$141+$E$141&lt;2.4"</formula>
    </cfRule>
  </conditionalFormatting>
  <conditionalFormatting sqref="E37:P37">
    <cfRule type="expression" dxfId="270" priority="82">
      <formula>"0&gt;$E$141+$E$141&lt;2.4"</formula>
    </cfRule>
  </conditionalFormatting>
  <conditionalFormatting sqref="E39:P43">
    <cfRule type="expression" dxfId="269" priority="76">
      <formula>"0&gt;$E$141+$E$141&lt;2.4"</formula>
    </cfRule>
  </conditionalFormatting>
  <conditionalFormatting sqref="E64:P72">
    <cfRule type="expression" dxfId="268" priority="91">
      <formula>"0&gt;$E$141+$E$141&lt;2.4"</formula>
    </cfRule>
  </conditionalFormatting>
  <conditionalFormatting sqref="E74:Q75">
    <cfRule type="expression" dxfId="267" priority="178">
      <formula>"0&gt;$E$141+$E$141&lt;2.4"</formula>
    </cfRule>
  </conditionalFormatting>
  <conditionalFormatting sqref="E58:V63">
    <cfRule type="expression" dxfId="266" priority="193">
      <formula>"0&gt;$E$141+$E$141&lt;2.4"</formula>
    </cfRule>
  </conditionalFormatting>
  <conditionalFormatting sqref="F77">
    <cfRule type="expression" dxfId="265" priority="176">
      <formula>"0&gt;$E$141+$E$141&lt;2.4"</formula>
    </cfRule>
  </conditionalFormatting>
  <conditionalFormatting sqref="F78:J78">
    <cfRule type="expression" dxfId="264" priority="174">
      <formula>"0&gt;$E$141+$E$141&lt;2.4"</formula>
    </cfRule>
  </conditionalFormatting>
  <conditionalFormatting sqref="G23:G24">
    <cfRule type="expression" dxfId="263" priority="84">
      <formula>"0&gt;$E$141+$E$141&lt;2.4"</formula>
    </cfRule>
  </conditionalFormatting>
  <conditionalFormatting sqref="G27:G28">
    <cfRule type="expression" dxfId="262" priority="92">
      <formula>"0&gt;$E$141+$E$141&lt;2.4"</formula>
    </cfRule>
  </conditionalFormatting>
  <conditionalFormatting sqref="G50:G51">
    <cfRule type="expression" dxfId="261" priority="75">
      <formula>"0&gt;$E$141+$E$141&lt;2.4"</formula>
    </cfRule>
  </conditionalFormatting>
  <conditionalFormatting sqref="G96:G101">
    <cfRule type="expression" dxfId="260" priority="186">
      <formula>"0&gt;$E$141+$E$141&lt;2.4"</formula>
    </cfRule>
  </conditionalFormatting>
  <conditionalFormatting sqref="G76:J77">
    <cfRule type="expression" dxfId="259" priority="74">
      <formula>"0&gt;$E$141+$E$141&lt;2.4"</formula>
    </cfRule>
  </conditionalFormatting>
  <conditionalFormatting sqref="K27:M29">
    <cfRule type="expression" dxfId="258" priority="181">
      <formula>"0&gt;$E$141+$E$141&lt;2.4"</formula>
    </cfRule>
  </conditionalFormatting>
  <conditionalFormatting sqref="K72:P73">
    <cfRule type="expression" dxfId="257" priority="179">
      <formula>"0&gt;$E$141+$E$141&lt;2.4"</formula>
    </cfRule>
  </conditionalFormatting>
  <conditionalFormatting sqref="K76:P79">
    <cfRule type="expression" dxfId="256" priority="68">
      <formula>"0&gt;$E$141+$E$141&lt;2.4"</formula>
    </cfRule>
  </conditionalFormatting>
  <conditionalFormatting sqref="K100:P101">
    <cfRule type="expression" dxfId="255" priority="189">
      <formula>"0&gt;$E$141+$E$141&lt;2.4"</formula>
    </cfRule>
  </conditionalFormatting>
  <conditionalFormatting sqref="Q84:V85">
    <cfRule type="expression" dxfId="254" priority="190">
      <formula>"0&gt;$E$141+$E$141&lt;2.4"</formula>
    </cfRule>
  </conditionalFormatting>
  <conditionalFormatting sqref="L73:P73">
    <cfRule type="expression" dxfId="253" priority="187">
      <formula>"0&gt;$E$141+$E$141&lt;2.4"</formula>
    </cfRule>
  </conditionalFormatting>
  <conditionalFormatting sqref="M98:M99">
    <cfRule type="expression" dxfId="252" priority="171">
      <formula>"0&gt;$E$141+$E$141&lt;2.4"</formula>
    </cfRule>
  </conditionalFormatting>
  <conditionalFormatting sqref="N17:P18">
    <cfRule type="expression" dxfId="251" priority="172">
      <formula>"0&gt;$E$141+$E$141&lt;2.4"</formula>
    </cfRule>
  </conditionalFormatting>
  <conditionalFormatting sqref="N23:P29">
    <cfRule type="expression" dxfId="250" priority="173">
      <formula>"0&gt;$E$141+$E$141&lt;2.4"</formula>
    </cfRule>
  </conditionalFormatting>
  <conditionalFormatting sqref="N44:P45">
    <cfRule type="expression" dxfId="249" priority="77">
      <formula>"0&gt;$E$141+$E$141&lt;2.4"</formula>
    </cfRule>
  </conditionalFormatting>
  <conditionalFormatting sqref="N50:P51 N53:P54">
    <cfRule type="expression" dxfId="248" priority="78">
      <formula>"0&gt;$E$141+$E$141&lt;2.4"</formula>
    </cfRule>
  </conditionalFormatting>
  <conditionalFormatting sqref="P74">
    <cfRule type="expression" dxfId="247" priority="192">
      <formula>"0&gt;$E$141+$E$141&lt;2.4"</formula>
    </cfRule>
  </conditionalFormatting>
  <conditionalFormatting sqref="Q10:V29 Q35:V35">
    <cfRule type="expression" dxfId="246" priority="182">
      <formula>"0&gt;$E$141+$E$141&lt;2.4"</formula>
    </cfRule>
  </conditionalFormatting>
  <conditionalFormatting sqref="Q37:V51 Q53:V54">
    <cfRule type="expression" dxfId="245" priority="79">
      <formula>"0&gt;$E$141+$E$141&lt;2.4"</formula>
    </cfRule>
  </conditionalFormatting>
  <conditionalFormatting sqref="Q64:V79">
    <cfRule type="expression" dxfId="244" priority="194">
      <formula>"0&gt;$E$141+$E$141&lt;2.4"</formula>
    </cfRule>
  </conditionalFormatting>
  <conditionalFormatting sqref="Q86:V88">
    <cfRule type="expression" dxfId="243" priority="67">
      <formula>"0&gt;$E$141+$E$141&lt;2.4"</formula>
    </cfRule>
  </conditionalFormatting>
  <conditionalFormatting sqref="X104:X113">
    <cfRule type="cellIs" dxfId="242" priority="160" operator="equal">
      <formula>"ALARM"</formula>
    </cfRule>
    <cfRule type="cellIs" dxfId="241" priority="161" operator="equal">
      <formula>"WARNING"</formula>
    </cfRule>
    <cfRule type="cellIs" dxfId="240" priority="162" operator="equal">
      <formula>"PREWARNING"</formula>
    </cfRule>
    <cfRule type="cellIs" dxfId="239" priority="163" operator="equal">
      <formula>"NORMAL"</formula>
    </cfRule>
  </conditionalFormatting>
  <conditionalFormatting sqref="X72:X73">
    <cfRule type="cellIs" dxfId="238" priority="191" operator="equal">
      <formula>"ALARAM"</formula>
    </cfRule>
  </conditionalFormatting>
  <conditionalFormatting sqref="X37:X51 X53:X54">
    <cfRule type="cellIs" dxfId="237" priority="85" operator="equal">
      <formula>"ALARM"</formula>
    </cfRule>
    <cfRule type="cellIs" dxfId="236" priority="86" operator="equal">
      <formula>"WARNING"</formula>
    </cfRule>
    <cfRule type="cellIs" dxfId="235" priority="87" operator="equal">
      <formula>"PREWARNING"</formula>
    </cfRule>
    <cfRule type="cellIs" dxfId="234" priority="88" operator="equal">
      <formula>"NORMAL"</formula>
    </cfRule>
  </conditionalFormatting>
  <conditionalFormatting sqref="X43:X47">
    <cfRule type="cellIs" dxfId="233" priority="89" operator="equal">
      <formula>"ALARAM"</formula>
    </cfRule>
  </conditionalFormatting>
  <conditionalFormatting sqref="X50:X51">
    <cfRule type="cellIs" dxfId="232" priority="90" operator="equal">
      <formula>"ALARAM"</formula>
    </cfRule>
  </conditionalFormatting>
  <conditionalFormatting sqref="X58:X79 X84:X88">
    <cfRule type="cellIs" dxfId="231" priority="165" operator="equal">
      <formula>"ALARM"</formula>
    </cfRule>
    <cfRule type="cellIs" dxfId="230" priority="167" operator="equal">
      <formula>"WARNING"</formula>
    </cfRule>
    <cfRule type="cellIs" dxfId="229" priority="168" operator="equal">
      <formula>"PREWARNING"</formula>
    </cfRule>
    <cfRule type="cellIs" dxfId="228" priority="169" operator="equal">
      <formula>"NORMAL"</formula>
    </cfRule>
  </conditionalFormatting>
  <conditionalFormatting sqref="X65:X69">
    <cfRule type="cellIs" dxfId="227" priority="166" operator="equal">
      <formula>"ALARAM"</formula>
    </cfRule>
  </conditionalFormatting>
  <conditionalFormatting sqref="X76:X79 X84:X88">
    <cfRule type="cellIs" dxfId="226" priority="188" operator="equal">
      <formula>"ALARAM"</formula>
    </cfRule>
  </conditionalFormatting>
  <conditionalFormatting sqref="X104:X113">
    <cfRule type="cellIs" dxfId="225" priority="170" operator="equal">
      <formula>"ALARAM"</formula>
    </cfRule>
  </conditionalFormatting>
  <conditionalFormatting sqref="AN7">
    <cfRule type="cellIs" dxfId="224" priority="128" operator="equal">
      <formula>"ALARM"</formula>
    </cfRule>
    <cfRule type="cellIs" dxfId="223" priority="129" operator="equal">
      <formula>"WARNING"</formula>
    </cfRule>
    <cfRule type="cellIs" dxfId="222" priority="130" operator="equal">
      <formula>"PREWARNING"</formula>
    </cfRule>
    <cfRule type="cellIs" dxfId="221" priority="131" operator="equal">
      <formula>"NORMAL"</formula>
    </cfRule>
  </conditionalFormatting>
  <conditionalFormatting sqref="AN10">
    <cfRule type="cellIs" dxfId="220" priority="70" operator="equal">
      <formula>"ALARM"</formula>
    </cfRule>
    <cfRule type="cellIs" dxfId="219" priority="71" operator="equal">
      <formula>"WARNING"</formula>
    </cfRule>
    <cfRule type="cellIs" dxfId="218" priority="72" operator="equal">
      <formula>"PREWARNING"</formula>
    </cfRule>
    <cfRule type="cellIs" dxfId="217" priority="73" operator="equal">
      <formula>"NORMAL"</formula>
    </cfRule>
  </conditionalFormatting>
  <conditionalFormatting sqref="BB7">
    <cfRule type="cellIs" dxfId="216" priority="105" operator="equal">
      <formula>"ALARM"</formula>
    </cfRule>
    <cfRule type="cellIs" dxfId="215" priority="106" operator="equal">
      <formula>"WARNING"</formula>
    </cfRule>
    <cfRule type="cellIs" dxfId="214" priority="107" operator="equal">
      <formula>"PREWARNING"</formula>
    </cfRule>
    <cfRule type="cellIs" dxfId="213" priority="108" operator="equal">
      <formula>"NORMAL"</formula>
    </cfRule>
  </conditionalFormatting>
  <conditionalFormatting sqref="BP7">
    <cfRule type="cellIs" dxfId="212" priority="132" operator="equal">
      <formula>"ALARM"</formula>
    </cfRule>
    <cfRule type="cellIs" dxfId="211" priority="133" operator="equal">
      <formula>"WARNING"</formula>
    </cfRule>
    <cfRule type="cellIs" dxfId="210" priority="134" operator="equal">
      <formula>"PREWARNING"</formula>
    </cfRule>
    <cfRule type="cellIs" dxfId="209" priority="135" operator="equal">
      <formula>"NORMAL"</formula>
    </cfRule>
  </conditionalFormatting>
  <conditionalFormatting sqref="CD7">
    <cfRule type="cellIs" dxfId="208" priority="101" operator="equal">
      <formula>"ALARM"</formula>
    </cfRule>
    <cfRule type="cellIs" dxfId="207" priority="102" operator="equal">
      <formula>"WARNING"</formula>
    </cfRule>
    <cfRule type="cellIs" dxfId="206" priority="103" operator="equal">
      <formula>"PREWARNING"</formula>
    </cfRule>
    <cfRule type="cellIs" dxfId="205" priority="104" operator="equal">
      <formula>"NORMAL"</formula>
    </cfRule>
  </conditionalFormatting>
  <conditionalFormatting sqref="CX7">
    <cfRule type="cellIs" dxfId="204" priority="109" operator="equal">
      <formula>"ALARM"</formula>
    </cfRule>
    <cfRule type="cellIs" dxfId="203" priority="110" operator="equal">
      <formula>"WARNING"</formula>
    </cfRule>
    <cfRule type="cellIs" dxfId="202" priority="111" operator="equal">
      <formula>"PREWARNING"</formula>
    </cfRule>
    <cfRule type="cellIs" dxfId="201" priority="112" operator="equal">
      <formula>"NORMAL"</formula>
    </cfRule>
  </conditionalFormatting>
  <conditionalFormatting sqref="DR7">
    <cfRule type="cellIs" dxfId="200" priority="136" operator="equal">
      <formula>"ALARM"</formula>
    </cfRule>
    <cfRule type="cellIs" dxfId="199" priority="137" operator="equal">
      <formula>"WARNING"</formula>
    </cfRule>
    <cfRule type="cellIs" dxfId="198" priority="138" operator="equal">
      <formula>"PREWARNING"</formula>
    </cfRule>
    <cfRule type="cellIs" dxfId="197" priority="139" operator="equal">
      <formula>"NORMAL"</formula>
    </cfRule>
  </conditionalFormatting>
  <conditionalFormatting sqref="EF7">
    <cfRule type="cellIs" dxfId="196" priority="113" operator="equal">
      <formula>"ALARM"</formula>
    </cfRule>
    <cfRule type="cellIs" dxfId="195" priority="114" operator="equal">
      <formula>"ALARAM"</formula>
    </cfRule>
    <cfRule type="cellIs" dxfId="194" priority="115" operator="equal">
      <formula>"WARNING"</formula>
    </cfRule>
    <cfRule type="cellIs" dxfId="193" priority="116" operator="equal">
      <formula>"PREWARNING"</formula>
    </cfRule>
    <cfRule type="cellIs" dxfId="192" priority="117" operator="equal">
      <formula>"NORMAL"</formula>
    </cfRule>
  </conditionalFormatting>
  <conditionalFormatting sqref="ET7">
    <cfRule type="cellIs" dxfId="191" priority="93" operator="equal">
      <formula>"ALARM"</formula>
    </cfRule>
    <cfRule type="cellIs" dxfId="190" priority="94" operator="equal">
      <formula>"WARNING"</formula>
    </cfRule>
    <cfRule type="cellIs" dxfId="189" priority="95" operator="equal">
      <formula>"PREWARNING"</formula>
    </cfRule>
    <cfRule type="cellIs" dxfId="188" priority="96" operator="equal">
      <formula>"NORMAL"</formula>
    </cfRule>
  </conditionalFormatting>
  <conditionalFormatting sqref="FH7">
    <cfRule type="cellIs" dxfId="187" priority="156" operator="equal">
      <formula>"ALARM"</formula>
    </cfRule>
    <cfRule type="cellIs" dxfId="186" priority="157" operator="equal">
      <formula>"WARNING"</formula>
    </cfRule>
    <cfRule type="cellIs" dxfId="185" priority="158" operator="equal">
      <formula>"PREWARNING"</formula>
    </cfRule>
    <cfRule type="cellIs" dxfId="184" priority="159" operator="equal">
      <formula>"NORMAL"</formula>
    </cfRule>
  </conditionalFormatting>
  <conditionalFormatting sqref="FV7">
    <cfRule type="cellIs" dxfId="183" priority="152" operator="equal">
      <formula>"ALARM"</formula>
    </cfRule>
    <cfRule type="cellIs" dxfId="182" priority="153" operator="equal">
      <formula>"WARNING"</formula>
    </cfRule>
    <cfRule type="cellIs" dxfId="181" priority="154" operator="equal">
      <formula>"PREWARNING"</formula>
    </cfRule>
    <cfRule type="cellIs" dxfId="180" priority="155" operator="equal">
      <formula>"NORMAL"</formula>
    </cfRule>
  </conditionalFormatting>
  <conditionalFormatting sqref="GJ7">
    <cfRule type="cellIs" dxfId="179" priority="97" operator="equal">
      <formula>"ALARM"</formula>
    </cfRule>
    <cfRule type="cellIs" dxfId="178" priority="98" operator="equal">
      <formula>"WARNING"</formula>
    </cfRule>
    <cfRule type="cellIs" dxfId="177" priority="99" operator="equal">
      <formula>"PREWARNING"</formula>
    </cfRule>
    <cfRule type="cellIs" dxfId="176" priority="100" operator="equal">
      <formula>"NORMAL"</formula>
    </cfRule>
  </conditionalFormatting>
  <conditionalFormatting sqref="GX7">
    <cfRule type="cellIs" dxfId="175" priority="148" operator="equal">
      <formula>"ALARM"</formula>
    </cfRule>
    <cfRule type="cellIs" dxfId="174" priority="149" operator="equal">
      <formula>"WARNING"</formula>
    </cfRule>
    <cfRule type="cellIs" dxfId="173" priority="150" operator="equal">
      <formula>"PREWARNING"</formula>
    </cfRule>
    <cfRule type="cellIs" dxfId="172" priority="151" operator="equal">
      <formula>"NORMAL"</formula>
    </cfRule>
  </conditionalFormatting>
  <conditionalFormatting sqref="HL7">
    <cfRule type="cellIs" dxfId="171" priority="144" operator="equal">
      <formula>"ALARM"</formula>
    </cfRule>
    <cfRule type="cellIs" dxfId="170" priority="145" operator="equal">
      <formula>"WARNING"</formula>
    </cfRule>
    <cfRule type="cellIs" dxfId="169" priority="146" operator="equal">
      <formula>"PREWARNING"</formula>
    </cfRule>
    <cfRule type="cellIs" dxfId="168" priority="147" operator="equal">
      <formula>"NORMAL"</formula>
    </cfRule>
  </conditionalFormatting>
  <conditionalFormatting sqref="HZ7">
    <cfRule type="cellIs" dxfId="167" priority="140" operator="equal">
      <formula>"ALARM"</formula>
    </cfRule>
    <cfRule type="cellIs" dxfId="166" priority="141" operator="equal">
      <formula>"WARNING"</formula>
    </cfRule>
    <cfRule type="cellIs" dxfId="165" priority="142" operator="equal">
      <formula>"PREWARNING"</formula>
    </cfRule>
    <cfRule type="cellIs" dxfId="164" priority="143" operator="equal">
      <formula>"NORMAL"</formula>
    </cfRule>
  </conditionalFormatting>
  <conditionalFormatting sqref="IN7">
    <cfRule type="cellIs" dxfId="163" priority="123" operator="equal">
      <formula>"ALARM"</formula>
    </cfRule>
    <cfRule type="cellIs" dxfId="162" priority="124" operator="equal">
      <formula>"ALARAM"</formula>
    </cfRule>
    <cfRule type="cellIs" dxfId="161" priority="125" operator="equal">
      <formula>"WARNING"</formula>
    </cfRule>
    <cfRule type="cellIs" dxfId="160" priority="126" operator="equal">
      <formula>"PREWARNING"</formula>
    </cfRule>
    <cfRule type="cellIs" dxfId="159" priority="127" operator="equal">
      <formula>"NORMAL"</formula>
    </cfRule>
  </conditionalFormatting>
  <conditionalFormatting sqref="JB7">
    <cfRule type="cellIs" dxfId="158" priority="118" operator="equal">
      <formula>"ALARM"</formula>
    </cfRule>
    <cfRule type="cellIs" dxfId="157" priority="119" operator="equal">
      <formula>"ALARAM"</formula>
    </cfRule>
    <cfRule type="cellIs" dxfId="156" priority="120" operator="equal">
      <formula>"WARNING"</formula>
    </cfRule>
    <cfRule type="cellIs" dxfId="155" priority="121" operator="equal">
      <formula>"PREWARNING"</formula>
    </cfRule>
    <cfRule type="cellIs" dxfId="154" priority="122" operator="equal">
      <formula>"NORMAL"</formula>
    </cfRule>
  </conditionalFormatting>
  <conditionalFormatting sqref="E30:E31">
    <cfRule type="expression" dxfId="153" priority="63">
      <formula>"0&gt;$E$141+$E$141&lt;2.4"</formula>
    </cfRule>
  </conditionalFormatting>
  <conditionalFormatting sqref="K30:M31">
    <cfRule type="expression" dxfId="152" priority="65">
      <formula>"0&gt;$E$141+$E$141&lt;2.4"</formula>
    </cfRule>
  </conditionalFormatting>
  <conditionalFormatting sqref="N30:P31">
    <cfRule type="expression" dxfId="151" priority="64">
      <formula>"0&gt;$E$141+$E$141&lt;2.4"</formula>
    </cfRule>
  </conditionalFormatting>
  <conditionalFormatting sqref="Q30:V31">
    <cfRule type="expression" dxfId="150" priority="66">
      <formula>"0&gt;$E$141+$E$141&lt;2.4"</formula>
    </cfRule>
  </conditionalFormatting>
  <conditionalFormatting sqref="E35:J35">
    <cfRule type="expression" dxfId="149" priority="62">
      <formula>"0&gt;$E$141+$E$141&lt;2.4"</formula>
    </cfRule>
  </conditionalFormatting>
  <conditionalFormatting sqref="E55">
    <cfRule type="expression" dxfId="148" priority="60">
      <formula>"0&gt;$E$141+$E$141&lt;2.4"</formula>
    </cfRule>
  </conditionalFormatting>
  <conditionalFormatting sqref="Q55:V55">
    <cfRule type="expression" dxfId="147" priority="61">
      <formula>"0&gt;$E$141+$E$141&lt;2.4"</formula>
    </cfRule>
  </conditionalFormatting>
  <conditionalFormatting sqref="F55:P55">
    <cfRule type="expression" dxfId="146" priority="59">
      <formula>"0&gt;$E$141+$E$141&lt;2.4"</formula>
    </cfRule>
  </conditionalFormatting>
  <conditionalFormatting sqref="E80:J82">
    <cfRule type="expression" dxfId="145" priority="51">
      <formula>"0&gt;$E$141+$E$141&lt;2.4"</formula>
    </cfRule>
  </conditionalFormatting>
  <conditionalFormatting sqref="E81:P81">
    <cfRule type="expression" dxfId="144" priority="52">
      <formula>"0&gt;$E$141+$E$141&lt;2.4"</formula>
    </cfRule>
  </conditionalFormatting>
  <conditionalFormatting sqref="E83:P83">
    <cfRule type="expression" dxfId="143" priority="48">
      <formula>"0&gt;$E$141+$E$141&lt;2.4"</formula>
    </cfRule>
  </conditionalFormatting>
  <conditionalFormatting sqref="K80:P82">
    <cfRule type="expression" dxfId="142" priority="50">
      <formula>"0&gt;$E$141+$E$141&lt;2.4"</formula>
    </cfRule>
  </conditionalFormatting>
  <conditionalFormatting sqref="K80:V81">
    <cfRule type="expression" dxfId="141" priority="58">
      <formula>"0&gt;$E$141+$E$141&lt;2.4"</formula>
    </cfRule>
  </conditionalFormatting>
  <conditionalFormatting sqref="Q82:V83">
    <cfRule type="expression" dxfId="140" priority="49">
      <formula>"0&gt;$E$141+$E$141&lt;2.4"</formula>
    </cfRule>
  </conditionalFormatting>
  <conditionalFormatting sqref="X80:X83">
    <cfRule type="cellIs" dxfId="139" priority="53" operator="equal">
      <formula>"ALARM"</formula>
    </cfRule>
    <cfRule type="cellIs" dxfId="138" priority="54" operator="equal">
      <formula>"WARNING"</formula>
    </cfRule>
    <cfRule type="cellIs" dxfId="137" priority="55" operator="equal">
      <formula>"PREWARNING"</formula>
    </cfRule>
    <cfRule type="cellIs" dxfId="136" priority="56" operator="equal">
      <formula>"NORMAL"</formula>
    </cfRule>
  </conditionalFormatting>
  <conditionalFormatting sqref="X80:X83">
    <cfRule type="cellIs" dxfId="135" priority="57" operator="equal">
      <formula>"ALARAM"</formula>
    </cfRule>
  </conditionalFormatting>
  <conditionalFormatting sqref="G84:P84">
    <cfRule type="expression" dxfId="134" priority="47">
      <formula>"0&gt;$E$141+$E$141&lt;2.4"</formula>
    </cfRule>
  </conditionalFormatting>
  <conditionalFormatting sqref="E85:P85">
    <cfRule type="expression" dxfId="133" priority="46">
      <formula>"0&gt;$E$141+$E$141&lt;2.4"</formula>
    </cfRule>
  </conditionalFormatting>
  <conditionalFormatting sqref="E86:H86">
    <cfRule type="expression" dxfId="132" priority="45">
      <formula>"0&gt;$E$141+$E$141&lt;2.4"</formula>
    </cfRule>
  </conditionalFormatting>
  <conditionalFormatting sqref="I86:P86">
    <cfRule type="expression" dxfId="131" priority="44">
      <formula>"0&gt;$E$141+$E$141&lt;2.4"</formula>
    </cfRule>
  </conditionalFormatting>
  <conditionalFormatting sqref="E87">
    <cfRule type="expression" dxfId="130" priority="43">
      <formula>"0&gt;$E$141+$E$141&lt;2.4"</formula>
    </cfRule>
  </conditionalFormatting>
  <conditionalFormatting sqref="F87:P87">
    <cfRule type="expression" dxfId="129" priority="42">
      <formula>"0&gt;$E$141+$E$141&lt;2.4"</formula>
    </cfRule>
  </conditionalFormatting>
  <conditionalFormatting sqref="X55">
    <cfRule type="cellIs" dxfId="128" priority="37" operator="equal">
      <formula>"ALARM"</formula>
    </cfRule>
    <cfRule type="cellIs" dxfId="127" priority="38" operator="equal">
      <formula>"WARNING"</formula>
    </cfRule>
    <cfRule type="cellIs" dxfId="126" priority="39" operator="equal">
      <formula>"PREWARNING"</formula>
    </cfRule>
    <cfRule type="cellIs" dxfId="125" priority="40" operator="equal">
      <formula>"NORMAL"</formula>
    </cfRule>
  </conditionalFormatting>
  <conditionalFormatting sqref="X55">
    <cfRule type="cellIs" dxfId="124" priority="41" operator="equal">
      <formula>"ALARAM"</formula>
    </cfRule>
  </conditionalFormatting>
  <conditionalFormatting sqref="X90:X103">
    <cfRule type="cellIs" dxfId="123" priority="33" operator="equal">
      <formula>"ALARM"</formula>
    </cfRule>
    <cfRule type="cellIs" dxfId="122" priority="34" operator="equal">
      <formula>"WARNING"</formula>
    </cfRule>
    <cfRule type="cellIs" dxfId="121" priority="35" operator="equal">
      <formula>"PREWARNING"</formula>
    </cfRule>
    <cfRule type="cellIs" dxfId="120" priority="36" operator="equal">
      <formula>"NORMAL"</formula>
    </cfRule>
  </conditionalFormatting>
  <conditionalFormatting sqref="X10:X31 X35">
    <cfRule type="cellIs" dxfId="119" priority="29" operator="equal">
      <formula>"ALARM"</formula>
    </cfRule>
    <cfRule type="cellIs" dxfId="118" priority="30" operator="equal">
      <formula>"WARNING"</formula>
    </cfRule>
    <cfRule type="cellIs" dxfId="117" priority="31" operator="equal">
      <formula>"PREWARNING"</formula>
    </cfRule>
    <cfRule type="cellIs" dxfId="116" priority="32" operator="equal">
      <formula>"NORMAL"</formula>
    </cfRule>
  </conditionalFormatting>
  <conditionalFormatting sqref="Q56:V56">
    <cfRule type="expression" dxfId="115" priority="28">
      <formula>"0&gt;$E$141+$E$141&lt;2.4"</formula>
    </cfRule>
  </conditionalFormatting>
  <conditionalFormatting sqref="F56:P56">
    <cfRule type="expression" dxfId="114" priority="27">
      <formula>"0&gt;$E$141+$E$141&lt;2.4"</formula>
    </cfRule>
  </conditionalFormatting>
  <conditionalFormatting sqref="E56:P56">
    <cfRule type="expression" dxfId="113" priority="26">
      <formula>"0&gt;$E$141+$E$141&lt;2.4"</formula>
    </cfRule>
  </conditionalFormatting>
  <conditionalFormatting sqref="X56">
    <cfRule type="cellIs" dxfId="112" priority="21" operator="equal">
      <formula>"ALARM"</formula>
    </cfRule>
    <cfRule type="cellIs" dxfId="111" priority="22" operator="equal">
      <formula>"WARNING"</formula>
    </cfRule>
    <cfRule type="cellIs" dxfId="110" priority="23" operator="equal">
      <formula>"PREWARNING"</formula>
    </cfRule>
    <cfRule type="cellIs" dxfId="109" priority="24" operator="equal">
      <formula>"NORMAL"</formula>
    </cfRule>
  </conditionalFormatting>
  <conditionalFormatting sqref="X56">
    <cfRule type="cellIs" dxfId="108" priority="25" operator="equal">
      <formula>"ALARAM"</formula>
    </cfRule>
  </conditionalFormatting>
  <conditionalFormatting sqref="Q32:V34">
    <cfRule type="expression" dxfId="107" priority="20">
      <formula>"0&gt;$E$141+$E$141&lt;2.4"</formula>
    </cfRule>
  </conditionalFormatting>
  <conditionalFormatting sqref="E32:P34">
    <cfRule type="expression" dxfId="106" priority="19">
      <formula>"0&gt;$E$141+$E$141&lt;2.4"</formula>
    </cfRule>
  </conditionalFormatting>
  <conditionalFormatting sqref="X32 X34">
    <cfRule type="cellIs" dxfId="105" priority="15" operator="equal">
      <formula>"ALARM"</formula>
    </cfRule>
    <cfRule type="cellIs" dxfId="104" priority="16" operator="equal">
      <formula>"WARNING"</formula>
    </cfRule>
    <cfRule type="cellIs" dxfId="103" priority="17" operator="equal">
      <formula>"PREWARNING"</formula>
    </cfRule>
    <cfRule type="cellIs" dxfId="102" priority="18" operator="equal">
      <formula>"NORMAL"</formula>
    </cfRule>
  </conditionalFormatting>
  <conditionalFormatting sqref="K35:P35">
    <cfRule type="expression" dxfId="101" priority="14">
      <formula>"0&gt;$E$141+$E$141&lt;2.4"</formula>
    </cfRule>
  </conditionalFormatting>
  <conditionalFormatting sqref="E52">
    <cfRule type="expression" dxfId="100" priority="8">
      <formula>"0&gt;$E$141+$E$141&lt;2.4"</formula>
    </cfRule>
  </conditionalFormatting>
  <conditionalFormatting sqref="G52">
    <cfRule type="expression" dxfId="99" priority="5">
      <formula>"0&gt;$E$141+$E$141&lt;2.4"</formula>
    </cfRule>
  </conditionalFormatting>
  <conditionalFormatting sqref="N52:P52">
    <cfRule type="expression" dxfId="98" priority="6">
      <formula>"0&gt;$E$141+$E$141&lt;2.4"</formula>
    </cfRule>
  </conditionalFormatting>
  <conditionalFormatting sqref="Q52:V52">
    <cfRule type="expression" dxfId="97" priority="7">
      <formula>"0&gt;$E$141+$E$141&lt;2.4"</formula>
    </cfRule>
  </conditionalFormatting>
  <conditionalFormatting sqref="X52">
    <cfRule type="cellIs" dxfId="96" priority="9" operator="equal">
      <formula>"ALARM"</formula>
    </cfRule>
    <cfRule type="cellIs" dxfId="95" priority="10" operator="equal">
      <formula>"WARNING"</formula>
    </cfRule>
    <cfRule type="cellIs" dxfId="94" priority="11" operator="equal">
      <formula>"PREWARNING"</formula>
    </cfRule>
    <cfRule type="cellIs" dxfId="93" priority="12" operator="equal">
      <formula>"NORMAL"</formula>
    </cfRule>
  </conditionalFormatting>
  <conditionalFormatting sqref="X52">
    <cfRule type="cellIs" dxfId="92" priority="13" operator="equal">
      <formula>"ALARAM"</formula>
    </cfRule>
  </conditionalFormatting>
  <conditionalFormatting sqref="X33">
    <cfRule type="cellIs" dxfId="91" priority="1" operator="equal">
      <formula>"ALARM"</formula>
    </cfRule>
    <cfRule type="cellIs" dxfId="90" priority="2" operator="equal">
      <formula>"WARNING"</formula>
    </cfRule>
    <cfRule type="cellIs" dxfId="89" priority="3" operator="equal">
      <formula>"PREWARNING"</formula>
    </cfRule>
    <cfRule type="cellIs" dxfId="88" priority="4" operator="equal">
      <formula>"NORMAL"</formula>
    </cfRule>
  </conditionalFormatting>
  <printOptions horizontalCentered="1"/>
  <pageMargins left="0.7" right="0.7" top="0.75" bottom="0.75" header="0.3" footer="0.3"/>
  <pageSetup paperSize="9" scale="56" orientation="landscape" r:id="rId1"/>
  <headerFooter>
    <oddFooter>&amp;L&amp;K00-047PT. PLN Indonesia Power UBP PLTU Jeranjang
Jl. Raya PLTU Jeranjang, Desa Taman Ayu – Kec. Gerung
Lombok Barat – Mataram - NTB</oddFooter>
  </headerFooter>
  <rowBreaks count="1" manualBreakCount="1">
    <brk id="56" max="24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21"/>
  <sheetViews>
    <sheetView tabSelected="1" view="pageBreakPreview" zoomScale="55" zoomScaleNormal="100" zoomScaleSheetLayoutView="55" zoomScalePageLayoutView="85" workbookViewId="0">
      <selection activeCell="K85" sqref="K85"/>
    </sheetView>
  </sheetViews>
  <sheetFormatPr defaultColWidth="9.1796875" defaultRowHeight="14.5" x14ac:dyDescent="0.35"/>
  <cols>
    <col min="2" max="2" width="2" customWidth="1"/>
    <col min="3" max="3" width="4.26953125" bestFit="1" customWidth="1"/>
    <col min="4" max="4" width="31.54296875" customWidth="1"/>
    <col min="5" max="8" width="8.7265625" customWidth="1"/>
    <col min="9" max="9" width="14.81640625" customWidth="1"/>
    <col min="10" max="10" width="34.7265625" customWidth="1"/>
    <col min="11" max="11" width="27.453125" customWidth="1"/>
    <col min="12" max="12" width="1.7265625" customWidth="1"/>
    <col min="13" max="14" width="6.54296875" customWidth="1"/>
    <col min="15" max="15" width="19" customWidth="1"/>
    <col min="16" max="16" width="32.453125" customWidth="1"/>
    <col min="17" max="17" width="30.08984375" customWidth="1"/>
    <col min="18" max="18" width="13.26953125" customWidth="1"/>
    <col min="19" max="19" width="15.26953125" bestFit="1" customWidth="1"/>
  </cols>
  <sheetData>
    <row r="1" spans="1:19" x14ac:dyDescent="0.35">
      <c r="A1" s="117"/>
      <c r="B1" s="1"/>
      <c r="C1" s="2"/>
      <c r="D1" s="3"/>
      <c r="E1" s="4" t="s">
        <v>0</v>
      </c>
      <c r="F1" s="5"/>
      <c r="G1" s="5"/>
      <c r="H1" s="5"/>
      <c r="I1" s="5"/>
      <c r="J1" s="6"/>
      <c r="K1" s="7" t="s">
        <v>96</v>
      </c>
      <c r="L1" s="9"/>
      <c r="M1" s="118"/>
      <c r="N1" s="118"/>
      <c r="O1" s="117"/>
      <c r="P1" s="117"/>
      <c r="Q1" s="117"/>
      <c r="R1" s="117"/>
      <c r="S1" s="117"/>
    </row>
    <row r="2" spans="1:19" x14ac:dyDescent="0.35">
      <c r="A2" s="117"/>
      <c r="B2" s="11"/>
      <c r="C2" s="12"/>
      <c r="D2" s="13"/>
      <c r="E2" s="4" t="s">
        <v>3</v>
      </c>
      <c r="F2" s="5"/>
      <c r="G2" s="5"/>
      <c r="H2" s="5"/>
      <c r="I2" s="5"/>
      <c r="J2" s="6"/>
      <c r="K2" s="7" t="s">
        <v>97</v>
      </c>
      <c r="L2" s="9"/>
      <c r="M2" s="118"/>
      <c r="N2" s="118"/>
      <c r="O2" s="117"/>
      <c r="P2" s="117"/>
      <c r="Q2" s="117"/>
      <c r="R2" s="117"/>
      <c r="S2" s="117"/>
    </row>
    <row r="3" spans="1:19" x14ac:dyDescent="0.35">
      <c r="A3" s="117"/>
      <c r="B3" s="11"/>
      <c r="C3" s="12"/>
      <c r="D3" s="13"/>
      <c r="E3" s="4" t="s">
        <v>6</v>
      </c>
      <c r="F3" s="5"/>
      <c r="G3" s="5"/>
      <c r="H3" s="5"/>
      <c r="I3" s="5"/>
      <c r="J3" s="6"/>
      <c r="K3" s="7" t="s">
        <v>98</v>
      </c>
      <c r="L3" s="9"/>
      <c r="M3" s="118"/>
      <c r="N3" s="118"/>
      <c r="O3" s="117"/>
      <c r="P3" s="117"/>
      <c r="Q3" s="117"/>
      <c r="R3" s="117"/>
      <c r="S3" s="117"/>
    </row>
    <row r="4" spans="1:19" x14ac:dyDescent="0.35">
      <c r="A4" s="117"/>
      <c r="B4" s="14"/>
      <c r="C4" s="15"/>
      <c r="D4" s="16"/>
      <c r="E4" s="4" t="s">
        <v>9</v>
      </c>
      <c r="F4" s="5"/>
      <c r="G4" s="5"/>
      <c r="H4" s="5"/>
      <c r="I4" s="5"/>
      <c r="J4" s="6"/>
      <c r="K4" s="7" t="s">
        <v>99</v>
      </c>
      <c r="L4" s="9"/>
      <c r="M4" s="118"/>
      <c r="N4" s="118"/>
      <c r="O4" s="117"/>
      <c r="P4" s="117"/>
      <c r="Q4" s="117"/>
      <c r="R4" s="117"/>
      <c r="S4" s="117"/>
    </row>
    <row r="5" spans="1:19" ht="35.15" customHeight="1" x14ac:dyDescent="0.35">
      <c r="A5" s="117" t="s">
        <v>100</v>
      </c>
      <c r="B5" s="69" t="s">
        <v>101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119"/>
      <c r="N5" s="119"/>
      <c r="O5" s="117"/>
      <c r="P5" s="117"/>
      <c r="Q5" s="117"/>
      <c r="R5" s="117"/>
      <c r="S5" s="117"/>
    </row>
    <row r="6" spans="1:19" ht="15.5" x14ac:dyDescent="0.35">
      <c r="A6" s="117"/>
      <c r="B6" s="120"/>
      <c r="C6" s="121"/>
      <c r="D6" s="121"/>
      <c r="E6" s="121"/>
      <c r="F6" s="122"/>
      <c r="G6" s="122"/>
      <c r="H6" s="118"/>
      <c r="I6" s="118"/>
      <c r="J6" s="118"/>
      <c r="K6" s="118"/>
      <c r="L6" s="123"/>
      <c r="M6" s="118"/>
      <c r="N6" s="118"/>
      <c r="O6" s="117"/>
      <c r="P6" s="117"/>
      <c r="Q6" s="117"/>
      <c r="R6" s="117"/>
      <c r="S6" s="117"/>
    </row>
    <row r="7" spans="1:19" ht="45" customHeight="1" x14ac:dyDescent="0.35">
      <c r="A7" s="117"/>
      <c r="B7" s="124"/>
      <c r="C7" s="76" t="s">
        <v>40</v>
      </c>
      <c r="D7" s="76" t="s">
        <v>41</v>
      </c>
      <c r="E7" s="76" t="s">
        <v>102</v>
      </c>
      <c r="F7" s="76"/>
      <c r="G7" s="76" t="s">
        <v>103</v>
      </c>
      <c r="H7" s="76"/>
      <c r="I7" s="77" t="s">
        <v>45</v>
      </c>
      <c r="J7" s="77" t="s">
        <v>104</v>
      </c>
      <c r="K7" s="77" t="s">
        <v>105</v>
      </c>
      <c r="L7" s="123"/>
      <c r="M7" s="125"/>
      <c r="N7" s="126" t="s">
        <v>106</v>
      </c>
      <c r="O7" s="127" t="s">
        <v>107</v>
      </c>
      <c r="P7" s="127" t="s">
        <v>108</v>
      </c>
      <c r="Q7" s="127" t="s">
        <v>109</v>
      </c>
      <c r="R7" s="127" t="s">
        <v>110</v>
      </c>
      <c r="S7" s="128" t="s">
        <v>111</v>
      </c>
    </row>
    <row r="8" spans="1:19" ht="20.25" customHeight="1" x14ac:dyDescent="0.35">
      <c r="A8" s="117"/>
      <c r="B8" s="124"/>
      <c r="C8" s="76"/>
      <c r="D8" s="76"/>
      <c r="E8" s="129" t="s">
        <v>43</v>
      </c>
      <c r="F8" s="129" t="s">
        <v>112</v>
      </c>
      <c r="G8" s="129" t="s">
        <v>43</v>
      </c>
      <c r="H8" s="129" t="s">
        <v>112</v>
      </c>
      <c r="I8" s="77"/>
      <c r="J8" s="77"/>
      <c r="K8" s="77"/>
      <c r="L8" s="123"/>
      <c r="M8" s="125"/>
      <c r="N8" s="126"/>
      <c r="O8" s="127"/>
      <c r="P8" s="127"/>
      <c r="Q8" s="127"/>
      <c r="R8" s="127"/>
      <c r="S8" s="128"/>
    </row>
    <row r="9" spans="1:19" ht="15" customHeight="1" x14ac:dyDescent="0.35">
      <c r="A9" s="130"/>
      <c r="B9" s="131"/>
      <c r="C9" s="96"/>
      <c r="D9" s="96" t="str">
        <f>'[1]INPUT EQUIPMENT'!A8</f>
        <v>UNIT 1</v>
      </c>
      <c r="E9" s="96"/>
      <c r="F9" s="96"/>
      <c r="G9" s="97"/>
      <c r="H9" s="97"/>
      <c r="I9" s="97"/>
      <c r="J9" s="97"/>
      <c r="K9" s="97"/>
      <c r="L9" s="123"/>
      <c r="M9" s="125"/>
      <c r="N9" s="125"/>
      <c r="O9" s="132"/>
      <c r="P9" s="132"/>
      <c r="Q9" s="132"/>
      <c r="R9" s="132"/>
      <c r="S9" s="132"/>
    </row>
    <row r="10" spans="1:19" ht="98.5" customHeight="1" x14ac:dyDescent="0.35">
      <c r="A10" s="133">
        <v>43</v>
      </c>
      <c r="B10" s="131"/>
      <c r="C10" s="88">
        <v>1</v>
      </c>
      <c r="D10" s="134" t="str">
        <f>'[1]INPUT EQUIPMENT'!B9</f>
        <v>Motor ID Fan 1#1</v>
      </c>
      <c r="E10" s="88" t="s">
        <v>50</v>
      </c>
      <c r="F10" s="88">
        <v>2.23</v>
      </c>
      <c r="G10" s="88" t="s">
        <v>50</v>
      </c>
      <c r="H10" s="88">
        <v>2.21</v>
      </c>
      <c r="I10" s="88" t="s">
        <v>122</v>
      </c>
      <c r="J10" s="135" t="s">
        <v>123</v>
      </c>
      <c r="K10" s="135" t="s">
        <v>124</v>
      </c>
      <c r="L10" s="123"/>
      <c r="M10" s="125"/>
      <c r="N10" s="125" t="s">
        <v>113</v>
      </c>
      <c r="O10" s="132"/>
      <c r="P10" s="132"/>
      <c r="Q10" s="132"/>
      <c r="R10" s="132"/>
      <c r="S10" s="132"/>
    </row>
    <row r="11" spans="1:19" ht="105" customHeight="1" x14ac:dyDescent="0.35">
      <c r="A11" s="133">
        <v>44</v>
      </c>
      <c r="B11" s="131"/>
      <c r="C11" s="88">
        <v>2</v>
      </c>
      <c r="D11" s="134" t="str">
        <f>'[1]INPUT EQUIPMENT'!B10</f>
        <v>Motor ID Fan 2#1</v>
      </c>
      <c r="E11" s="88" t="s">
        <v>62</v>
      </c>
      <c r="F11" s="88">
        <v>2.09</v>
      </c>
      <c r="G11" s="88" t="s">
        <v>62</v>
      </c>
      <c r="H11" s="88">
        <v>2.25</v>
      </c>
      <c r="I11" s="88" t="s">
        <v>122</v>
      </c>
      <c r="J11" s="135" t="s">
        <v>125</v>
      </c>
      <c r="K11" s="135" t="s">
        <v>124</v>
      </c>
      <c r="L11" s="123"/>
      <c r="M11" s="125"/>
      <c r="N11" s="125" t="s">
        <v>114</v>
      </c>
      <c r="O11" s="132"/>
      <c r="P11" s="132"/>
      <c r="Q11" s="132"/>
      <c r="R11" s="132"/>
      <c r="S11" s="132"/>
    </row>
    <row r="12" spans="1:19" ht="103.5" customHeight="1" x14ac:dyDescent="0.35">
      <c r="A12" s="133">
        <v>45</v>
      </c>
      <c r="B12" s="131"/>
      <c r="C12" s="88">
        <v>3</v>
      </c>
      <c r="D12" s="134" t="str">
        <f>'[1]INPUT EQUIPMENT'!B11</f>
        <v>Motor Primary Air Fan 1#1</v>
      </c>
      <c r="E12" s="88" t="s">
        <v>55</v>
      </c>
      <c r="F12" s="88">
        <v>3.43</v>
      </c>
      <c r="G12" s="88" t="s">
        <v>55</v>
      </c>
      <c r="H12" s="88">
        <v>3.13</v>
      </c>
      <c r="I12" s="88" t="s">
        <v>126</v>
      </c>
      <c r="J12" s="135" t="s">
        <v>127</v>
      </c>
      <c r="K12" s="135" t="s">
        <v>124</v>
      </c>
      <c r="L12" s="123"/>
      <c r="M12" s="125"/>
      <c r="N12" s="125" t="s">
        <v>113</v>
      </c>
      <c r="O12" s="132"/>
      <c r="P12" s="136"/>
      <c r="Q12" s="132"/>
      <c r="R12" s="132"/>
      <c r="S12" s="132"/>
    </row>
    <row r="13" spans="1:19" ht="111" customHeight="1" x14ac:dyDescent="0.35">
      <c r="A13" s="133">
        <v>46</v>
      </c>
      <c r="B13" s="131"/>
      <c r="C13" s="88">
        <v>4</v>
      </c>
      <c r="D13" s="134" t="str">
        <f>'[1]INPUT EQUIPMENT'!B12</f>
        <v>Motor Primary Air Fan 2#1</v>
      </c>
      <c r="E13" s="88" t="s">
        <v>50</v>
      </c>
      <c r="F13" s="88">
        <v>1.65</v>
      </c>
      <c r="G13" s="88" t="s">
        <v>50</v>
      </c>
      <c r="H13" s="137">
        <v>3.39</v>
      </c>
      <c r="I13" s="88" t="s">
        <v>126</v>
      </c>
      <c r="J13" s="135" t="s">
        <v>128</v>
      </c>
      <c r="K13" s="135" t="s">
        <v>129</v>
      </c>
      <c r="L13" s="123"/>
      <c r="M13" s="125"/>
      <c r="N13" s="125" t="s">
        <v>114</v>
      </c>
      <c r="O13" s="132"/>
      <c r="P13" s="132"/>
      <c r="Q13" s="132"/>
      <c r="R13" s="132"/>
      <c r="S13" s="132"/>
    </row>
    <row r="14" spans="1:19" ht="117" customHeight="1" x14ac:dyDescent="0.35">
      <c r="A14" s="133">
        <v>47</v>
      </c>
      <c r="B14" s="131"/>
      <c r="C14" s="88">
        <v>5</v>
      </c>
      <c r="D14" s="134" t="str">
        <f>'[1]INPUT EQUIPMENT'!B13</f>
        <v>Motor Secondary Air Fan 1#1</v>
      </c>
      <c r="E14" s="88" t="s">
        <v>47</v>
      </c>
      <c r="F14" s="88">
        <v>2.0499999999999998</v>
      </c>
      <c r="G14" s="88" t="s">
        <v>47</v>
      </c>
      <c r="H14" s="88">
        <v>2.2799999999999998</v>
      </c>
      <c r="I14" s="88" t="s">
        <v>122</v>
      </c>
      <c r="J14" s="135" t="s">
        <v>130</v>
      </c>
      <c r="K14" s="135" t="s">
        <v>124</v>
      </c>
      <c r="L14" s="123"/>
      <c r="M14" s="125"/>
      <c r="N14" s="125" t="s">
        <v>113</v>
      </c>
      <c r="O14" s="132"/>
      <c r="P14" s="132"/>
      <c r="Q14" s="132"/>
      <c r="R14" s="132"/>
      <c r="S14" s="132"/>
    </row>
    <row r="15" spans="1:19" ht="122.5" customHeight="1" x14ac:dyDescent="0.35">
      <c r="A15" s="133">
        <v>48</v>
      </c>
      <c r="B15" s="131"/>
      <c r="C15" s="88">
        <v>6</v>
      </c>
      <c r="D15" s="134" t="str">
        <f>'[1]INPUT EQUIPMENT'!B14</f>
        <v>Motor Secondary Air Fan 2#1</v>
      </c>
      <c r="E15" s="88" t="s">
        <v>47</v>
      </c>
      <c r="F15" s="88">
        <v>3.7</v>
      </c>
      <c r="G15" s="88" t="s">
        <v>47</v>
      </c>
      <c r="H15" s="88">
        <v>2.33</v>
      </c>
      <c r="I15" s="88" t="s">
        <v>126</v>
      </c>
      <c r="J15" s="135" t="s">
        <v>131</v>
      </c>
      <c r="K15" s="135" t="s">
        <v>132</v>
      </c>
      <c r="L15" s="123"/>
      <c r="M15" s="125"/>
      <c r="N15" s="125" t="s">
        <v>114</v>
      </c>
      <c r="O15" s="132"/>
      <c r="P15" s="132"/>
      <c r="Q15" s="132"/>
      <c r="R15" s="132"/>
      <c r="S15" s="132"/>
    </row>
    <row r="16" spans="1:19" ht="112.5" x14ac:dyDescent="0.35">
      <c r="A16" s="133">
        <v>49</v>
      </c>
      <c r="B16" s="131"/>
      <c r="C16" s="88">
        <v>7</v>
      </c>
      <c r="D16" s="134" t="str">
        <f>'[1]INPUT EQUIPMENT'!B15</f>
        <v>Turbin-Generator#1</v>
      </c>
      <c r="E16" s="88" t="s">
        <v>49</v>
      </c>
      <c r="F16" s="88">
        <v>3.28</v>
      </c>
      <c r="G16" s="88" t="s">
        <v>49</v>
      </c>
      <c r="H16" s="88">
        <v>3.63</v>
      </c>
      <c r="I16" s="88" t="s">
        <v>122</v>
      </c>
      <c r="J16" s="135" t="s">
        <v>133</v>
      </c>
      <c r="K16" s="135" t="s">
        <v>134</v>
      </c>
      <c r="L16" s="123"/>
      <c r="M16" s="125"/>
      <c r="N16" s="125" t="s">
        <v>113</v>
      </c>
      <c r="O16" s="132"/>
      <c r="P16" s="132"/>
      <c r="Q16" s="132"/>
      <c r="R16" s="132"/>
      <c r="S16" s="132"/>
    </row>
    <row r="17" spans="1:19" x14ac:dyDescent="0.35">
      <c r="A17" s="133">
        <v>50</v>
      </c>
      <c r="B17" s="131"/>
      <c r="C17" s="88">
        <v>8</v>
      </c>
      <c r="D17" s="134" t="str">
        <f>'[1]INPUT EQUIPMENT'!B16</f>
        <v>Motor Condensat Pump 1#1</v>
      </c>
      <c r="E17" s="88" t="s">
        <v>47</v>
      </c>
      <c r="F17" s="88">
        <v>1.08</v>
      </c>
      <c r="G17" s="88" t="s">
        <v>47</v>
      </c>
      <c r="H17" s="88">
        <v>0</v>
      </c>
      <c r="I17" s="88" t="s">
        <v>135</v>
      </c>
      <c r="J17" s="135" t="s">
        <v>179</v>
      </c>
      <c r="K17" s="135" t="s">
        <v>179</v>
      </c>
      <c r="L17" s="123"/>
      <c r="M17" s="125"/>
      <c r="N17" s="125" t="s">
        <v>115</v>
      </c>
      <c r="O17" s="132"/>
      <c r="P17" s="132"/>
      <c r="Q17" s="132"/>
      <c r="R17" s="132"/>
      <c r="S17" s="132"/>
    </row>
    <row r="18" spans="1:19" ht="283.5" customHeight="1" x14ac:dyDescent="0.35">
      <c r="A18" s="133">
        <v>51</v>
      </c>
      <c r="B18" s="131"/>
      <c r="C18" s="88">
        <v>9</v>
      </c>
      <c r="D18" s="134" t="str">
        <f>'[1]INPUT EQUIPMENT'!B17</f>
        <v>Motor Condensat Pump 2#1</v>
      </c>
      <c r="E18" s="88" t="s">
        <v>46</v>
      </c>
      <c r="F18" s="88">
        <v>4.41</v>
      </c>
      <c r="G18" s="88" t="s">
        <v>46</v>
      </c>
      <c r="H18" s="88">
        <v>8.07</v>
      </c>
      <c r="I18" s="88" t="s">
        <v>136</v>
      </c>
      <c r="J18" s="135" t="s">
        <v>137</v>
      </c>
      <c r="K18" s="135" t="s">
        <v>138</v>
      </c>
      <c r="L18" s="123"/>
      <c r="M18" s="125"/>
      <c r="N18" s="125" t="s">
        <v>116</v>
      </c>
      <c r="O18" s="132"/>
      <c r="P18" s="132"/>
      <c r="Q18" s="132"/>
      <c r="R18" s="132"/>
      <c r="S18" s="132"/>
    </row>
    <row r="19" spans="1:19" ht="125" x14ac:dyDescent="0.35">
      <c r="A19" s="133">
        <v>52</v>
      </c>
      <c r="B19" s="131"/>
      <c r="C19" s="88">
        <v>10</v>
      </c>
      <c r="D19" s="134" t="str">
        <f>'[1]INPUT EQUIPMENT'!B18</f>
        <v>Motor Vacuum Pump 1#1</v>
      </c>
      <c r="E19" s="88" t="s">
        <v>55</v>
      </c>
      <c r="F19" s="88">
        <v>1.46</v>
      </c>
      <c r="G19" s="88" t="s">
        <v>55</v>
      </c>
      <c r="H19" s="88">
        <v>1.54</v>
      </c>
      <c r="I19" s="88" t="s">
        <v>126</v>
      </c>
      <c r="J19" s="135" t="s">
        <v>139</v>
      </c>
      <c r="K19" s="135" t="s">
        <v>140</v>
      </c>
      <c r="L19" s="123"/>
      <c r="M19" s="125"/>
      <c r="N19" s="125" t="s">
        <v>114</v>
      </c>
      <c r="O19" s="132"/>
      <c r="P19" s="132"/>
      <c r="Q19" s="132"/>
      <c r="R19" s="132"/>
      <c r="S19" s="132"/>
    </row>
    <row r="20" spans="1:19" ht="114.5" customHeight="1" x14ac:dyDescent="0.35">
      <c r="A20" s="133">
        <v>53</v>
      </c>
      <c r="B20" s="131"/>
      <c r="C20" s="88">
        <v>11</v>
      </c>
      <c r="D20" s="134" t="str">
        <f>'[1]INPUT EQUIPMENT'!B19</f>
        <v>Motor Vacuum Pump 2#1</v>
      </c>
      <c r="E20" s="88" t="s">
        <v>56</v>
      </c>
      <c r="F20" s="88">
        <v>1.91</v>
      </c>
      <c r="G20" s="88" t="s">
        <v>56</v>
      </c>
      <c r="H20" s="88">
        <v>2.4500000000000002</v>
      </c>
      <c r="I20" s="88" t="s">
        <v>126</v>
      </c>
      <c r="J20" s="135" t="s">
        <v>141</v>
      </c>
      <c r="K20" s="135" t="s">
        <v>142</v>
      </c>
      <c r="L20" s="123"/>
      <c r="M20" s="125"/>
      <c r="N20" s="125" t="s">
        <v>114</v>
      </c>
      <c r="O20" s="132"/>
      <c r="P20" s="132"/>
      <c r="Q20" s="132"/>
      <c r="R20" s="132"/>
      <c r="S20" s="132"/>
    </row>
    <row r="21" spans="1:19" ht="112.5" x14ac:dyDescent="0.35">
      <c r="A21" s="133">
        <v>54</v>
      </c>
      <c r="B21" s="131"/>
      <c r="C21" s="88">
        <v>12</v>
      </c>
      <c r="D21" s="134" t="str">
        <f>'[1]INPUT EQUIPMENT'!B20</f>
        <v>Motor Boiler Feed Pump 1#1</v>
      </c>
      <c r="E21" s="88" t="s">
        <v>51</v>
      </c>
      <c r="F21" s="88">
        <v>3.05</v>
      </c>
      <c r="G21" s="88" t="s">
        <v>51</v>
      </c>
      <c r="H21" s="88">
        <v>4.21</v>
      </c>
      <c r="I21" s="88" t="s">
        <v>126</v>
      </c>
      <c r="J21" s="135" t="s">
        <v>143</v>
      </c>
      <c r="K21" s="135" t="s">
        <v>144</v>
      </c>
      <c r="L21" s="138"/>
      <c r="M21" s="125"/>
      <c r="N21" s="125" t="s">
        <v>116</v>
      </c>
      <c r="O21" s="132"/>
      <c r="P21" s="132"/>
      <c r="Q21" s="132"/>
      <c r="R21" s="132"/>
      <c r="S21" s="132"/>
    </row>
    <row r="22" spans="1:19" ht="106.5" customHeight="1" x14ac:dyDescent="0.35">
      <c r="A22" s="133">
        <v>55</v>
      </c>
      <c r="B22" s="131"/>
      <c r="C22" s="88">
        <v>13</v>
      </c>
      <c r="D22" s="134" t="str">
        <f>'[1]INPUT EQUIPMENT'!B21</f>
        <v>Motor Boiler Feed Pump 2#1</v>
      </c>
      <c r="E22" s="88" t="s">
        <v>59</v>
      </c>
      <c r="F22" s="88">
        <v>3.23</v>
      </c>
      <c r="G22" s="88" t="s">
        <v>59</v>
      </c>
      <c r="H22" s="88">
        <v>4.16</v>
      </c>
      <c r="I22" s="88" t="s">
        <v>126</v>
      </c>
      <c r="J22" s="135" t="s">
        <v>145</v>
      </c>
      <c r="K22" s="135" t="s">
        <v>140</v>
      </c>
      <c r="L22" s="123"/>
      <c r="M22" s="125"/>
      <c r="N22" s="125" t="s">
        <v>115</v>
      </c>
      <c r="O22" s="132"/>
      <c r="P22" s="132"/>
      <c r="Q22" s="132"/>
      <c r="R22" s="132"/>
      <c r="S22" s="132"/>
    </row>
    <row r="23" spans="1:19" ht="113" customHeight="1" x14ac:dyDescent="0.35">
      <c r="A23" s="133">
        <v>56</v>
      </c>
      <c r="B23" s="131"/>
      <c r="C23" s="88">
        <v>14</v>
      </c>
      <c r="D23" s="134" t="str">
        <f>'[1]INPUT EQUIPMENT'!B22</f>
        <v>Motor CCCWP 1#1</v>
      </c>
      <c r="E23" s="88" t="s">
        <v>46</v>
      </c>
      <c r="F23" s="88">
        <v>2.5499999999999998</v>
      </c>
      <c r="G23" s="88" t="s">
        <v>46</v>
      </c>
      <c r="H23" s="88">
        <v>1.88</v>
      </c>
      <c r="I23" s="88" t="s">
        <v>126</v>
      </c>
      <c r="J23" s="135" t="s">
        <v>146</v>
      </c>
      <c r="K23" s="135" t="s">
        <v>147</v>
      </c>
      <c r="L23" s="123"/>
      <c r="M23" s="125"/>
      <c r="N23" s="125" t="s">
        <v>113</v>
      </c>
      <c r="O23" s="132"/>
      <c r="P23" s="132"/>
      <c r="Q23" s="132"/>
      <c r="R23" s="132"/>
      <c r="S23" s="132"/>
    </row>
    <row r="24" spans="1:19" ht="100" x14ac:dyDescent="0.35">
      <c r="A24" s="133">
        <v>57</v>
      </c>
      <c r="B24" s="131"/>
      <c r="C24" s="88">
        <v>15</v>
      </c>
      <c r="D24" s="134" t="str">
        <f>'[1]INPUT EQUIPMENT'!B23</f>
        <v>Motor CCCWP 2#1</v>
      </c>
      <c r="E24" s="88" t="s">
        <v>46</v>
      </c>
      <c r="F24" s="88">
        <v>1.69</v>
      </c>
      <c r="G24" s="88" t="s">
        <v>46</v>
      </c>
      <c r="H24" s="88">
        <v>2.13</v>
      </c>
      <c r="I24" s="88" t="s">
        <v>126</v>
      </c>
      <c r="J24" s="135" t="s">
        <v>148</v>
      </c>
      <c r="K24" s="135" t="s">
        <v>144</v>
      </c>
      <c r="L24" s="123"/>
      <c r="M24" s="125"/>
      <c r="N24" s="125" t="s">
        <v>114</v>
      </c>
      <c r="O24" s="132"/>
      <c r="P24" s="132"/>
      <c r="Q24" s="132"/>
      <c r="R24" s="132"/>
      <c r="S24" s="132"/>
    </row>
    <row r="25" spans="1:19" ht="112.5" x14ac:dyDescent="0.35">
      <c r="A25" s="133">
        <v>58</v>
      </c>
      <c r="B25" s="131"/>
      <c r="C25" s="88">
        <v>16</v>
      </c>
      <c r="D25" s="134" t="str">
        <f>'[1]INPUT EQUIPMENT'!B24</f>
        <v>Motor CWP 355 Kw 1#1</v>
      </c>
      <c r="E25" s="88" t="s">
        <v>47</v>
      </c>
      <c r="F25" s="88">
        <v>2.0699999999999998</v>
      </c>
      <c r="G25" s="88" t="s">
        <v>47</v>
      </c>
      <c r="H25" s="88">
        <v>2.34</v>
      </c>
      <c r="I25" s="88" t="s">
        <v>126</v>
      </c>
      <c r="J25" s="135" t="s">
        <v>149</v>
      </c>
      <c r="K25" s="135" t="s">
        <v>124</v>
      </c>
      <c r="L25" s="123"/>
      <c r="M25" s="125"/>
      <c r="N25" s="125" t="s">
        <v>114</v>
      </c>
      <c r="O25" s="132"/>
      <c r="P25" s="132"/>
      <c r="Q25" s="132"/>
      <c r="R25" s="132"/>
      <c r="S25" s="132"/>
    </row>
    <row r="26" spans="1:19" ht="106.5" customHeight="1" x14ac:dyDescent="0.35">
      <c r="A26" s="133">
        <v>59</v>
      </c>
      <c r="B26" s="131"/>
      <c r="C26" s="88">
        <v>17</v>
      </c>
      <c r="D26" s="134" t="str">
        <f>'[1]INPUT EQUIPMENT'!B25</f>
        <v>Motor CWP 355 Kw 2#1</v>
      </c>
      <c r="E26" s="88" t="s">
        <v>48</v>
      </c>
      <c r="F26" s="88">
        <v>0.94</v>
      </c>
      <c r="G26" s="88" t="s">
        <v>48</v>
      </c>
      <c r="H26" s="88">
        <v>1.1100000000000001</v>
      </c>
      <c r="I26" s="88" t="s">
        <v>122</v>
      </c>
      <c r="J26" s="135" t="s">
        <v>150</v>
      </c>
      <c r="K26" s="135" t="s">
        <v>124</v>
      </c>
      <c r="L26" s="123"/>
      <c r="M26" s="125"/>
      <c r="N26" s="125" t="s">
        <v>113</v>
      </c>
      <c r="O26" s="132"/>
      <c r="P26" s="132"/>
      <c r="Q26" s="132"/>
      <c r="R26" s="132"/>
      <c r="S26" s="132"/>
    </row>
    <row r="27" spans="1:19" ht="112.5" customHeight="1" x14ac:dyDescent="0.35">
      <c r="A27" s="133">
        <v>60</v>
      </c>
      <c r="B27" s="131"/>
      <c r="C27" s="88">
        <v>18</v>
      </c>
      <c r="D27" s="134" t="str">
        <f>'[1]INPUT EQUIPMENT'!B26</f>
        <v>Motor BWRO 1#1</v>
      </c>
      <c r="E27" s="88" t="s">
        <v>46</v>
      </c>
      <c r="F27" s="88">
        <v>1.1200000000000001</v>
      </c>
      <c r="G27" s="88" t="s">
        <v>46</v>
      </c>
      <c r="H27" s="88">
        <v>1.06</v>
      </c>
      <c r="I27" s="88" t="s">
        <v>122</v>
      </c>
      <c r="J27" s="135" t="s">
        <v>151</v>
      </c>
      <c r="K27" s="135" t="s">
        <v>129</v>
      </c>
      <c r="L27" s="123"/>
      <c r="M27" s="125"/>
      <c r="N27" s="125" t="s">
        <v>113</v>
      </c>
      <c r="O27" s="132"/>
      <c r="P27" s="132"/>
      <c r="Q27" s="132"/>
      <c r="R27" s="132"/>
      <c r="S27" s="132"/>
    </row>
    <row r="28" spans="1:19" ht="100.5" thickBot="1" x14ac:dyDescent="0.4">
      <c r="A28" s="133">
        <v>61</v>
      </c>
      <c r="B28" s="131"/>
      <c r="C28" s="88">
        <v>19</v>
      </c>
      <c r="D28" s="134" t="str">
        <f>'[1]INPUT EQUIPMENT'!B27</f>
        <v>Motor BWRO 2#1</v>
      </c>
      <c r="E28" s="88" t="s">
        <v>47</v>
      </c>
      <c r="F28" s="88">
        <v>2.0499999999999998</v>
      </c>
      <c r="G28" s="88" t="s">
        <v>47</v>
      </c>
      <c r="H28" s="88">
        <v>1.64</v>
      </c>
      <c r="I28" s="88" t="s">
        <v>126</v>
      </c>
      <c r="J28" s="135" t="s">
        <v>152</v>
      </c>
      <c r="K28" s="135" t="s">
        <v>144</v>
      </c>
      <c r="L28" s="123"/>
      <c r="M28" s="125"/>
      <c r="N28" s="125" t="s">
        <v>114</v>
      </c>
      <c r="O28" s="132"/>
      <c r="P28" s="132"/>
      <c r="Q28" s="132"/>
      <c r="R28" s="132"/>
      <c r="S28" s="132"/>
    </row>
    <row r="29" spans="1:19" x14ac:dyDescent="0.35">
      <c r="A29" s="133">
        <v>62</v>
      </c>
      <c r="B29" s="131"/>
      <c r="C29" s="88">
        <v>20</v>
      </c>
      <c r="D29" s="134" t="str">
        <f>'[1]INPUT EQUIPMENT'!B28</f>
        <v>Motor SWRO 1 #1</v>
      </c>
      <c r="E29" s="88" t="s">
        <v>50</v>
      </c>
      <c r="F29" s="88">
        <v>1.19</v>
      </c>
      <c r="G29" s="88" t="s">
        <v>50</v>
      </c>
      <c r="H29" s="88">
        <v>0</v>
      </c>
      <c r="I29" s="88" t="s">
        <v>135</v>
      </c>
      <c r="J29" s="135" t="s">
        <v>179</v>
      </c>
      <c r="K29" s="135" t="s">
        <v>179</v>
      </c>
      <c r="L29" s="123"/>
      <c r="M29" s="125"/>
      <c r="N29" s="125" t="s">
        <v>113</v>
      </c>
      <c r="O29" s="132"/>
      <c r="P29" s="132"/>
      <c r="Q29" s="139" t="s">
        <v>117</v>
      </c>
      <c r="R29" s="132"/>
      <c r="S29" s="132"/>
    </row>
    <row r="30" spans="1:19" ht="112.5" x14ac:dyDescent="0.35">
      <c r="A30" s="133">
        <v>63</v>
      </c>
      <c r="B30" s="131"/>
      <c r="C30" s="88">
        <v>21</v>
      </c>
      <c r="D30" s="134" t="str">
        <f>'[1]INPUT EQUIPMENT'!B29</f>
        <v>Motor SWRO 2#1</v>
      </c>
      <c r="E30" s="88" t="s">
        <v>47</v>
      </c>
      <c r="F30" s="88">
        <v>1.21</v>
      </c>
      <c r="G30" s="88" t="s">
        <v>47</v>
      </c>
      <c r="H30" s="88">
        <v>1.24</v>
      </c>
      <c r="I30" s="88" t="s">
        <v>122</v>
      </c>
      <c r="J30" s="135" t="s">
        <v>153</v>
      </c>
      <c r="K30" s="135" t="s">
        <v>140</v>
      </c>
      <c r="L30" s="123"/>
      <c r="M30" s="125"/>
      <c r="N30" s="125" t="s">
        <v>114</v>
      </c>
      <c r="O30" s="132"/>
      <c r="P30" s="132"/>
      <c r="Q30" s="132"/>
      <c r="R30" s="132"/>
      <c r="S30" s="132"/>
    </row>
    <row r="31" spans="1:19" ht="111" customHeight="1" x14ac:dyDescent="0.35">
      <c r="A31" s="133">
        <v>63</v>
      </c>
      <c r="B31" s="131"/>
      <c r="C31" s="88">
        <v>23</v>
      </c>
      <c r="D31" s="134" t="s">
        <v>68</v>
      </c>
      <c r="E31" s="88" t="s">
        <v>47</v>
      </c>
      <c r="F31" s="88">
        <v>1.26</v>
      </c>
      <c r="G31" s="88" t="s">
        <v>47</v>
      </c>
      <c r="H31" s="88">
        <v>1.06</v>
      </c>
      <c r="I31" s="88" t="s">
        <v>122</v>
      </c>
      <c r="J31" s="135" t="s">
        <v>154</v>
      </c>
      <c r="K31" s="135" t="s">
        <v>140</v>
      </c>
      <c r="L31" s="123"/>
      <c r="M31" s="125"/>
      <c r="N31" s="125" t="s">
        <v>115</v>
      </c>
      <c r="O31" s="132"/>
      <c r="P31" s="132"/>
      <c r="Q31" s="132"/>
      <c r="R31" s="132"/>
      <c r="S31" s="132"/>
    </row>
    <row r="32" spans="1:19" ht="100" x14ac:dyDescent="0.35">
      <c r="A32" s="133">
        <v>63</v>
      </c>
      <c r="B32" s="131"/>
      <c r="C32" s="88">
        <v>24</v>
      </c>
      <c r="D32" s="134" t="s">
        <v>118</v>
      </c>
      <c r="E32" s="88" t="s">
        <v>53</v>
      </c>
      <c r="F32" s="88">
        <v>1.58</v>
      </c>
      <c r="G32" s="88" t="s">
        <v>53</v>
      </c>
      <c r="H32" s="88">
        <v>1.95</v>
      </c>
      <c r="I32" s="88" t="s">
        <v>126</v>
      </c>
      <c r="J32" s="135" t="s">
        <v>155</v>
      </c>
      <c r="K32" s="135" t="s">
        <v>140</v>
      </c>
      <c r="L32" s="123"/>
      <c r="M32" s="125"/>
      <c r="N32" s="125" t="s">
        <v>115</v>
      </c>
      <c r="O32" s="132"/>
      <c r="P32" s="132"/>
      <c r="Q32" s="132"/>
      <c r="R32" s="132"/>
      <c r="S32" s="132"/>
    </row>
    <row r="33" spans="1:19" ht="121" customHeight="1" x14ac:dyDescent="0.35">
      <c r="A33" s="133">
        <v>63</v>
      </c>
      <c r="B33" s="131"/>
      <c r="C33" s="88">
        <v>25</v>
      </c>
      <c r="D33" s="134" t="s">
        <v>70</v>
      </c>
      <c r="E33" s="88" t="s">
        <v>49</v>
      </c>
      <c r="F33" s="88">
        <v>13.55</v>
      </c>
      <c r="G33" s="88" t="s">
        <v>49</v>
      </c>
      <c r="H33" s="88">
        <v>12.07</v>
      </c>
      <c r="I33" s="88" t="s">
        <v>126</v>
      </c>
      <c r="J33" s="135" t="s">
        <v>156</v>
      </c>
      <c r="K33" s="135" t="s">
        <v>157</v>
      </c>
      <c r="L33" s="123"/>
      <c r="M33" s="125"/>
      <c r="N33" s="125" t="s">
        <v>115</v>
      </c>
      <c r="O33" s="132"/>
      <c r="P33" s="132"/>
      <c r="Q33" s="132"/>
      <c r="R33" s="132"/>
      <c r="S33" s="132"/>
    </row>
    <row r="34" spans="1:19" ht="125" x14ac:dyDescent="0.35">
      <c r="A34" s="133">
        <v>63</v>
      </c>
      <c r="B34" s="131"/>
      <c r="C34" s="88">
        <v>26</v>
      </c>
      <c r="D34" s="134" t="s">
        <v>71</v>
      </c>
      <c r="E34" s="88" t="s">
        <v>49</v>
      </c>
      <c r="F34" s="88">
        <v>2.62</v>
      </c>
      <c r="G34" s="88" t="s">
        <v>49</v>
      </c>
      <c r="H34" s="88">
        <v>2.63</v>
      </c>
      <c r="I34" s="88" t="s">
        <v>126</v>
      </c>
      <c r="J34" s="135" t="s">
        <v>158</v>
      </c>
      <c r="K34" s="135" t="s">
        <v>159</v>
      </c>
      <c r="L34" s="123"/>
      <c r="M34" s="125"/>
      <c r="N34" s="125" t="s">
        <v>115</v>
      </c>
      <c r="O34" s="132"/>
      <c r="P34" s="132"/>
      <c r="Q34" s="132"/>
      <c r="R34" s="132"/>
      <c r="S34" s="132"/>
    </row>
    <row r="35" spans="1:19" ht="112.5" customHeight="1" x14ac:dyDescent="0.35">
      <c r="A35" s="133">
        <v>63</v>
      </c>
      <c r="B35" s="131"/>
      <c r="C35" s="88">
        <v>27</v>
      </c>
      <c r="D35" s="134" t="s">
        <v>72</v>
      </c>
      <c r="E35" s="88" t="s">
        <v>46</v>
      </c>
      <c r="F35" s="88">
        <v>1.07</v>
      </c>
      <c r="G35" s="88" t="s">
        <v>46</v>
      </c>
      <c r="H35" s="88">
        <v>0.87</v>
      </c>
      <c r="I35" s="88" t="s">
        <v>122</v>
      </c>
      <c r="J35" s="135" t="s">
        <v>160</v>
      </c>
      <c r="K35" s="135" t="s">
        <v>157</v>
      </c>
      <c r="L35" s="123"/>
      <c r="M35" s="125"/>
      <c r="N35" s="125" t="s">
        <v>115</v>
      </c>
      <c r="O35" s="132"/>
      <c r="P35" s="132"/>
      <c r="Q35" s="132"/>
      <c r="R35" s="132"/>
      <c r="S35" s="132"/>
    </row>
    <row r="36" spans="1:19" ht="15" customHeight="1" x14ac:dyDescent="0.35">
      <c r="A36" s="130"/>
      <c r="B36" s="131"/>
      <c r="C36" s="96"/>
      <c r="D36" s="96" t="str">
        <f>'[1]INPUT EQUIPMENT'!A30</f>
        <v>UNIT 2</v>
      </c>
      <c r="E36" s="96"/>
      <c r="F36" s="96"/>
      <c r="G36" s="97"/>
      <c r="H36" s="97"/>
      <c r="I36" s="97"/>
      <c r="J36" s="97"/>
      <c r="K36" s="97"/>
      <c r="L36" s="123"/>
      <c r="M36" s="125"/>
      <c r="N36" s="125"/>
      <c r="O36" s="132"/>
      <c r="P36" s="132"/>
      <c r="Q36" s="132"/>
      <c r="R36" s="132"/>
      <c r="S36" s="132"/>
    </row>
    <row r="37" spans="1:19" ht="100" x14ac:dyDescent="0.35">
      <c r="A37" s="133">
        <v>43</v>
      </c>
      <c r="B37" s="131"/>
      <c r="C37" s="88">
        <v>25</v>
      </c>
      <c r="D37" s="134" t="str">
        <f>'[1]INPUT EQUIPMENT'!B31</f>
        <v>Motor ID Fan 1#2</v>
      </c>
      <c r="E37" s="88" t="s">
        <v>47</v>
      </c>
      <c r="F37" s="88">
        <v>1.9</v>
      </c>
      <c r="G37" s="88" t="s">
        <v>47</v>
      </c>
      <c r="H37" s="88">
        <v>1.81</v>
      </c>
      <c r="I37" s="88" t="s">
        <v>122</v>
      </c>
      <c r="J37" s="135" t="s">
        <v>161</v>
      </c>
      <c r="K37" s="135" t="s">
        <v>124</v>
      </c>
      <c r="L37" s="123"/>
      <c r="M37" s="125"/>
      <c r="N37" s="125" t="s">
        <v>114</v>
      </c>
      <c r="O37" s="132"/>
      <c r="P37" s="132"/>
      <c r="Q37" s="132"/>
      <c r="R37" s="132"/>
      <c r="S37" s="132"/>
    </row>
    <row r="38" spans="1:19" ht="99" customHeight="1" x14ac:dyDescent="0.35">
      <c r="A38" s="133">
        <v>44</v>
      </c>
      <c r="B38" s="131"/>
      <c r="C38" s="88">
        <v>26</v>
      </c>
      <c r="D38" s="134" t="str">
        <f>'[1]INPUT EQUIPMENT'!B32</f>
        <v>Motor ID Fan 2#2</v>
      </c>
      <c r="E38" s="88" t="s">
        <v>54</v>
      </c>
      <c r="F38" s="88">
        <v>2.2999999999999998</v>
      </c>
      <c r="G38" s="88" t="s">
        <v>54</v>
      </c>
      <c r="H38" s="88">
        <v>1.62</v>
      </c>
      <c r="I38" s="88" t="s">
        <v>122</v>
      </c>
      <c r="J38" s="135" t="s">
        <v>162</v>
      </c>
      <c r="K38" s="135" t="s">
        <v>124</v>
      </c>
      <c r="L38" s="123"/>
      <c r="M38" s="125"/>
      <c r="N38" s="125" t="s">
        <v>113</v>
      </c>
      <c r="O38" s="132"/>
      <c r="P38" s="132"/>
      <c r="Q38" s="132"/>
      <c r="R38" s="132"/>
      <c r="S38" s="132"/>
    </row>
    <row r="39" spans="1:19" ht="109" customHeight="1" x14ac:dyDescent="0.35">
      <c r="A39" s="133">
        <v>45</v>
      </c>
      <c r="B39" s="131"/>
      <c r="C39" s="88">
        <v>27</v>
      </c>
      <c r="D39" s="134" t="str">
        <f>'[1]INPUT EQUIPMENT'!B33</f>
        <v>Motor Primary Air Fan 1#2</v>
      </c>
      <c r="E39" s="88" t="s">
        <v>56</v>
      </c>
      <c r="F39" s="88">
        <v>2.48</v>
      </c>
      <c r="G39" s="88" t="s">
        <v>56</v>
      </c>
      <c r="H39" s="88">
        <v>2.23</v>
      </c>
      <c r="I39" s="88" t="s">
        <v>122</v>
      </c>
      <c r="J39" s="135" t="s">
        <v>163</v>
      </c>
      <c r="K39" s="135" t="s">
        <v>164</v>
      </c>
      <c r="L39" s="123"/>
      <c r="M39" s="125"/>
      <c r="N39" s="125" t="s">
        <v>114</v>
      </c>
      <c r="O39" s="132"/>
      <c r="P39" s="136" t="s">
        <v>119</v>
      </c>
      <c r="Q39" s="132"/>
      <c r="R39" s="132"/>
      <c r="S39" s="132"/>
    </row>
    <row r="40" spans="1:19" ht="108.5" customHeight="1" x14ac:dyDescent="0.35">
      <c r="A40" s="133">
        <v>46</v>
      </c>
      <c r="B40" s="131"/>
      <c r="C40" s="88">
        <v>28</v>
      </c>
      <c r="D40" s="134" t="str">
        <f>'[1]INPUT EQUIPMENT'!B34</f>
        <v>Motor Primary Air Fan 2#2</v>
      </c>
      <c r="E40" s="88" t="s">
        <v>47</v>
      </c>
      <c r="F40" s="88">
        <v>2.8</v>
      </c>
      <c r="G40" s="88" t="s">
        <v>47</v>
      </c>
      <c r="H40" s="88">
        <v>2.84</v>
      </c>
      <c r="I40" s="88" t="s">
        <v>126</v>
      </c>
      <c r="J40" s="135" t="s">
        <v>165</v>
      </c>
      <c r="K40" s="135" t="s">
        <v>166</v>
      </c>
      <c r="L40" s="123"/>
      <c r="M40" s="125"/>
      <c r="N40" s="125" t="s">
        <v>113</v>
      </c>
      <c r="O40" s="132"/>
      <c r="P40" s="132"/>
      <c r="Q40" s="132"/>
      <c r="R40" s="132"/>
      <c r="S40" s="132"/>
    </row>
    <row r="41" spans="1:19" ht="100" x14ac:dyDescent="0.35">
      <c r="A41" s="133">
        <v>47</v>
      </c>
      <c r="B41" s="131"/>
      <c r="C41" s="88">
        <v>29</v>
      </c>
      <c r="D41" s="134" t="str">
        <f>'[1]INPUT EQUIPMENT'!B35</f>
        <v>Motor Secondary Air Fan 1#2</v>
      </c>
      <c r="E41" s="88" t="s">
        <v>53</v>
      </c>
      <c r="F41" s="88">
        <v>2.94</v>
      </c>
      <c r="G41" s="88" t="s">
        <v>53</v>
      </c>
      <c r="H41" s="88">
        <v>2.9</v>
      </c>
      <c r="I41" s="88" t="s">
        <v>126</v>
      </c>
      <c r="J41" s="135" t="s">
        <v>167</v>
      </c>
      <c r="K41" s="135" t="s">
        <v>124</v>
      </c>
      <c r="L41" s="123"/>
      <c r="M41" s="125"/>
      <c r="N41" s="125" t="s">
        <v>114</v>
      </c>
      <c r="O41" s="132"/>
      <c r="P41" s="132"/>
      <c r="Q41" s="132"/>
      <c r="R41" s="132"/>
      <c r="S41" s="132"/>
    </row>
    <row r="42" spans="1:19" ht="99" customHeight="1" x14ac:dyDescent="0.35">
      <c r="A42" s="133">
        <v>48</v>
      </c>
      <c r="B42" s="131"/>
      <c r="C42" s="88">
        <v>30</v>
      </c>
      <c r="D42" s="134" t="str">
        <f>'[1]INPUT EQUIPMENT'!B36</f>
        <v>Motor Secondary Air Fan 2#2</v>
      </c>
      <c r="E42" s="88" t="s">
        <v>47</v>
      </c>
      <c r="F42" s="88">
        <v>2.4500000000000002</v>
      </c>
      <c r="G42" s="88" t="s">
        <v>47</v>
      </c>
      <c r="H42" s="88">
        <v>2.72</v>
      </c>
      <c r="I42" s="88" t="s">
        <v>126</v>
      </c>
      <c r="J42" s="135" t="s">
        <v>168</v>
      </c>
      <c r="K42" s="135" t="s">
        <v>124</v>
      </c>
      <c r="L42" s="123"/>
      <c r="M42" s="125"/>
      <c r="N42" s="125" t="s">
        <v>113</v>
      </c>
      <c r="O42" s="132"/>
      <c r="P42" s="132"/>
      <c r="Q42" s="132"/>
      <c r="R42" s="132"/>
      <c r="S42" s="132"/>
    </row>
    <row r="43" spans="1:19" ht="125" x14ac:dyDescent="0.35">
      <c r="A43" s="133">
        <v>49</v>
      </c>
      <c r="B43" s="131"/>
      <c r="C43" s="88">
        <v>31</v>
      </c>
      <c r="D43" s="134" t="str">
        <f>'[1]INPUT EQUIPMENT'!B37</f>
        <v>Turbin-Generator#2</v>
      </c>
      <c r="E43" s="88" t="s">
        <v>57</v>
      </c>
      <c r="F43" s="88">
        <v>4.5999999999999996</v>
      </c>
      <c r="G43" s="88" t="s">
        <v>57</v>
      </c>
      <c r="H43" s="88">
        <v>5.85</v>
      </c>
      <c r="I43" s="88" t="s">
        <v>126</v>
      </c>
      <c r="J43" s="135" t="s">
        <v>169</v>
      </c>
      <c r="K43" s="135" t="s">
        <v>134</v>
      </c>
      <c r="L43" s="123"/>
      <c r="M43" s="125"/>
      <c r="N43" s="125" t="s">
        <v>114</v>
      </c>
      <c r="O43" s="132"/>
      <c r="P43" s="132"/>
      <c r="Q43" s="132"/>
      <c r="R43" s="132"/>
      <c r="S43" s="132"/>
    </row>
    <row r="44" spans="1:19" x14ac:dyDescent="0.35">
      <c r="A44" s="133">
        <v>50</v>
      </c>
      <c r="B44" s="131"/>
      <c r="C44" s="88">
        <v>32</v>
      </c>
      <c r="D44" s="134" t="str">
        <f>'[1]INPUT EQUIPMENT'!B38</f>
        <v>Motor Condensat Pump 1#2</v>
      </c>
      <c r="E44" s="88" t="s">
        <v>50</v>
      </c>
      <c r="F44" s="88">
        <v>0.83</v>
      </c>
      <c r="G44" s="88" t="s">
        <v>50</v>
      </c>
      <c r="H44" s="88">
        <v>0</v>
      </c>
      <c r="I44" s="88" t="s">
        <v>135</v>
      </c>
      <c r="J44" s="135" t="s">
        <v>179</v>
      </c>
      <c r="K44" s="135" t="s">
        <v>179</v>
      </c>
      <c r="L44" s="123"/>
      <c r="M44" s="125"/>
      <c r="N44" s="125" t="s">
        <v>116</v>
      </c>
      <c r="O44" s="132"/>
      <c r="P44" s="132"/>
      <c r="Q44" s="132"/>
      <c r="R44" s="132"/>
      <c r="S44" s="132"/>
    </row>
    <row r="45" spans="1:19" ht="106.5" customHeight="1" x14ac:dyDescent="0.35">
      <c r="A45" s="133">
        <v>51</v>
      </c>
      <c r="B45" s="131"/>
      <c r="C45" s="88">
        <v>33</v>
      </c>
      <c r="D45" s="134" t="str">
        <f>'[1]INPUT EQUIPMENT'!B39</f>
        <v>Motor Condensat Pump 2#2</v>
      </c>
      <c r="E45" s="88" t="s">
        <v>46</v>
      </c>
      <c r="F45" s="88">
        <v>4.41</v>
      </c>
      <c r="G45" s="88" t="s">
        <v>46</v>
      </c>
      <c r="H45" s="88">
        <v>1.2</v>
      </c>
      <c r="I45" s="88" t="s">
        <v>122</v>
      </c>
      <c r="J45" s="135" t="s">
        <v>171</v>
      </c>
      <c r="K45" s="135" t="s">
        <v>124</v>
      </c>
      <c r="L45" s="123"/>
      <c r="M45" s="125"/>
      <c r="N45" s="125" t="s">
        <v>115</v>
      </c>
      <c r="O45" s="132"/>
      <c r="P45" s="132"/>
      <c r="Q45" s="132"/>
      <c r="R45" s="132"/>
      <c r="S45" s="132"/>
    </row>
    <row r="46" spans="1:19" ht="112.5" x14ac:dyDescent="0.35">
      <c r="A46" s="133">
        <v>52</v>
      </c>
      <c r="B46" s="131"/>
      <c r="C46" s="88">
        <v>34</v>
      </c>
      <c r="D46" s="134" t="str">
        <f>'[1]INPUT EQUIPMENT'!B40</f>
        <v>Motor Vacuum Pump 1#2</v>
      </c>
      <c r="E46" s="88" t="s">
        <v>56</v>
      </c>
      <c r="F46" s="88">
        <v>1.72</v>
      </c>
      <c r="G46" s="88" t="s">
        <v>56</v>
      </c>
      <c r="H46" s="88">
        <v>1.5</v>
      </c>
      <c r="I46" s="88" t="s">
        <v>126</v>
      </c>
      <c r="J46" s="135" t="s">
        <v>172</v>
      </c>
      <c r="K46" s="135" t="s">
        <v>173</v>
      </c>
      <c r="L46" s="123"/>
      <c r="M46" s="125"/>
      <c r="N46" s="125" t="s">
        <v>114</v>
      </c>
      <c r="O46" s="132"/>
      <c r="P46" s="132"/>
      <c r="Q46" s="132"/>
      <c r="R46" s="132"/>
      <c r="S46" s="132"/>
    </row>
    <row r="47" spans="1:19" ht="110" customHeight="1" x14ac:dyDescent="0.35">
      <c r="A47" s="133">
        <v>53</v>
      </c>
      <c r="B47" s="131"/>
      <c r="C47" s="88">
        <v>35</v>
      </c>
      <c r="D47" s="134" t="str">
        <f>'[1]INPUT EQUIPMENT'!B41</f>
        <v>Motor Vacuum Pump 2#2</v>
      </c>
      <c r="E47" s="88" t="s">
        <v>56</v>
      </c>
      <c r="F47" s="88">
        <v>2.7</v>
      </c>
      <c r="G47" s="88" t="s">
        <v>56</v>
      </c>
      <c r="H47" s="88">
        <v>1.5</v>
      </c>
      <c r="I47" s="88" t="s">
        <v>126</v>
      </c>
      <c r="J47" s="135" t="s">
        <v>174</v>
      </c>
      <c r="K47" s="135" t="s">
        <v>173</v>
      </c>
      <c r="L47" s="123"/>
      <c r="M47" s="125"/>
      <c r="N47" s="125" t="s">
        <v>114</v>
      </c>
      <c r="O47" s="132"/>
      <c r="P47" s="132"/>
      <c r="Q47" s="132"/>
      <c r="R47" s="132"/>
      <c r="S47" s="132"/>
    </row>
    <row r="48" spans="1:19" x14ac:dyDescent="0.35">
      <c r="A48" s="133">
        <v>54</v>
      </c>
      <c r="B48" s="131"/>
      <c r="C48" s="88">
        <v>36</v>
      </c>
      <c r="D48" s="134" t="str">
        <f>'[1]INPUT EQUIPMENT'!B42</f>
        <v>Motor Boiler Feed Pump 1#2</v>
      </c>
      <c r="E48" s="88" t="s">
        <v>59</v>
      </c>
      <c r="F48" s="88">
        <v>3.39</v>
      </c>
      <c r="G48" s="88" t="s">
        <v>59</v>
      </c>
      <c r="H48" s="88">
        <v>0</v>
      </c>
      <c r="I48" s="88" t="s">
        <v>135</v>
      </c>
      <c r="J48" s="135" t="s">
        <v>179</v>
      </c>
      <c r="K48" s="135" t="s">
        <v>179</v>
      </c>
      <c r="L48" s="138"/>
      <c r="M48" s="125"/>
      <c r="N48" s="125" t="s">
        <v>115</v>
      </c>
      <c r="O48" s="132"/>
      <c r="P48" s="132"/>
      <c r="Q48" s="132"/>
      <c r="R48" s="132"/>
      <c r="S48" s="132"/>
    </row>
    <row r="49" spans="1:19" ht="100" x14ac:dyDescent="0.35">
      <c r="A49" s="133">
        <v>55</v>
      </c>
      <c r="B49" s="131"/>
      <c r="C49" s="88">
        <v>37</v>
      </c>
      <c r="D49" s="134" t="str">
        <f>'[1]INPUT EQUIPMENT'!B43</f>
        <v>Motor Boiler Feed Pump 2#2</v>
      </c>
      <c r="E49" s="88" t="s">
        <v>51</v>
      </c>
      <c r="F49" s="88">
        <v>2.7</v>
      </c>
      <c r="G49" s="88" t="s">
        <v>51</v>
      </c>
      <c r="H49" s="88">
        <v>2.14</v>
      </c>
      <c r="I49" s="88" t="s">
        <v>122</v>
      </c>
      <c r="J49" s="135" t="s">
        <v>175</v>
      </c>
      <c r="K49" s="135" t="s">
        <v>170</v>
      </c>
      <c r="L49" s="123"/>
      <c r="M49" s="125"/>
      <c r="N49" s="125" t="s">
        <v>116</v>
      </c>
      <c r="O49" s="132"/>
      <c r="P49" s="132"/>
      <c r="Q49" s="132"/>
      <c r="R49" s="132"/>
      <c r="S49" s="132"/>
    </row>
    <row r="50" spans="1:19" ht="100" x14ac:dyDescent="0.35">
      <c r="A50" s="133">
        <v>56</v>
      </c>
      <c r="B50" s="131"/>
      <c r="C50" s="88">
        <v>38</v>
      </c>
      <c r="D50" s="134" t="str">
        <f>'[1]INPUT EQUIPMENT'!B44</f>
        <v>Motor CCCWP 1#2</v>
      </c>
      <c r="E50" s="88" t="s">
        <v>46</v>
      </c>
      <c r="F50" s="88">
        <v>2.33</v>
      </c>
      <c r="G50" s="88" t="s">
        <v>46</v>
      </c>
      <c r="H50" s="88">
        <v>2.2599999999999998</v>
      </c>
      <c r="I50" s="88" t="s">
        <v>126</v>
      </c>
      <c r="J50" s="135" t="s">
        <v>176</v>
      </c>
      <c r="K50" s="135" t="s">
        <v>140</v>
      </c>
      <c r="L50" s="123"/>
      <c r="M50" s="125"/>
      <c r="N50" s="125" t="s">
        <v>114</v>
      </c>
      <c r="O50" s="132"/>
      <c r="P50" s="132"/>
      <c r="Q50" s="132"/>
      <c r="R50" s="132"/>
      <c r="S50" s="132"/>
    </row>
    <row r="51" spans="1:19" x14ac:dyDescent="0.35">
      <c r="A51" s="133">
        <v>57</v>
      </c>
      <c r="B51" s="131"/>
      <c r="C51" s="88">
        <v>39</v>
      </c>
      <c r="D51" s="134" t="s">
        <v>120</v>
      </c>
      <c r="E51" s="88" t="s">
        <v>46</v>
      </c>
      <c r="F51" s="88">
        <v>1.06</v>
      </c>
      <c r="G51" s="88" t="s">
        <v>46</v>
      </c>
      <c r="H51" s="88">
        <v>0</v>
      </c>
      <c r="I51" s="88" t="s">
        <v>135</v>
      </c>
      <c r="J51" s="135" t="s">
        <v>179</v>
      </c>
      <c r="K51" s="135" t="s">
        <v>179</v>
      </c>
      <c r="L51" s="123"/>
      <c r="M51" s="125"/>
      <c r="N51" s="125" t="s">
        <v>114</v>
      </c>
      <c r="O51" s="132"/>
      <c r="P51" s="132"/>
      <c r="Q51" s="132"/>
      <c r="R51" s="132"/>
      <c r="S51" s="132"/>
    </row>
    <row r="52" spans="1:19" ht="100" x14ac:dyDescent="0.35">
      <c r="A52" s="133">
        <v>57</v>
      </c>
      <c r="B52" s="131"/>
      <c r="C52" s="88">
        <v>40</v>
      </c>
      <c r="D52" s="134" t="s">
        <v>74</v>
      </c>
      <c r="E52" s="88" t="s">
        <v>47</v>
      </c>
      <c r="F52" s="88">
        <v>1.23</v>
      </c>
      <c r="G52" s="88" t="s">
        <v>47</v>
      </c>
      <c r="H52" s="88">
        <v>2.0699999999999998</v>
      </c>
      <c r="I52" s="88" t="s">
        <v>126</v>
      </c>
      <c r="J52" s="135" t="s">
        <v>177</v>
      </c>
      <c r="K52" s="135" t="s">
        <v>144</v>
      </c>
      <c r="L52" s="123"/>
      <c r="M52" s="125"/>
      <c r="N52" s="125" t="s">
        <v>114</v>
      </c>
      <c r="O52" s="132"/>
      <c r="P52" s="132"/>
      <c r="Q52" s="132"/>
      <c r="R52" s="132"/>
      <c r="S52" s="132"/>
    </row>
    <row r="53" spans="1:19" x14ac:dyDescent="0.35">
      <c r="A53" s="133">
        <v>58</v>
      </c>
      <c r="B53" s="131"/>
      <c r="C53" s="88">
        <v>41</v>
      </c>
      <c r="D53" s="134" t="str">
        <f>'[1]INPUT EQUIPMENT'!B46</f>
        <v>Motor CWP 355 Kw 1#2</v>
      </c>
      <c r="E53" s="88" t="s">
        <v>47</v>
      </c>
      <c r="F53" s="88">
        <v>2.75</v>
      </c>
      <c r="G53" s="88" t="s">
        <v>47</v>
      </c>
      <c r="H53" s="88">
        <v>0</v>
      </c>
      <c r="I53" s="88" t="s">
        <v>135</v>
      </c>
      <c r="J53" s="135" t="s">
        <v>179</v>
      </c>
      <c r="K53" s="135" t="s">
        <v>179</v>
      </c>
      <c r="L53" s="123"/>
      <c r="M53" s="125"/>
      <c r="N53" s="125" t="s">
        <v>115</v>
      </c>
      <c r="O53" s="132"/>
      <c r="P53" s="132"/>
      <c r="Q53" s="132"/>
      <c r="R53" s="132"/>
      <c r="S53" s="132"/>
    </row>
    <row r="54" spans="1:19" ht="97" customHeight="1" x14ac:dyDescent="0.35">
      <c r="A54" s="133">
        <v>59</v>
      </c>
      <c r="B54" s="131"/>
      <c r="C54" s="88">
        <v>42</v>
      </c>
      <c r="D54" s="134" t="str">
        <f>'[1]INPUT EQUIPMENT'!B47</f>
        <v>Motor CWP 355 Kw 2#2</v>
      </c>
      <c r="E54" s="88" t="s">
        <v>47</v>
      </c>
      <c r="F54" s="88">
        <v>2.27</v>
      </c>
      <c r="G54" s="88" t="s">
        <v>47</v>
      </c>
      <c r="H54" s="88">
        <v>2.02</v>
      </c>
      <c r="I54" s="88" t="s">
        <v>122</v>
      </c>
      <c r="J54" s="135" t="s">
        <v>178</v>
      </c>
      <c r="K54" s="135" t="s">
        <v>124</v>
      </c>
      <c r="L54" s="123"/>
      <c r="M54" s="125"/>
      <c r="N54" s="125" t="s">
        <v>116</v>
      </c>
      <c r="O54" s="132"/>
      <c r="P54" s="132"/>
      <c r="Q54" s="132"/>
      <c r="R54" s="132"/>
      <c r="S54" s="132"/>
    </row>
    <row r="55" spans="1:19" x14ac:dyDescent="0.35">
      <c r="A55" s="133">
        <v>63</v>
      </c>
      <c r="B55" s="131"/>
      <c r="C55" s="88">
        <v>43</v>
      </c>
      <c r="D55" s="134" t="s">
        <v>75</v>
      </c>
      <c r="E55" s="88" t="s">
        <v>53</v>
      </c>
      <c r="F55" s="88">
        <v>2.0099999999999998</v>
      </c>
      <c r="G55" s="88" t="s">
        <v>53</v>
      </c>
      <c r="H55" s="88">
        <v>0</v>
      </c>
      <c r="I55" s="88" t="s">
        <v>135</v>
      </c>
      <c r="J55" s="135" t="s">
        <v>179</v>
      </c>
      <c r="K55" s="135" t="s">
        <v>179</v>
      </c>
      <c r="L55" s="123"/>
      <c r="M55" s="125"/>
      <c r="N55" s="125" t="s">
        <v>115</v>
      </c>
      <c r="O55" s="132"/>
      <c r="P55" s="132"/>
      <c r="Q55" s="132"/>
      <c r="R55" s="132"/>
      <c r="S55" s="132"/>
    </row>
    <row r="56" spans="1:19" x14ac:dyDescent="0.35">
      <c r="A56" s="133">
        <v>63</v>
      </c>
      <c r="B56" s="131"/>
      <c r="C56" s="88">
        <v>44</v>
      </c>
      <c r="D56" s="134" t="s">
        <v>121</v>
      </c>
      <c r="E56" s="88" t="s">
        <v>53</v>
      </c>
      <c r="F56" s="88">
        <v>1.88</v>
      </c>
      <c r="G56" s="88" t="s">
        <v>53</v>
      </c>
      <c r="H56" s="88">
        <v>0</v>
      </c>
      <c r="I56" s="88" t="s">
        <v>135</v>
      </c>
      <c r="J56" s="135" t="s">
        <v>179</v>
      </c>
      <c r="K56" s="135" t="s">
        <v>179</v>
      </c>
      <c r="L56" s="123"/>
      <c r="M56" s="125"/>
      <c r="N56" s="125" t="s">
        <v>115</v>
      </c>
      <c r="O56" s="132"/>
      <c r="P56" s="132"/>
      <c r="Q56" s="132"/>
      <c r="R56" s="132"/>
      <c r="S56" s="132"/>
    </row>
    <row r="57" spans="1:19" ht="20.25" customHeight="1" x14ac:dyDescent="0.35">
      <c r="A57" s="117"/>
      <c r="B57" s="124"/>
      <c r="C57" s="96"/>
      <c r="D57" s="96" t="str">
        <f>'[1]INPUT EQUIPMENT'!A48</f>
        <v>UNIT 3</v>
      </c>
      <c r="E57" s="96"/>
      <c r="F57" s="96"/>
      <c r="G57" s="97"/>
      <c r="H57" s="97"/>
      <c r="I57" s="88"/>
      <c r="J57" s="97"/>
      <c r="K57" s="97"/>
      <c r="L57" s="123"/>
      <c r="M57" s="125"/>
      <c r="N57" s="125"/>
      <c r="O57" s="132"/>
      <c r="P57" s="132"/>
      <c r="Q57" s="132"/>
      <c r="R57" s="132"/>
      <c r="S57" s="132"/>
    </row>
    <row r="58" spans="1:19" ht="112.5" x14ac:dyDescent="0.35">
      <c r="A58" s="140">
        <v>1</v>
      </c>
      <c r="B58" s="124"/>
      <c r="C58" s="91">
        <v>25</v>
      </c>
      <c r="D58" s="134" t="str">
        <f>'[1]INPUT EQUIPMENT'!B49</f>
        <v>Motor ID Fan 1#3</v>
      </c>
      <c r="E58" s="141" t="s">
        <v>56</v>
      </c>
      <c r="F58" s="91">
        <v>1.24</v>
      </c>
      <c r="G58" s="91" t="s">
        <v>56</v>
      </c>
      <c r="H58" s="88">
        <v>1.23</v>
      </c>
      <c r="I58" s="88" t="s">
        <v>122</v>
      </c>
      <c r="J58" s="135" t="s">
        <v>180</v>
      </c>
      <c r="K58" s="135" t="s">
        <v>157</v>
      </c>
      <c r="L58" s="123"/>
      <c r="M58" s="125"/>
      <c r="N58" s="125" t="s">
        <v>115</v>
      </c>
      <c r="O58" s="132"/>
      <c r="P58" s="132"/>
      <c r="Q58" s="132"/>
      <c r="R58" s="132"/>
      <c r="S58" s="132"/>
    </row>
    <row r="59" spans="1:19" ht="97" customHeight="1" x14ac:dyDescent="0.35">
      <c r="A59" s="140">
        <v>2</v>
      </c>
      <c r="B59" s="124"/>
      <c r="C59" s="91">
        <v>26</v>
      </c>
      <c r="D59" s="134" t="str">
        <f>'[1]INPUT EQUIPMENT'!B50</f>
        <v>Motor ID Fan 2#3</v>
      </c>
      <c r="E59" s="141" t="s">
        <v>56</v>
      </c>
      <c r="F59" s="91">
        <v>0.53</v>
      </c>
      <c r="G59" s="91" t="s">
        <v>56</v>
      </c>
      <c r="H59" s="88">
        <v>0.8</v>
      </c>
      <c r="I59" s="88" t="s">
        <v>122</v>
      </c>
      <c r="J59" s="135" t="s">
        <v>181</v>
      </c>
      <c r="K59" s="135" t="s">
        <v>159</v>
      </c>
      <c r="L59" s="123"/>
      <c r="M59" s="125"/>
      <c r="N59" s="125" t="s">
        <v>116</v>
      </c>
      <c r="O59" s="132"/>
      <c r="P59" s="132"/>
      <c r="Q59" s="132"/>
      <c r="R59" s="132"/>
      <c r="S59" s="132"/>
    </row>
    <row r="60" spans="1:19" ht="100.5" customHeight="1" x14ac:dyDescent="0.35">
      <c r="A60" s="140">
        <v>3</v>
      </c>
      <c r="B60" s="124"/>
      <c r="C60" s="91">
        <v>41</v>
      </c>
      <c r="D60" s="134" t="str">
        <f>'[1]INPUT EQUIPMENT'!B51</f>
        <v>Motor Primary Air Fan#3</v>
      </c>
      <c r="E60" s="141" t="s">
        <v>56</v>
      </c>
      <c r="F60" s="91">
        <v>2.12</v>
      </c>
      <c r="G60" s="91" t="s">
        <v>56</v>
      </c>
      <c r="H60" s="88">
        <v>2.21</v>
      </c>
      <c r="I60" s="88" t="s">
        <v>122</v>
      </c>
      <c r="J60" s="135" t="s">
        <v>182</v>
      </c>
      <c r="K60" s="135" t="s">
        <v>157</v>
      </c>
      <c r="L60" s="123"/>
      <c r="M60" s="125"/>
      <c r="N60" s="125" t="s">
        <v>116</v>
      </c>
      <c r="O60" s="132"/>
      <c r="P60" s="132"/>
      <c r="Q60" s="132"/>
      <c r="R60" s="132"/>
      <c r="S60" s="132"/>
    </row>
    <row r="61" spans="1:19" ht="112.5" x14ac:dyDescent="0.35">
      <c r="A61" s="140">
        <v>4</v>
      </c>
      <c r="B61" s="124"/>
      <c r="C61" s="91">
        <v>42</v>
      </c>
      <c r="D61" s="134" t="str">
        <f>'[1]INPUT EQUIPMENT'!B52</f>
        <v>Motor Secondary Air Fan#3</v>
      </c>
      <c r="E61" s="141" t="s">
        <v>47</v>
      </c>
      <c r="F61" s="91">
        <v>3.58</v>
      </c>
      <c r="G61" s="91" t="s">
        <v>47</v>
      </c>
      <c r="H61" s="88">
        <v>2.4900000000000002</v>
      </c>
      <c r="I61" s="88" t="s">
        <v>126</v>
      </c>
      <c r="J61" s="135" t="s">
        <v>183</v>
      </c>
      <c r="K61" s="135" t="s">
        <v>157</v>
      </c>
      <c r="L61" s="123"/>
      <c r="M61" s="125"/>
      <c r="N61" s="125" t="s">
        <v>114</v>
      </c>
      <c r="O61" s="132"/>
      <c r="P61" s="132"/>
      <c r="Q61" s="132"/>
      <c r="R61" s="132"/>
      <c r="S61" s="132"/>
    </row>
    <row r="62" spans="1:19" x14ac:dyDescent="0.35">
      <c r="A62" s="140">
        <v>5</v>
      </c>
      <c r="B62" s="124"/>
      <c r="C62" s="91">
        <v>43</v>
      </c>
      <c r="D62" s="134" t="str">
        <f>'[1]INPUT EQUIPMENT'!B53</f>
        <v>Motor Recirculating Air Fan 1#3</v>
      </c>
      <c r="E62" s="141" t="s">
        <v>59</v>
      </c>
      <c r="F62" s="91">
        <v>3.62</v>
      </c>
      <c r="G62" s="91" t="s">
        <v>59</v>
      </c>
      <c r="H62" s="88">
        <v>0</v>
      </c>
      <c r="I62" s="88" t="s">
        <v>135</v>
      </c>
      <c r="J62" s="135" t="s">
        <v>179</v>
      </c>
      <c r="K62" s="135" t="s">
        <v>179</v>
      </c>
      <c r="L62" s="123"/>
      <c r="M62" s="125"/>
      <c r="N62" s="125" t="s">
        <v>115</v>
      </c>
      <c r="O62" s="132"/>
      <c r="P62" s="132"/>
      <c r="Q62" s="132"/>
      <c r="R62" s="132"/>
      <c r="S62" s="132"/>
    </row>
    <row r="63" spans="1:19" ht="100" x14ac:dyDescent="0.35">
      <c r="A63" s="140">
        <v>6</v>
      </c>
      <c r="B63" s="124"/>
      <c r="C63" s="91">
        <v>44</v>
      </c>
      <c r="D63" s="134" t="str">
        <f>'[1]INPUT EQUIPMENT'!B54</f>
        <v>Motor Recirculating Air Fan 2#3</v>
      </c>
      <c r="E63" s="141" t="s">
        <v>59</v>
      </c>
      <c r="F63" s="91">
        <v>2.66</v>
      </c>
      <c r="G63" s="91" t="s">
        <v>59</v>
      </c>
      <c r="H63" s="88">
        <v>3.36</v>
      </c>
      <c r="I63" s="88" t="s">
        <v>126</v>
      </c>
      <c r="J63" s="135" t="s">
        <v>184</v>
      </c>
      <c r="K63" s="135" t="s">
        <v>185</v>
      </c>
      <c r="L63" s="123"/>
      <c r="M63" s="125"/>
      <c r="N63" s="125" t="s">
        <v>116</v>
      </c>
      <c r="O63" s="132"/>
      <c r="P63" s="132"/>
      <c r="Q63" s="132"/>
      <c r="R63" s="132"/>
      <c r="S63" s="132"/>
    </row>
    <row r="64" spans="1:19" ht="111" customHeight="1" x14ac:dyDescent="0.35">
      <c r="A64" s="140">
        <v>7</v>
      </c>
      <c r="B64" s="131"/>
      <c r="C64" s="91">
        <v>45</v>
      </c>
      <c r="D64" s="134" t="str">
        <f>'[1]INPUT EQUIPMENT'!B55</f>
        <v>Turbin-Generator#3</v>
      </c>
      <c r="E64" s="141" t="s">
        <v>49</v>
      </c>
      <c r="F64" s="91">
        <v>3.48</v>
      </c>
      <c r="G64" s="91" t="s">
        <v>49</v>
      </c>
      <c r="H64" s="88">
        <v>3.04</v>
      </c>
      <c r="I64" s="88" t="s">
        <v>122</v>
      </c>
      <c r="J64" s="135" t="s">
        <v>186</v>
      </c>
      <c r="K64" s="135" t="s">
        <v>187</v>
      </c>
      <c r="L64" s="123"/>
      <c r="M64" s="125"/>
      <c r="N64" s="125" t="s">
        <v>113</v>
      </c>
      <c r="O64" s="132"/>
      <c r="P64" s="132"/>
      <c r="Q64" s="132"/>
      <c r="R64" s="132"/>
      <c r="S64" s="132"/>
    </row>
    <row r="65" spans="1:19" ht="125" x14ac:dyDescent="0.35">
      <c r="A65" s="140">
        <v>8</v>
      </c>
      <c r="B65" s="131"/>
      <c r="C65" s="91">
        <v>46</v>
      </c>
      <c r="D65" s="134" t="str">
        <f>'[1]INPUT EQUIPMENT'!B56</f>
        <v>Motor Condensat Pump 1#3</v>
      </c>
      <c r="E65" s="141" t="s">
        <v>47</v>
      </c>
      <c r="F65" s="91">
        <v>2.58</v>
      </c>
      <c r="G65" s="91" t="s">
        <v>47</v>
      </c>
      <c r="H65" s="88">
        <v>2.71</v>
      </c>
      <c r="I65" s="88" t="s">
        <v>126</v>
      </c>
      <c r="J65" s="135" t="s">
        <v>188</v>
      </c>
      <c r="K65" s="135" t="s">
        <v>189</v>
      </c>
      <c r="L65" s="123"/>
      <c r="M65" s="125"/>
      <c r="N65" s="125" t="s">
        <v>116</v>
      </c>
      <c r="O65" s="132"/>
      <c r="P65" s="132"/>
      <c r="Q65" s="132"/>
      <c r="R65" s="132"/>
      <c r="S65" s="132"/>
    </row>
    <row r="66" spans="1:19" ht="112.5" x14ac:dyDescent="0.35">
      <c r="A66" s="140">
        <v>9</v>
      </c>
      <c r="B66" s="131"/>
      <c r="C66" s="91">
        <v>47</v>
      </c>
      <c r="D66" s="134" t="str">
        <f>'[1]INPUT EQUIPMENT'!B57</f>
        <v>Motor Condensat Pump 2#3</v>
      </c>
      <c r="E66" s="141" t="s">
        <v>50</v>
      </c>
      <c r="F66" s="91">
        <v>2.25</v>
      </c>
      <c r="G66" s="91" t="s">
        <v>50</v>
      </c>
      <c r="H66" s="88">
        <v>2.06</v>
      </c>
      <c r="I66" s="88" t="s">
        <v>126</v>
      </c>
      <c r="J66" s="135" t="s">
        <v>190</v>
      </c>
      <c r="K66" s="135" t="s">
        <v>159</v>
      </c>
      <c r="L66" s="123"/>
      <c r="M66" s="125"/>
      <c r="N66" s="125" t="s">
        <v>115</v>
      </c>
      <c r="O66" s="132"/>
      <c r="P66" s="132"/>
      <c r="Q66" s="132"/>
      <c r="R66" s="132"/>
      <c r="S66" s="132"/>
    </row>
    <row r="67" spans="1:19" ht="110" customHeight="1" x14ac:dyDescent="0.35">
      <c r="A67" s="140">
        <v>10</v>
      </c>
      <c r="B67" s="131"/>
      <c r="C67" s="91">
        <v>48</v>
      </c>
      <c r="D67" s="134" t="str">
        <f>'[1]INPUT EQUIPMENT'!B58</f>
        <v>Motor Condensat Pump 3#3</v>
      </c>
      <c r="E67" s="141" t="s">
        <v>47</v>
      </c>
      <c r="F67" s="91">
        <v>1.73</v>
      </c>
      <c r="G67" s="91" t="s">
        <v>47</v>
      </c>
      <c r="H67" s="88">
        <v>1.81</v>
      </c>
      <c r="I67" s="88" t="s">
        <v>126</v>
      </c>
      <c r="J67" s="135" t="s">
        <v>191</v>
      </c>
      <c r="K67" s="135" t="s">
        <v>157</v>
      </c>
      <c r="L67" s="123"/>
      <c r="M67" s="125"/>
      <c r="N67" s="125" t="s">
        <v>115</v>
      </c>
      <c r="O67" s="132"/>
      <c r="P67" s="132"/>
      <c r="Q67" s="132"/>
      <c r="R67" s="132"/>
      <c r="S67" s="132"/>
    </row>
    <row r="68" spans="1:19" ht="113.5" customHeight="1" x14ac:dyDescent="0.35">
      <c r="A68" s="140">
        <v>11</v>
      </c>
      <c r="B68" s="131"/>
      <c r="C68" s="91">
        <v>49</v>
      </c>
      <c r="D68" s="134" t="str">
        <f>'[1]INPUT EQUIPMENT'!B59</f>
        <v>Motor Water jet Pump 1#3</v>
      </c>
      <c r="E68" s="141" t="s">
        <v>47</v>
      </c>
      <c r="F68" s="91">
        <v>1.51</v>
      </c>
      <c r="G68" s="91" t="s">
        <v>47</v>
      </c>
      <c r="H68" s="88">
        <v>1.21</v>
      </c>
      <c r="I68" s="88" t="s">
        <v>122</v>
      </c>
      <c r="J68" s="135" t="s">
        <v>192</v>
      </c>
      <c r="K68" s="135" t="s">
        <v>157</v>
      </c>
      <c r="L68" s="123"/>
      <c r="M68" s="125"/>
      <c r="N68" s="125" t="s">
        <v>116</v>
      </c>
      <c r="O68" s="132"/>
      <c r="P68" s="132"/>
      <c r="Q68" s="132"/>
      <c r="R68" s="132"/>
      <c r="S68" s="132"/>
    </row>
    <row r="69" spans="1:19" x14ac:dyDescent="0.35">
      <c r="A69" s="140">
        <v>12</v>
      </c>
      <c r="B69" s="131"/>
      <c r="C69" s="91">
        <v>50</v>
      </c>
      <c r="D69" s="134" t="str">
        <f>'[1]INPUT EQUIPMENT'!B60</f>
        <v>Motor Water jet Pump 2#3</v>
      </c>
      <c r="E69" s="141" t="s">
        <v>50</v>
      </c>
      <c r="F69" s="91">
        <v>1.77</v>
      </c>
      <c r="G69" s="91" t="s">
        <v>50</v>
      </c>
      <c r="H69" s="88">
        <v>0</v>
      </c>
      <c r="I69" s="88" t="s">
        <v>135</v>
      </c>
      <c r="J69" s="135" t="s">
        <v>179</v>
      </c>
      <c r="K69" s="135" t="s">
        <v>179</v>
      </c>
      <c r="L69" s="123"/>
      <c r="M69" s="125"/>
      <c r="N69" s="125" t="s">
        <v>115</v>
      </c>
      <c r="O69" s="132"/>
      <c r="P69" s="132"/>
      <c r="Q69" s="132"/>
      <c r="R69" s="132"/>
      <c r="S69" s="132"/>
    </row>
    <row r="70" spans="1:19" ht="163" customHeight="1" x14ac:dyDescent="0.35">
      <c r="A70" s="140">
        <v>13</v>
      </c>
      <c r="B70" s="131"/>
      <c r="C70" s="91">
        <v>51</v>
      </c>
      <c r="D70" s="134" t="str">
        <f>'[1]INPUT EQUIPMENT'!B61</f>
        <v>Motor Boiler Feed Pump 1#3</v>
      </c>
      <c r="E70" s="141" t="s">
        <v>54</v>
      </c>
      <c r="F70" s="91">
        <v>2.0699999999999998</v>
      </c>
      <c r="G70" s="91" t="s">
        <v>54</v>
      </c>
      <c r="H70" s="88">
        <v>2.08</v>
      </c>
      <c r="I70" s="88" t="s">
        <v>122</v>
      </c>
      <c r="J70" s="135" t="s">
        <v>193</v>
      </c>
      <c r="K70" s="135" t="s">
        <v>157</v>
      </c>
      <c r="L70" s="123"/>
      <c r="M70" s="125"/>
      <c r="N70" s="125" t="s">
        <v>115</v>
      </c>
      <c r="O70" s="132"/>
      <c r="P70" s="132"/>
      <c r="Q70" s="132"/>
      <c r="R70" s="132"/>
      <c r="S70" s="132"/>
    </row>
    <row r="71" spans="1:19" x14ac:dyDescent="0.35">
      <c r="A71" s="140">
        <v>14</v>
      </c>
      <c r="B71" s="131"/>
      <c r="C71" s="91">
        <v>52</v>
      </c>
      <c r="D71" s="134" t="str">
        <f>'[1]INPUT EQUIPMENT'!B62</f>
        <v>Motor Boiler Feed Pump 2#3</v>
      </c>
      <c r="E71" s="141" t="s">
        <v>59</v>
      </c>
      <c r="F71" s="91">
        <v>3.66</v>
      </c>
      <c r="G71" s="91" t="s">
        <v>59</v>
      </c>
      <c r="H71" s="88">
        <v>0</v>
      </c>
      <c r="I71" s="88" t="s">
        <v>135</v>
      </c>
      <c r="J71" s="135" t="s">
        <v>179</v>
      </c>
      <c r="K71" s="135" t="s">
        <v>179</v>
      </c>
      <c r="L71" s="123"/>
      <c r="M71" s="125"/>
      <c r="N71" s="125" t="s">
        <v>116</v>
      </c>
      <c r="O71" s="132"/>
      <c r="P71" s="132"/>
      <c r="Q71" s="132"/>
      <c r="R71" s="132"/>
      <c r="S71" s="132"/>
    </row>
    <row r="72" spans="1:19" ht="109" customHeight="1" x14ac:dyDescent="0.35">
      <c r="A72" s="140">
        <v>15</v>
      </c>
      <c r="B72" s="131"/>
      <c r="C72" s="91">
        <v>53</v>
      </c>
      <c r="D72" s="134" t="str">
        <f>'[1]INPUT EQUIPMENT'!B63</f>
        <v>Motor CCWP 1#3</v>
      </c>
      <c r="E72" s="141" t="s">
        <v>50</v>
      </c>
      <c r="F72" s="91">
        <v>2.2799999999999998</v>
      </c>
      <c r="G72" s="91" t="s">
        <v>50</v>
      </c>
      <c r="H72" s="88">
        <v>2.34</v>
      </c>
      <c r="I72" s="88" t="s">
        <v>126</v>
      </c>
      <c r="J72" s="135" t="s">
        <v>194</v>
      </c>
      <c r="K72" s="135" t="s">
        <v>157</v>
      </c>
      <c r="L72" s="123"/>
      <c r="M72" s="125"/>
      <c r="N72" s="125" t="s">
        <v>114</v>
      </c>
      <c r="O72" s="132"/>
      <c r="P72" s="132"/>
      <c r="Q72" s="132"/>
      <c r="R72" s="132"/>
      <c r="S72" s="132"/>
    </row>
    <row r="73" spans="1:19" ht="112.5" x14ac:dyDescent="0.35">
      <c r="A73" s="140">
        <v>16</v>
      </c>
      <c r="B73" s="131"/>
      <c r="C73" s="91">
        <v>54</v>
      </c>
      <c r="D73" s="134" t="str">
        <f>'[1]INPUT EQUIPMENT'!B64</f>
        <v>Motor CCWP 2#3</v>
      </c>
      <c r="E73" s="141" t="s">
        <v>50</v>
      </c>
      <c r="F73" s="91">
        <v>2.0099999999999998</v>
      </c>
      <c r="G73" s="91" t="s">
        <v>50</v>
      </c>
      <c r="H73" s="88">
        <v>2.04</v>
      </c>
      <c r="I73" s="88" t="s">
        <v>126</v>
      </c>
      <c r="J73" s="135" t="s">
        <v>195</v>
      </c>
      <c r="K73" s="135" t="s">
        <v>157</v>
      </c>
      <c r="L73" s="123"/>
      <c r="M73" s="125"/>
      <c r="N73" s="125" t="s">
        <v>116</v>
      </c>
      <c r="O73" s="132"/>
      <c r="P73" s="132"/>
      <c r="Q73" s="132"/>
      <c r="R73" s="132"/>
      <c r="S73" s="132"/>
    </row>
    <row r="74" spans="1:19" x14ac:dyDescent="0.35">
      <c r="A74" s="140">
        <v>17</v>
      </c>
      <c r="B74" s="131"/>
      <c r="C74" s="91">
        <v>55</v>
      </c>
      <c r="D74" s="134" t="str">
        <f>'[1]INPUT EQUIPMENT'!B65</f>
        <v>Motor CWP 355 Kw 1#3</v>
      </c>
      <c r="E74" s="141" t="s">
        <v>46</v>
      </c>
      <c r="F74" s="91">
        <v>2.33</v>
      </c>
      <c r="G74" s="91" t="s">
        <v>46</v>
      </c>
      <c r="H74" s="88">
        <v>0</v>
      </c>
      <c r="I74" s="88" t="s">
        <v>135</v>
      </c>
      <c r="J74" s="135" t="s">
        <v>179</v>
      </c>
      <c r="K74" s="135" t="s">
        <v>179</v>
      </c>
      <c r="L74" s="123"/>
      <c r="M74" s="125"/>
      <c r="N74" s="125" t="s">
        <v>115</v>
      </c>
      <c r="O74" s="132"/>
      <c r="P74" s="132"/>
      <c r="Q74" s="132"/>
      <c r="R74" s="132"/>
      <c r="S74" s="132"/>
    </row>
    <row r="75" spans="1:19" ht="112.5" x14ac:dyDescent="0.35">
      <c r="A75" s="140">
        <v>18</v>
      </c>
      <c r="B75" s="131"/>
      <c r="C75" s="91">
        <v>56</v>
      </c>
      <c r="D75" s="134" t="str">
        <f>'[1]INPUT EQUIPMENT'!B66</f>
        <v>Motor CWP 355 Kw 2#3</v>
      </c>
      <c r="E75" s="141" t="s">
        <v>46</v>
      </c>
      <c r="F75" s="91">
        <v>4.41</v>
      </c>
      <c r="G75" s="91" t="s">
        <v>46</v>
      </c>
      <c r="H75" s="88">
        <v>2.79</v>
      </c>
      <c r="I75" s="88" t="s">
        <v>126</v>
      </c>
      <c r="J75" s="135" t="s">
        <v>196</v>
      </c>
      <c r="K75" s="135" t="s">
        <v>157</v>
      </c>
      <c r="L75" s="123"/>
      <c r="M75" s="125"/>
      <c r="N75" s="125" t="s">
        <v>116</v>
      </c>
      <c r="O75" s="132"/>
      <c r="P75" s="132"/>
      <c r="Q75" s="132"/>
      <c r="R75" s="132"/>
      <c r="S75" s="132"/>
    </row>
    <row r="76" spans="1:19" ht="125" x14ac:dyDescent="0.35">
      <c r="A76" s="140">
        <v>19</v>
      </c>
      <c r="B76" s="131"/>
      <c r="C76" s="91">
        <v>57</v>
      </c>
      <c r="D76" s="134" t="str">
        <f>'[1]INPUT EQUIPMENT'!B67</f>
        <v>Motor BWRO 1#3</v>
      </c>
      <c r="E76" s="141" t="s">
        <v>46</v>
      </c>
      <c r="F76" s="91">
        <v>2.08</v>
      </c>
      <c r="G76" s="91" t="s">
        <v>46</v>
      </c>
      <c r="H76" s="88">
        <v>1.98</v>
      </c>
      <c r="I76" s="88" t="s">
        <v>126</v>
      </c>
      <c r="J76" s="135" t="s">
        <v>197</v>
      </c>
      <c r="K76" s="135" t="s">
        <v>157</v>
      </c>
      <c r="L76" s="123"/>
      <c r="M76" s="125"/>
      <c r="N76" s="125" t="s">
        <v>114</v>
      </c>
      <c r="O76" s="132"/>
      <c r="P76" s="132"/>
      <c r="Q76" s="132"/>
      <c r="R76" s="132"/>
      <c r="S76" s="132"/>
    </row>
    <row r="77" spans="1:19" ht="25" x14ac:dyDescent="0.35">
      <c r="A77" s="140">
        <v>20</v>
      </c>
      <c r="B77" s="131"/>
      <c r="C77" s="91">
        <v>58</v>
      </c>
      <c r="D77" s="134" t="str">
        <f>'[1]INPUT EQUIPMENT'!B68</f>
        <v>Motor BWRO 2#3</v>
      </c>
      <c r="E77" s="141"/>
      <c r="F77" s="91">
        <v>0</v>
      </c>
      <c r="G77" s="91"/>
      <c r="H77" s="88">
        <v>0</v>
      </c>
      <c r="I77" s="88" t="s">
        <v>135</v>
      </c>
      <c r="J77" s="135" t="s">
        <v>198</v>
      </c>
      <c r="K77" s="135" t="s">
        <v>199</v>
      </c>
      <c r="L77" s="123"/>
      <c r="M77" s="125"/>
      <c r="N77" s="125" t="s">
        <v>116</v>
      </c>
      <c r="O77" s="132"/>
      <c r="P77" s="132"/>
      <c r="Q77" s="132"/>
      <c r="R77" s="132"/>
      <c r="S77" s="132"/>
    </row>
    <row r="78" spans="1:19" ht="118.5" customHeight="1" x14ac:dyDescent="0.35">
      <c r="A78" s="140">
        <v>21</v>
      </c>
      <c r="B78" s="131"/>
      <c r="C78" s="91">
        <v>59</v>
      </c>
      <c r="D78" s="134" t="str">
        <f>'[1]INPUT EQUIPMENT'!B69</f>
        <v>Motor SWRO 1#3</v>
      </c>
      <c r="E78" s="141" t="s">
        <v>50</v>
      </c>
      <c r="F78" s="91">
        <v>0.79</v>
      </c>
      <c r="G78" s="91" t="s">
        <v>50</v>
      </c>
      <c r="H78" s="88">
        <v>0.8</v>
      </c>
      <c r="I78" s="88" t="s">
        <v>122</v>
      </c>
      <c r="J78" s="135" t="s">
        <v>200</v>
      </c>
      <c r="K78" s="135" t="s">
        <v>201</v>
      </c>
      <c r="L78" s="123"/>
      <c r="M78" s="125"/>
      <c r="N78" s="125" t="s">
        <v>114</v>
      </c>
      <c r="O78" s="132"/>
      <c r="P78" s="132"/>
      <c r="Q78" s="132"/>
      <c r="R78" s="132"/>
      <c r="S78" s="132"/>
    </row>
    <row r="79" spans="1:19" x14ac:dyDescent="0.35">
      <c r="A79" s="140">
        <v>22</v>
      </c>
      <c r="B79" s="131"/>
      <c r="C79" s="91">
        <v>60</v>
      </c>
      <c r="D79" s="134" t="str">
        <f>'[1]INPUT EQUIPMENT'!B70</f>
        <v>Motor SWRO 2#3</v>
      </c>
      <c r="E79" s="141" t="s">
        <v>48</v>
      </c>
      <c r="F79" s="91">
        <v>2.31</v>
      </c>
      <c r="G79" s="91" t="s">
        <v>48</v>
      </c>
      <c r="H79" s="88">
        <v>0</v>
      </c>
      <c r="I79" s="88" t="s">
        <v>135</v>
      </c>
      <c r="J79" s="135" t="s">
        <v>202</v>
      </c>
      <c r="K79" s="135">
        <v>0</v>
      </c>
      <c r="L79" s="123"/>
      <c r="M79" s="125"/>
      <c r="N79" s="125" t="s">
        <v>116</v>
      </c>
      <c r="O79" s="132"/>
      <c r="P79" s="132"/>
      <c r="Q79" s="132"/>
      <c r="R79" s="132"/>
      <c r="S79" s="132"/>
    </row>
    <row r="80" spans="1:19" ht="103" customHeight="1" x14ac:dyDescent="0.35">
      <c r="A80" s="140"/>
      <c r="B80" s="131"/>
      <c r="C80" s="91"/>
      <c r="D80" s="142" t="s">
        <v>85</v>
      </c>
      <c r="E80" s="141" t="s">
        <v>47</v>
      </c>
      <c r="F80" s="91">
        <v>0.96</v>
      </c>
      <c r="G80" s="91" t="s">
        <v>47</v>
      </c>
      <c r="H80" s="137">
        <v>0.93</v>
      </c>
      <c r="I80" s="88" t="s">
        <v>122</v>
      </c>
      <c r="J80" s="135" t="s">
        <v>203</v>
      </c>
      <c r="K80" s="135" t="s">
        <v>157</v>
      </c>
      <c r="L80" s="123"/>
      <c r="M80" s="125"/>
      <c r="N80" s="125" t="s">
        <v>113</v>
      </c>
      <c r="O80" s="132"/>
      <c r="P80" s="132"/>
      <c r="Q80" s="132"/>
      <c r="R80" s="132"/>
      <c r="S80" s="132"/>
    </row>
    <row r="81" spans="1:19" x14ac:dyDescent="0.35">
      <c r="A81" s="140"/>
      <c r="B81" s="131"/>
      <c r="C81" s="91"/>
      <c r="D81" s="142" t="s">
        <v>87</v>
      </c>
      <c r="E81" s="141" t="s">
        <v>47</v>
      </c>
      <c r="F81" s="91">
        <v>1.2</v>
      </c>
      <c r="G81" s="91" t="s">
        <v>47</v>
      </c>
      <c r="H81" s="137">
        <v>0</v>
      </c>
      <c r="I81" s="88" t="s">
        <v>135</v>
      </c>
      <c r="J81" s="135" t="s">
        <v>179</v>
      </c>
      <c r="K81" s="135" t="s">
        <v>179</v>
      </c>
      <c r="L81" s="123"/>
      <c r="M81" s="125"/>
      <c r="N81" s="125" t="s">
        <v>113</v>
      </c>
      <c r="O81" s="132"/>
      <c r="P81" s="132"/>
      <c r="Q81" s="132"/>
      <c r="R81" s="132"/>
      <c r="S81" s="132"/>
    </row>
    <row r="82" spans="1:19" ht="123" customHeight="1" x14ac:dyDescent="0.35">
      <c r="A82" s="140"/>
      <c r="B82" s="131"/>
      <c r="C82" s="91"/>
      <c r="D82" s="142" t="s">
        <v>89</v>
      </c>
      <c r="E82" s="141" t="s">
        <v>56</v>
      </c>
      <c r="F82" s="91">
        <v>2.36</v>
      </c>
      <c r="G82" s="91" t="s">
        <v>56</v>
      </c>
      <c r="H82" s="137">
        <v>1.91</v>
      </c>
      <c r="I82" s="88" t="s">
        <v>126</v>
      </c>
      <c r="J82" s="135" t="s">
        <v>204</v>
      </c>
      <c r="K82" s="135" t="s">
        <v>159</v>
      </c>
      <c r="L82" s="123"/>
      <c r="M82" s="125"/>
      <c r="N82" s="125" t="s">
        <v>113</v>
      </c>
      <c r="O82" s="132"/>
      <c r="P82" s="132"/>
      <c r="Q82" s="132"/>
      <c r="R82" s="132"/>
      <c r="S82" s="132"/>
    </row>
    <row r="83" spans="1:19" ht="155.5" customHeight="1" x14ac:dyDescent="0.35">
      <c r="A83" s="140"/>
      <c r="B83" s="131"/>
      <c r="C83" s="91"/>
      <c r="D83" s="142" t="s">
        <v>90</v>
      </c>
      <c r="E83" s="141" t="s">
        <v>47</v>
      </c>
      <c r="F83" s="91">
        <v>13.95</v>
      </c>
      <c r="G83" s="91" t="s">
        <v>47</v>
      </c>
      <c r="H83" s="137">
        <v>16.489999999999998</v>
      </c>
      <c r="I83" s="88" t="s">
        <v>126</v>
      </c>
      <c r="J83" s="135" t="s">
        <v>205</v>
      </c>
      <c r="K83" s="135" t="s">
        <v>157</v>
      </c>
      <c r="L83" s="123"/>
      <c r="M83" s="125"/>
      <c r="N83" s="125" t="s">
        <v>113</v>
      </c>
      <c r="O83" s="132"/>
      <c r="P83" s="132"/>
      <c r="Q83" s="132"/>
      <c r="R83" s="132"/>
      <c r="S83" s="132"/>
    </row>
    <row r="84" spans="1:19" x14ac:dyDescent="0.35">
      <c r="A84" s="140"/>
      <c r="B84" s="131"/>
      <c r="C84" s="91"/>
      <c r="D84" s="142" t="s">
        <v>92</v>
      </c>
      <c r="E84" s="141" t="s">
        <v>56</v>
      </c>
      <c r="F84" s="91">
        <v>6.44</v>
      </c>
      <c r="G84" s="91" t="s">
        <v>56</v>
      </c>
      <c r="H84" s="137">
        <v>0</v>
      </c>
      <c r="I84" s="88" t="s">
        <v>135</v>
      </c>
      <c r="J84" s="135" t="s">
        <v>179</v>
      </c>
      <c r="K84" s="135" t="s">
        <v>179</v>
      </c>
      <c r="L84" s="123"/>
      <c r="M84" s="125"/>
      <c r="N84" s="125" t="s">
        <v>113</v>
      </c>
      <c r="O84" s="132"/>
      <c r="P84" s="132"/>
      <c r="Q84" s="132"/>
      <c r="R84" s="132"/>
      <c r="S84" s="132"/>
    </row>
    <row r="85" spans="1:19" x14ac:dyDescent="0.35">
      <c r="A85" s="140"/>
      <c r="B85" s="131"/>
      <c r="C85" s="91"/>
      <c r="D85" s="142" t="s">
        <v>93</v>
      </c>
      <c r="E85" s="141" t="s">
        <v>56</v>
      </c>
      <c r="F85" s="91">
        <v>2.68</v>
      </c>
      <c r="G85" s="91" t="s">
        <v>56</v>
      </c>
      <c r="H85" s="137">
        <v>0</v>
      </c>
      <c r="I85" s="88" t="s">
        <v>135</v>
      </c>
      <c r="J85" s="135" t="s">
        <v>179</v>
      </c>
      <c r="K85" s="135" t="s">
        <v>179</v>
      </c>
      <c r="L85" s="123"/>
      <c r="M85" s="125"/>
      <c r="N85" s="125" t="s">
        <v>113</v>
      </c>
      <c r="O85" s="132"/>
      <c r="P85" s="132"/>
      <c r="Q85" s="132"/>
      <c r="R85" s="132"/>
      <c r="S85" s="132"/>
    </row>
    <row r="86" spans="1:19" x14ac:dyDescent="0.35">
      <c r="A86" s="140"/>
      <c r="B86" s="131"/>
      <c r="C86" s="91"/>
      <c r="D86" s="142" t="s">
        <v>94</v>
      </c>
      <c r="E86" s="141" t="s">
        <v>46</v>
      </c>
      <c r="F86" s="91">
        <v>1.03</v>
      </c>
      <c r="G86" s="91" t="s">
        <v>46</v>
      </c>
      <c r="H86" s="137">
        <v>0</v>
      </c>
      <c r="I86" s="88" t="s">
        <v>135</v>
      </c>
      <c r="J86" s="135" t="s">
        <v>179</v>
      </c>
      <c r="K86" s="135" t="s">
        <v>179</v>
      </c>
      <c r="L86" s="123"/>
      <c r="M86" s="125"/>
      <c r="N86" s="125" t="s">
        <v>113</v>
      </c>
      <c r="O86" s="132"/>
      <c r="P86" s="132"/>
      <c r="Q86" s="132"/>
      <c r="R86" s="132"/>
      <c r="S86" s="132"/>
    </row>
    <row r="87" spans="1:19" x14ac:dyDescent="0.35">
      <c r="A87" s="140"/>
      <c r="B87" s="131"/>
      <c r="C87" s="91"/>
      <c r="D87" s="142" t="s">
        <v>95</v>
      </c>
      <c r="E87" s="141" t="s">
        <v>47</v>
      </c>
      <c r="F87" s="91">
        <v>0.44</v>
      </c>
      <c r="G87" s="91" t="s">
        <v>47</v>
      </c>
      <c r="H87" s="137">
        <v>0</v>
      </c>
      <c r="I87" s="88" t="s">
        <v>135</v>
      </c>
      <c r="J87" s="135" t="s">
        <v>179</v>
      </c>
      <c r="K87" s="135" t="s">
        <v>179</v>
      </c>
      <c r="L87" s="123"/>
      <c r="M87" s="125"/>
      <c r="N87" s="125" t="s">
        <v>113</v>
      </c>
      <c r="O87" s="132"/>
      <c r="P87" s="132"/>
      <c r="Q87" s="132"/>
      <c r="R87" s="132"/>
      <c r="S87" s="132"/>
    </row>
    <row r="88" spans="1:19" hidden="1" x14ac:dyDescent="0.35">
      <c r="A88" s="140">
        <v>23</v>
      </c>
      <c r="B88" s="131"/>
      <c r="C88" s="91">
        <v>23</v>
      </c>
      <c r="D88" s="134" t="str">
        <f>'[1]INPUT EQUIPMENT'!B71</f>
        <v>Motor Cooling tower 1#3</v>
      </c>
      <c r="E88" s="141"/>
      <c r="F88" s="91">
        <v>0</v>
      </c>
      <c r="G88" s="91"/>
      <c r="H88" s="88">
        <v>0</v>
      </c>
      <c r="I88" s="88">
        <v>0</v>
      </c>
      <c r="J88" s="135" t="s">
        <v>179</v>
      </c>
      <c r="K88" s="135" t="s">
        <v>179</v>
      </c>
      <c r="L88" s="123"/>
      <c r="M88" s="125"/>
      <c r="N88" s="125"/>
      <c r="O88" s="132"/>
      <c r="P88" s="132"/>
      <c r="Q88" s="132"/>
      <c r="R88" s="132"/>
      <c r="S88" s="132"/>
    </row>
    <row r="89" spans="1:19" hidden="1" x14ac:dyDescent="0.35">
      <c r="A89" s="140">
        <v>24</v>
      </c>
      <c r="B89" s="131"/>
      <c r="C89" s="91">
        <v>24</v>
      </c>
      <c r="D89" s="134" t="str">
        <f>'[1]INPUT EQUIPMENT'!B72</f>
        <v>Motor Cooling tower 2#3</v>
      </c>
      <c r="E89" s="141" t="s">
        <v>47</v>
      </c>
      <c r="F89" s="91">
        <v>14.04</v>
      </c>
      <c r="G89" s="91"/>
      <c r="H89" s="88">
        <v>0</v>
      </c>
      <c r="I89" s="88">
        <v>0</v>
      </c>
      <c r="J89" s="135" t="s">
        <v>179</v>
      </c>
      <c r="K89" s="135" t="s">
        <v>179</v>
      </c>
      <c r="L89" s="123"/>
      <c r="M89" s="125"/>
      <c r="N89" s="125"/>
      <c r="O89" s="132"/>
      <c r="P89" s="132"/>
      <c r="Q89" s="132"/>
      <c r="R89" s="132"/>
      <c r="S89" s="132"/>
    </row>
    <row r="90" spans="1:19" hidden="1" x14ac:dyDescent="0.35">
      <c r="A90" s="140">
        <v>25</v>
      </c>
      <c r="B90" s="131"/>
      <c r="C90" s="91">
        <v>25</v>
      </c>
      <c r="D90" s="134" t="str">
        <f>'[1]INPUT EQUIPMENT'!B73</f>
        <v>Motor Air Compressor 1#3</v>
      </c>
      <c r="E90" s="141"/>
      <c r="F90" s="91">
        <v>0</v>
      </c>
      <c r="G90" s="91"/>
      <c r="H90" s="88">
        <v>3.5</v>
      </c>
      <c r="I90" s="88" t="s">
        <v>126</v>
      </c>
      <c r="J90" s="135" t="s">
        <v>206</v>
      </c>
      <c r="K90" s="135" t="s">
        <v>206</v>
      </c>
      <c r="L90" s="123"/>
      <c r="M90" s="125"/>
      <c r="N90" s="125"/>
      <c r="O90" s="132"/>
      <c r="P90" s="132"/>
      <c r="Q90" s="132"/>
      <c r="R90" s="132"/>
      <c r="S90" s="132"/>
    </row>
    <row r="91" spans="1:19" hidden="1" x14ac:dyDescent="0.35">
      <c r="A91" s="140">
        <v>26</v>
      </c>
      <c r="B91" s="131"/>
      <c r="C91" s="91">
        <v>26</v>
      </c>
      <c r="D91" s="134" t="str">
        <f>'[1]INPUT EQUIPMENT'!B74</f>
        <v>Motor Air Compressor 2#3</v>
      </c>
      <c r="E91" s="141"/>
      <c r="F91" s="91">
        <v>0</v>
      </c>
      <c r="G91" s="91"/>
      <c r="H91" s="88">
        <v>0</v>
      </c>
      <c r="I91" s="88" t="s">
        <v>135</v>
      </c>
      <c r="J91" s="135" t="s">
        <v>206</v>
      </c>
      <c r="K91" s="135" t="s">
        <v>206</v>
      </c>
      <c r="L91" s="123"/>
      <c r="M91" s="125"/>
      <c r="N91" s="125"/>
      <c r="O91" s="132"/>
      <c r="P91" s="132"/>
      <c r="Q91" s="132"/>
      <c r="R91" s="132"/>
      <c r="S91" s="132"/>
    </row>
    <row r="92" spans="1:19" ht="15" customHeight="1" x14ac:dyDescent="0.35">
      <c r="A92" s="143"/>
      <c r="B92" s="131"/>
      <c r="C92" s="108"/>
      <c r="D92" s="144" t="str">
        <f>'[1]INPUT EQUIPMENT'!A75</f>
        <v>COAL ASH HANDLING</v>
      </c>
      <c r="E92" s="145"/>
      <c r="F92" s="110"/>
      <c r="G92" s="146"/>
      <c r="H92" s="110"/>
      <c r="I92" s="110"/>
      <c r="J92" s="110"/>
      <c r="K92" s="110"/>
      <c r="L92" s="123"/>
      <c r="M92" s="125"/>
      <c r="N92" s="125"/>
      <c r="O92" s="132"/>
      <c r="P92" s="132"/>
      <c r="Q92" s="132"/>
      <c r="R92" s="132"/>
      <c r="S92" s="132"/>
    </row>
    <row r="93" spans="1:19" ht="100" customHeight="1" x14ac:dyDescent="0.35">
      <c r="A93" s="140">
        <v>27</v>
      </c>
      <c r="B93" s="131"/>
      <c r="C93" s="91">
        <v>61</v>
      </c>
      <c r="D93" s="134" t="str">
        <f>'[1]INPUT EQUIPMENT'!B76</f>
        <v>BC 4.1</v>
      </c>
      <c r="E93" s="88" t="s">
        <v>50</v>
      </c>
      <c r="F93" s="88">
        <v>3.67</v>
      </c>
      <c r="G93" s="88" t="s">
        <v>50</v>
      </c>
      <c r="H93" s="88">
        <v>3.5</v>
      </c>
      <c r="I93" s="82" t="s">
        <v>126</v>
      </c>
      <c r="J93" s="135" t="s">
        <v>207</v>
      </c>
      <c r="K93" s="135" t="s">
        <v>208</v>
      </c>
      <c r="L93" s="123"/>
      <c r="M93" s="125"/>
      <c r="N93" s="125" t="s">
        <v>115</v>
      </c>
      <c r="O93" s="132"/>
      <c r="P93" s="132"/>
      <c r="Q93" s="132"/>
      <c r="R93" s="132"/>
      <c r="S93" s="132"/>
    </row>
    <row r="94" spans="1:19" ht="129.5" customHeight="1" x14ac:dyDescent="0.35">
      <c r="A94" s="140">
        <v>28</v>
      </c>
      <c r="B94" s="131"/>
      <c r="C94" s="91">
        <v>62</v>
      </c>
      <c r="D94" s="134" t="str">
        <f>'[1]INPUT EQUIPMENT'!B77</f>
        <v>BC 4.2</v>
      </c>
      <c r="E94" s="88" t="s">
        <v>54</v>
      </c>
      <c r="F94" s="88">
        <v>1.27</v>
      </c>
      <c r="G94" s="88" t="s">
        <v>54</v>
      </c>
      <c r="H94" s="88">
        <v>1.61</v>
      </c>
      <c r="I94" s="82" t="s">
        <v>122</v>
      </c>
      <c r="J94" s="135" t="s">
        <v>209</v>
      </c>
      <c r="K94" s="135" t="s">
        <v>210</v>
      </c>
      <c r="L94" s="123"/>
      <c r="M94" s="125"/>
      <c r="N94" s="125" t="s">
        <v>116</v>
      </c>
      <c r="O94" s="132"/>
      <c r="P94" s="132"/>
      <c r="Q94" s="132"/>
      <c r="R94" s="132"/>
      <c r="S94" s="132"/>
    </row>
    <row r="95" spans="1:19" ht="100" x14ac:dyDescent="0.35">
      <c r="A95" s="140">
        <v>29</v>
      </c>
      <c r="B95" s="131"/>
      <c r="C95" s="91">
        <v>63</v>
      </c>
      <c r="D95" s="134" t="str">
        <f>'[1]INPUT EQUIPMENT'!B78</f>
        <v>BC 5.1</v>
      </c>
      <c r="E95" s="88" t="s">
        <v>54</v>
      </c>
      <c r="F95" s="88">
        <v>2.88</v>
      </c>
      <c r="G95" s="88" t="s">
        <v>54</v>
      </c>
      <c r="H95" s="88">
        <v>4.2</v>
      </c>
      <c r="I95" s="82" t="s">
        <v>126</v>
      </c>
      <c r="J95" s="135" t="s">
        <v>211</v>
      </c>
      <c r="K95" s="135" t="s">
        <v>208</v>
      </c>
      <c r="L95" s="123"/>
      <c r="M95" s="125"/>
      <c r="N95" s="125" t="s">
        <v>115</v>
      </c>
      <c r="O95" s="132"/>
      <c r="P95" s="132"/>
      <c r="Q95" s="132"/>
      <c r="R95" s="132"/>
      <c r="S95" s="132"/>
    </row>
    <row r="96" spans="1:19" ht="111" customHeight="1" x14ac:dyDescent="0.35">
      <c r="A96" s="140">
        <v>30</v>
      </c>
      <c r="B96" s="131"/>
      <c r="C96" s="91">
        <v>64</v>
      </c>
      <c r="D96" s="134" t="str">
        <f>'[1]INPUT EQUIPMENT'!B79</f>
        <v>BC 5.2</v>
      </c>
      <c r="E96" s="88" t="s">
        <v>54</v>
      </c>
      <c r="F96" s="88">
        <v>2.91</v>
      </c>
      <c r="G96" s="88" t="s">
        <v>54</v>
      </c>
      <c r="H96" s="88">
        <v>3.72</v>
      </c>
      <c r="I96" s="82" t="s">
        <v>126</v>
      </c>
      <c r="J96" s="135" t="s">
        <v>212</v>
      </c>
      <c r="K96" s="135" t="s">
        <v>210</v>
      </c>
      <c r="L96" s="123"/>
      <c r="M96" s="125"/>
      <c r="N96" s="125" t="s">
        <v>116</v>
      </c>
      <c r="O96" s="132"/>
      <c r="P96" s="132"/>
      <c r="Q96" s="132"/>
      <c r="R96" s="132"/>
      <c r="S96" s="132"/>
    </row>
    <row r="97" spans="1:19" ht="112.5" x14ac:dyDescent="0.35">
      <c r="A97" s="140">
        <v>31</v>
      </c>
      <c r="B97" s="131"/>
      <c r="C97" s="91">
        <v>65</v>
      </c>
      <c r="D97" s="134" t="str">
        <f>'[1]INPUT EQUIPMENT'!B80</f>
        <v>BC 7.1</v>
      </c>
      <c r="E97" s="88" t="s">
        <v>52</v>
      </c>
      <c r="F97" s="88">
        <v>2.95</v>
      </c>
      <c r="G97" s="88" t="s">
        <v>52</v>
      </c>
      <c r="H97" s="88">
        <v>3.43</v>
      </c>
      <c r="I97" s="82" t="s">
        <v>126</v>
      </c>
      <c r="J97" s="135" t="s">
        <v>213</v>
      </c>
      <c r="K97" s="135" t="s">
        <v>210</v>
      </c>
      <c r="L97" s="123"/>
      <c r="M97" s="125"/>
      <c r="N97" s="125" t="s">
        <v>115</v>
      </c>
      <c r="O97" s="132"/>
      <c r="P97" s="132"/>
      <c r="Q97" s="132"/>
      <c r="R97" s="132"/>
      <c r="S97" s="132"/>
    </row>
    <row r="98" spans="1:19" ht="137.5" customHeight="1" x14ac:dyDescent="0.35">
      <c r="A98" s="140">
        <v>32</v>
      </c>
      <c r="B98" s="131"/>
      <c r="C98" s="91">
        <v>66</v>
      </c>
      <c r="D98" s="134" t="str">
        <f>'[1]INPUT EQUIPMENT'!B81</f>
        <v>BC 7. 2</v>
      </c>
      <c r="E98" s="88" t="s">
        <v>50</v>
      </c>
      <c r="F98" s="88">
        <v>3.89</v>
      </c>
      <c r="G98" s="88" t="s">
        <v>50</v>
      </c>
      <c r="H98" s="88">
        <v>3.01</v>
      </c>
      <c r="I98" s="82" t="s">
        <v>126</v>
      </c>
      <c r="J98" s="135" t="s">
        <v>214</v>
      </c>
      <c r="K98" s="135" t="s">
        <v>210</v>
      </c>
      <c r="L98" s="123"/>
      <c r="M98" s="125"/>
      <c r="N98" s="125" t="s">
        <v>116</v>
      </c>
      <c r="O98" s="132"/>
      <c r="P98" s="132"/>
      <c r="Q98" s="132"/>
      <c r="R98" s="132"/>
      <c r="S98" s="132"/>
    </row>
    <row r="99" spans="1:19" ht="112.5" x14ac:dyDescent="0.35">
      <c r="A99" s="140">
        <v>33</v>
      </c>
      <c r="B99" s="131"/>
      <c r="C99" s="91">
        <v>67</v>
      </c>
      <c r="D99" s="134" t="str">
        <f>'[1]INPUT EQUIPMENT'!B82</f>
        <v>BC 8.1</v>
      </c>
      <c r="E99" s="88" t="s">
        <v>56</v>
      </c>
      <c r="F99" s="88">
        <v>3.62</v>
      </c>
      <c r="G99" s="88" t="s">
        <v>56</v>
      </c>
      <c r="H99" s="88">
        <v>3.21</v>
      </c>
      <c r="I99" s="82" t="s">
        <v>126</v>
      </c>
      <c r="J99" s="135" t="s">
        <v>215</v>
      </c>
      <c r="K99" s="135" t="s">
        <v>216</v>
      </c>
      <c r="L99" s="123"/>
      <c r="M99" s="125"/>
      <c r="N99" s="125" t="s">
        <v>115</v>
      </c>
      <c r="O99" s="132"/>
      <c r="P99" s="132"/>
      <c r="Q99" s="132"/>
      <c r="R99" s="132"/>
      <c r="S99" s="132"/>
    </row>
    <row r="100" spans="1:19" ht="112.5" x14ac:dyDescent="0.35">
      <c r="A100" s="140">
        <v>34</v>
      </c>
      <c r="B100" s="131"/>
      <c r="C100" s="91">
        <v>68</v>
      </c>
      <c r="D100" s="134" t="str">
        <f>'[1]INPUT EQUIPMENT'!B83</f>
        <v>BC 8.2</v>
      </c>
      <c r="E100" s="88" t="s">
        <v>46</v>
      </c>
      <c r="F100" s="88">
        <v>3.48</v>
      </c>
      <c r="G100" s="88" t="s">
        <v>46</v>
      </c>
      <c r="H100" s="88">
        <v>3.75</v>
      </c>
      <c r="I100" s="82" t="s">
        <v>126</v>
      </c>
      <c r="J100" s="135" t="s">
        <v>217</v>
      </c>
      <c r="K100" s="135" t="s">
        <v>210</v>
      </c>
      <c r="L100" s="123"/>
      <c r="M100" s="125"/>
      <c r="N100" s="125" t="s">
        <v>116</v>
      </c>
      <c r="O100" s="132"/>
      <c r="P100" s="132"/>
      <c r="Q100" s="132"/>
      <c r="R100" s="132"/>
      <c r="S100" s="132"/>
    </row>
    <row r="101" spans="1:19" ht="112.5" x14ac:dyDescent="0.35">
      <c r="A101" s="140">
        <v>35</v>
      </c>
      <c r="B101" s="131"/>
      <c r="C101" s="91">
        <v>69</v>
      </c>
      <c r="D101" s="134" t="str">
        <f>'[1]INPUT EQUIPMENT'!B84</f>
        <v>BC 10.1</v>
      </c>
      <c r="E101" s="88" t="s">
        <v>46</v>
      </c>
      <c r="F101" s="88">
        <v>4.33</v>
      </c>
      <c r="G101" s="88" t="s">
        <v>46</v>
      </c>
      <c r="H101" s="88">
        <v>3.47</v>
      </c>
      <c r="I101" s="82" t="s">
        <v>126</v>
      </c>
      <c r="J101" s="135" t="s">
        <v>218</v>
      </c>
      <c r="K101" s="135" t="s">
        <v>216</v>
      </c>
      <c r="L101" s="123"/>
      <c r="M101" s="125"/>
      <c r="N101" s="125" t="s">
        <v>115</v>
      </c>
      <c r="O101" s="132"/>
      <c r="P101" s="132"/>
      <c r="Q101" s="132"/>
      <c r="R101" s="132"/>
      <c r="S101" s="132"/>
    </row>
    <row r="102" spans="1:19" ht="112.5" x14ac:dyDescent="0.35">
      <c r="A102" s="140">
        <v>36</v>
      </c>
      <c r="B102" s="131"/>
      <c r="C102" s="91">
        <v>70</v>
      </c>
      <c r="D102" s="134" t="str">
        <f>'[1]INPUT EQUIPMENT'!B85</f>
        <v>BC 10.2</v>
      </c>
      <c r="E102" s="88" t="s">
        <v>51</v>
      </c>
      <c r="F102" s="88">
        <v>4.0999999999999996</v>
      </c>
      <c r="G102" s="88" t="s">
        <v>51</v>
      </c>
      <c r="H102" s="88">
        <v>4.34</v>
      </c>
      <c r="I102" s="82" t="s">
        <v>126</v>
      </c>
      <c r="J102" s="135" t="s">
        <v>219</v>
      </c>
      <c r="K102" s="135" t="s">
        <v>210</v>
      </c>
      <c r="L102" s="123"/>
      <c r="M102" s="125"/>
      <c r="N102" s="125" t="s">
        <v>116</v>
      </c>
      <c r="O102" s="132"/>
      <c r="P102" s="132"/>
      <c r="Q102" s="132"/>
      <c r="R102" s="132"/>
      <c r="S102" s="132"/>
    </row>
    <row r="103" spans="1:19" ht="111" customHeight="1" x14ac:dyDescent="0.35">
      <c r="A103" s="140">
        <v>37</v>
      </c>
      <c r="B103" s="131"/>
      <c r="C103" s="91">
        <v>71</v>
      </c>
      <c r="D103" s="134" t="str">
        <f>'[1]INPUT EQUIPMENT'!B86</f>
        <v>ROLLER SCREEN 1</v>
      </c>
      <c r="E103" s="88" t="s">
        <v>46</v>
      </c>
      <c r="F103" s="88">
        <v>10.97</v>
      </c>
      <c r="G103" s="88" t="s">
        <v>46</v>
      </c>
      <c r="H103" s="88">
        <v>8.2100000000000009</v>
      </c>
      <c r="I103" s="82" t="s">
        <v>136</v>
      </c>
      <c r="J103" s="135" t="s">
        <v>220</v>
      </c>
      <c r="K103" s="135" t="s">
        <v>216</v>
      </c>
      <c r="L103" s="123"/>
      <c r="M103" s="125"/>
      <c r="N103" s="125" t="s">
        <v>115</v>
      </c>
      <c r="O103" s="132"/>
      <c r="P103" s="132"/>
      <c r="Q103" s="132"/>
      <c r="R103" s="132"/>
      <c r="S103" s="132"/>
    </row>
    <row r="104" spans="1:19" ht="111" customHeight="1" x14ac:dyDescent="0.35">
      <c r="A104" s="140">
        <v>38</v>
      </c>
      <c r="B104" s="131"/>
      <c r="C104" s="91">
        <v>72</v>
      </c>
      <c r="D104" s="134" t="str">
        <f>'[1]INPUT EQUIPMENT'!B87</f>
        <v>ROLLER SCREEN 2</v>
      </c>
      <c r="E104" s="88" t="s">
        <v>46</v>
      </c>
      <c r="F104" s="88">
        <v>7.12</v>
      </c>
      <c r="G104" s="88" t="s">
        <v>46</v>
      </c>
      <c r="H104" s="88">
        <v>6.43</v>
      </c>
      <c r="I104" s="82" t="s">
        <v>126</v>
      </c>
      <c r="J104" s="135" t="s">
        <v>221</v>
      </c>
      <c r="K104" s="135" t="s">
        <v>216</v>
      </c>
      <c r="L104" s="123"/>
      <c r="M104" s="125"/>
      <c r="N104" s="125" t="s">
        <v>116</v>
      </c>
      <c r="O104" s="132"/>
      <c r="P104" s="132"/>
      <c r="Q104" s="132"/>
      <c r="R104" s="132"/>
      <c r="S104" s="132"/>
    </row>
    <row r="105" spans="1:19" hidden="1" x14ac:dyDescent="0.35">
      <c r="A105" s="140">
        <v>39</v>
      </c>
      <c r="B105" s="131"/>
      <c r="C105" s="91">
        <v>73</v>
      </c>
      <c r="D105" s="134" t="str">
        <f>'[1]INPUT EQUIPMENT'!B90</f>
        <v>VIBRATING FEEDER 1</v>
      </c>
      <c r="E105" s="88" t="s">
        <v>46</v>
      </c>
      <c r="F105" s="88" t="e">
        <v>#REF!</v>
      </c>
      <c r="G105" s="88" t="s">
        <v>46</v>
      </c>
      <c r="H105" s="88" t="e">
        <v>#REF!</v>
      </c>
      <c r="I105" s="82" t="e">
        <v>#REF!</v>
      </c>
      <c r="J105" s="135"/>
      <c r="K105" s="135"/>
      <c r="L105" s="123"/>
      <c r="M105" s="125"/>
      <c r="N105" s="125"/>
      <c r="O105" s="132"/>
      <c r="P105" s="132"/>
      <c r="Q105" s="132"/>
      <c r="R105" s="132"/>
      <c r="S105" s="132"/>
    </row>
    <row r="106" spans="1:19" hidden="1" x14ac:dyDescent="0.35">
      <c r="A106" s="140">
        <v>40</v>
      </c>
      <c r="B106" s="131"/>
      <c r="C106" s="91">
        <v>74</v>
      </c>
      <c r="D106" s="134" t="str">
        <f>'[1]INPUT EQUIPMENT'!B91</f>
        <v>VIBRATING FEEDER 2</v>
      </c>
      <c r="E106" s="88"/>
      <c r="F106" s="88" t="e">
        <v>#REF!</v>
      </c>
      <c r="G106" s="88"/>
      <c r="H106" s="88" t="e">
        <v>#REF!</v>
      </c>
      <c r="I106" s="82" t="e">
        <v>#REF!</v>
      </c>
      <c r="J106" s="135"/>
      <c r="K106" s="135"/>
      <c r="L106" s="123"/>
      <c r="M106" s="125"/>
      <c r="N106" s="125"/>
      <c r="O106" s="132"/>
      <c r="P106" s="132"/>
      <c r="Q106" s="132"/>
      <c r="R106" s="132"/>
      <c r="S106" s="132"/>
    </row>
    <row r="107" spans="1:19" ht="100" customHeight="1" x14ac:dyDescent="0.35">
      <c r="A107" s="140">
        <v>41</v>
      </c>
      <c r="B107" s="131"/>
      <c r="C107" s="91">
        <v>75</v>
      </c>
      <c r="D107" s="134" t="str">
        <f>'[1]INPUT EQUIPMENT'!B88</f>
        <v>Motor Crusser 185kW 1</v>
      </c>
      <c r="E107" s="88" t="s">
        <v>47</v>
      </c>
      <c r="F107" s="88">
        <v>8.06</v>
      </c>
      <c r="G107" s="88" t="s">
        <v>47</v>
      </c>
      <c r="H107" s="88">
        <v>7.85</v>
      </c>
      <c r="I107" s="82" t="s">
        <v>222</v>
      </c>
      <c r="J107" s="135" t="s">
        <v>223</v>
      </c>
      <c r="K107" s="135" t="s">
        <v>216</v>
      </c>
      <c r="L107" s="123"/>
      <c r="M107" s="125"/>
      <c r="N107" s="125" t="s">
        <v>115</v>
      </c>
      <c r="O107" s="132"/>
      <c r="P107" s="132"/>
      <c r="Q107" s="132"/>
      <c r="R107" s="132"/>
      <c r="S107" s="132"/>
    </row>
    <row r="108" spans="1:19" ht="112.5" x14ac:dyDescent="0.35">
      <c r="A108" s="140">
        <v>42</v>
      </c>
      <c r="B108" s="131"/>
      <c r="C108" s="91">
        <v>76</v>
      </c>
      <c r="D108" s="134" t="str">
        <f>'[1]INPUT EQUIPMENT'!B89</f>
        <v>Motor Crusser 185kW 2</v>
      </c>
      <c r="E108" s="88" t="s">
        <v>47</v>
      </c>
      <c r="F108" s="88">
        <v>5.42</v>
      </c>
      <c r="G108" s="88" t="s">
        <v>47</v>
      </c>
      <c r="H108" s="88">
        <v>4.74</v>
      </c>
      <c r="I108" s="82" t="s">
        <v>126</v>
      </c>
      <c r="J108" s="135" t="s">
        <v>224</v>
      </c>
      <c r="K108" s="135" t="s">
        <v>216</v>
      </c>
      <c r="L108" s="123"/>
      <c r="M108" s="125"/>
      <c r="N108" s="125" t="s">
        <v>116</v>
      </c>
      <c r="O108" s="132"/>
      <c r="P108" s="132"/>
      <c r="Q108" s="132"/>
      <c r="R108" s="132"/>
      <c r="S108" s="132"/>
    </row>
    <row r="109" spans="1:19" ht="15" hidden="1" customHeight="1" x14ac:dyDescent="0.35">
      <c r="A109" s="133">
        <v>64</v>
      </c>
      <c r="B109" s="131"/>
      <c r="C109" s="88">
        <v>64</v>
      </c>
      <c r="D109" s="89" t="str">
        <f>'[1]INPUT EQUIPMENT'!B92</f>
        <v>Compressor For Instrument 1#1</v>
      </c>
      <c r="E109" s="147"/>
      <c r="F109" s="88">
        <v>1.19</v>
      </c>
      <c r="G109" s="148"/>
      <c r="H109" s="88"/>
      <c r="I109" s="88"/>
      <c r="J109" s="135"/>
      <c r="K109" s="135"/>
      <c r="L109" s="123"/>
      <c r="M109" s="118"/>
      <c r="N109" s="118"/>
      <c r="O109" s="117"/>
      <c r="P109" s="117"/>
      <c r="Q109" s="117"/>
      <c r="R109" s="117"/>
      <c r="S109" s="117"/>
    </row>
    <row r="110" spans="1:19" ht="15" hidden="1" customHeight="1" x14ac:dyDescent="0.35">
      <c r="A110" s="133">
        <v>65</v>
      </c>
      <c r="B110" s="131"/>
      <c r="C110" s="88">
        <v>65</v>
      </c>
      <c r="D110" s="89" t="str">
        <f>'[1]INPUT EQUIPMENT'!B93</f>
        <v>Compressor For Instrument 2#1</v>
      </c>
      <c r="E110" s="147"/>
      <c r="F110" s="88"/>
      <c r="G110" s="148" t="s">
        <v>47</v>
      </c>
      <c r="H110" s="88"/>
      <c r="I110" s="88"/>
      <c r="J110" s="135"/>
      <c r="K110" s="135"/>
      <c r="L110" s="123"/>
      <c r="M110" s="118"/>
      <c r="N110" s="118"/>
      <c r="O110" s="117"/>
      <c r="P110" s="117"/>
      <c r="Q110" s="117"/>
      <c r="R110" s="117"/>
      <c r="S110" s="117"/>
    </row>
    <row r="111" spans="1:19" ht="15" hidden="1" customHeight="1" x14ac:dyDescent="0.35">
      <c r="A111" s="133">
        <v>66</v>
      </c>
      <c r="B111" s="131"/>
      <c r="C111" s="88">
        <v>66</v>
      </c>
      <c r="D111" s="89" t="str">
        <f>'[1]INPUT EQUIPMENT'!B94</f>
        <v>Compressor For Instrument 3#1</v>
      </c>
      <c r="E111" s="147"/>
      <c r="F111" s="88"/>
      <c r="G111" s="148"/>
      <c r="H111" s="88"/>
      <c r="I111" s="88"/>
      <c r="J111" s="135"/>
      <c r="K111" s="135"/>
      <c r="L111" s="123"/>
      <c r="M111" s="118"/>
      <c r="N111" s="118"/>
      <c r="O111" s="117"/>
      <c r="P111" s="117"/>
      <c r="Q111" s="117"/>
      <c r="R111" s="117"/>
      <c r="S111" s="117"/>
    </row>
    <row r="112" spans="1:19" ht="15" hidden="1" customHeight="1" x14ac:dyDescent="0.35">
      <c r="A112" s="133">
        <v>67</v>
      </c>
      <c r="B112" s="131"/>
      <c r="C112" s="88">
        <v>67</v>
      </c>
      <c r="D112" s="89" t="str">
        <f>'[1]INPUT EQUIPMENT'!B95</f>
        <v>Compressor For Ash Handling 1#1</v>
      </c>
      <c r="E112" s="147"/>
      <c r="F112" s="88"/>
      <c r="G112" s="148"/>
      <c r="H112" s="88"/>
      <c r="I112" s="88"/>
      <c r="J112" s="135"/>
      <c r="K112" s="135"/>
      <c r="L112" s="123"/>
      <c r="M112" s="118"/>
      <c r="N112" s="118"/>
      <c r="O112" s="117"/>
      <c r="P112" s="117"/>
      <c r="Q112" s="117"/>
      <c r="R112" s="117"/>
      <c r="S112" s="117"/>
    </row>
    <row r="113" spans="1:12" ht="15" hidden="1" customHeight="1" x14ac:dyDescent="0.35">
      <c r="A113" s="133">
        <v>68</v>
      </c>
      <c r="B113" s="131"/>
      <c r="C113" s="88">
        <v>68</v>
      </c>
      <c r="D113" s="89" t="str">
        <f>'[1]INPUT EQUIPMENT'!B96</f>
        <v>Compressor For Ash Handling 2#1</v>
      </c>
      <c r="E113" s="147"/>
      <c r="F113" s="88"/>
      <c r="G113" s="148"/>
      <c r="H113" s="88"/>
      <c r="I113" s="88"/>
      <c r="J113" s="135"/>
      <c r="K113" s="135"/>
      <c r="L113" s="123"/>
    </row>
    <row r="114" spans="1:12" ht="15" hidden="1" customHeight="1" x14ac:dyDescent="0.35">
      <c r="A114" s="133">
        <v>69</v>
      </c>
      <c r="B114" s="131"/>
      <c r="C114" s="88">
        <v>69</v>
      </c>
      <c r="D114" s="89" t="str">
        <f>'[1]INPUT EQUIPMENT'!B97</f>
        <v>Compressor For Ash Handling 3#1</v>
      </c>
      <c r="E114" s="147"/>
      <c r="F114" s="88"/>
      <c r="G114" s="148"/>
      <c r="H114" s="88"/>
      <c r="I114" s="88"/>
      <c r="J114" s="135"/>
      <c r="K114" s="135"/>
      <c r="L114" s="123"/>
    </row>
    <row r="115" spans="1:12" ht="15" hidden="1" customHeight="1" x14ac:dyDescent="0.35">
      <c r="A115" s="133">
        <v>70</v>
      </c>
      <c r="B115" s="131"/>
      <c r="C115" s="88">
        <v>70</v>
      </c>
      <c r="D115" s="89" t="str">
        <f>'[1]INPUT EQUIPMENT'!B98</f>
        <v>Compressor For Service 1#1</v>
      </c>
      <c r="E115" s="147"/>
      <c r="F115" s="88"/>
      <c r="G115" s="148"/>
      <c r="H115" s="88"/>
      <c r="I115" s="88"/>
      <c r="J115" s="135"/>
      <c r="K115" s="135"/>
      <c r="L115" s="123"/>
    </row>
    <row r="116" spans="1:12" ht="15" hidden="1" customHeight="1" x14ac:dyDescent="0.35">
      <c r="A116" s="133">
        <v>71</v>
      </c>
      <c r="B116" s="131"/>
      <c r="C116" s="88">
        <v>71</v>
      </c>
      <c r="D116" s="89" t="str">
        <f>'[1]INPUT EQUIPMENT'!B99</f>
        <v>Compressor For Service 2#1</v>
      </c>
      <c r="E116" s="147"/>
      <c r="F116" s="88"/>
      <c r="G116" s="148"/>
      <c r="H116" s="88"/>
      <c r="I116" s="88"/>
      <c r="J116" s="135"/>
      <c r="K116" s="135"/>
      <c r="L116" s="123"/>
    </row>
    <row r="117" spans="1:12" hidden="1" x14ac:dyDescent="0.35">
      <c r="A117" s="133">
        <v>72</v>
      </c>
      <c r="B117" s="131"/>
      <c r="C117" s="88">
        <v>72</v>
      </c>
      <c r="D117" s="89" t="str">
        <f>'[1]INPUT EQUIPMENT'!B100</f>
        <v>Compressor For Service 3#1</v>
      </c>
      <c r="E117" s="147"/>
      <c r="F117" s="88"/>
      <c r="G117" s="148"/>
      <c r="H117" s="88"/>
      <c r="I117" s="88"/>
      <c r="J117" s="88"/>
      <c r="K117" s="88"/>
      <c r="L117" s="123"/>
    </row>
    <row r="118" spans="1:12" x14ac:dyDescent="0.35">
      <c r="A118" s="117"/>
      <c r="B118" s="149"/>
      <c r="C118" s="150"/>
      <c r="D118" s="150"/>
      <c r="E118" s="150"/>
      <c r="F118" s="151"/>
      <c r="G118" s="152"/>
      <c r="H118" s="151"/>
      <c r="I118" s="151"/>
      <c r="J118" s="151"/>
      <c r="K118" s="151"/>
      <c r="L118" s="153"/>
    </row>
    <row r="119" spans="1:12" x14ac:dyDescent="0.35">
      <c r="A119" s="117"/>
      <c r="B119" s="117"/>
      <c r="C119" s="117"/>
      <c r="D119" s="117"/>
      <c r="E119" s="117"/>
      <c r="F119" s="118"/>
      <c r="G119" s="154"/>
      <c r="H119" s="118"/>
      <c r="I119" s="118"/>
      <c r="J119" s="118"/>
      <c r="K119" s="118"/>
      <c r="L119" s="117"/>
    </row>
    <row r="120" spans="1:12" hidden="1" x14ac:dyDescent="0.35">
      <c r="A120" s="117"/>
      <c r="B120" s="117"/>
      <c r="C120" s="117"/>
      <c r="D120" s="117"/>
      <c r="E120" s="117"/>
      <c r="F120" s="118"/>
      <c r="G120" s="154"/>
      <c r="H120" s="118"/>
      <c r="I120" s="118"/>
      <c r="J120" s="118"/>
      <c r="K120" s="118"/>
      <c r="L120" s="117"/>
    </row>
    <row r="121" spans="1:12" x14ac:dyDescent="0.35">
      <c r="A121" s="117"/>
      <c r="B121" s="117"/>
      <c r="C121" s="117"/>
      <c r="D121" s="117"/>
      <c r="E121" s="117"/>
      <c r="F121" s="118"/>
      <c r="G121" s="154"/>
      <c r="H121" s="118"/>
      <c r="I121" s="118"/>
      <c r="J121" s="118"/>
      <c r="K121" s="118"/>
      <c r="L121" s="117"/>
    </row>
  </sheetData>
  <mergeCells count="19">
    <mergeCell ref="S7:S8"/>
    <mergeCell ref="K7:K8"/>
    <mergeCell ref="N7:N8"/>
    <mergeCell ref="O7:O8"/>
    <mergeCell ref="P7:P8"/>
    <mergeCell ref="Q7:Q8"/>
    <mergeCell ref="R7:R8"/>
    <mergeCell ref="C7:C8"/>
    <mergeCell ref="D7:D8"/>
    <mergeCell ref="E7:F7"/>
    <mergeCell ref="G7:H7"/>
    <mergeCell ref="I7:I8"/>
    <mergeCell ref="J7:J8"/>
    <mergeCell ref="B1:D4"/>
    <mergeCell ref="E1:J1"/>
    <mergeCell ref="E2:J2"/>
    <mergeCell ref="E3:J3"/>
    <mergeCell ref="E4:J4"/>
    <mergeCell ref="B5:L5"/>
  </mergeCells>
  <conditionalFormatting sqref="E58:E62 G57:G83 G88:G90">
    <cfRule type="expression" dxfId="87" priority="78">
      <formula>"0&gt;$E$141+$E$141&lt;2.4"</formula>
    </cfRule>
  </conditionalFormatting>
  <conditionalFormatting sqref="E64:E67">
    <cfRule type="expression" dxfId="86" priority="77">
      <formula>"0&gt;$E$141+$E$141&lt;2.4"</formula>
    </cfRule>
  </conditionalFormatting>
  <conditionalFormatting sqref="E69:E70">
    <cfRule type="expression" dxfId="85" priority="76">
      <formula>"0&gt;$E$141+$E$141&lt;2.4"</formula>
    </cfRule>
  </conditionalFormatting>
  <conditionalFormatting sqref="E72:E74">
    <cfRule type="expression" dxfId="84" priority="75">
      <formula>"0&gt;$E$141+$E$141&lt;2.4"</formula>
    </cfRule>
  </conditionalFormatting>
  <conditionalFormatting sqref="E77:E78">
    <cfRule type="expression" dxfId="83" priority="81">
      <formula>"0&gt;$E$141+$E$141&lt;2.4"</formula>
    </cfRule>
  </conditionalFormatting>
  <conditionalFormatting sqref="E89">
    <cfRule type="expression" dxfId="82" priority="80">
      <formula>"0&gt;$E$141+$E$141&lt;2.4"</formula>
    </cfRule>
  </conditionalFormatting>
  <conditionalFormatting sqref="G9">
    <cfRule type="expression" dxfId="81" priority="82">
      <formula>"0&gt;$E$141+$E$141&lt;2.4"</formula>
    </cfRule>
  </conditionalFormatting>
  <conditionalFormatting sqref="G36">
    <cfRule type="expression" dxfId="80" priority="57">
      <formula>"0&gt;$E$141+$E$141&lt;2.4"</formula>
    </cfRule>
  </conditionalFormatting>
  <conditionalFormatting sqref="G91">
    <cfRule type="expression" dxfId="79" priority="84">
      <formula>"0&gt;$E$141+$E$141&lt;2.4"</formula>
    </cfRule>
  </conditionalFormatting>
  <conditionalFormatting sqref="I16:I20 I88:I90">
    <cfRule type="cellIs" dxfId="78" priority="61" operator="equal">
      <formula>"ALARAM"</formula>
    </cfRule>
  </conditionalFormatting>
  <conditionalFormatting sqref="I23:I24">
    <cfRule type="cellIs" dxfId="77" priority="74" operator="equal">
      <formula>"ALARAM"</formula>
    </cfRule>
  </conditionalFormatting>
  <conditionalFormatting sqref="I27:I29">
    <cfRule type="cellIs" dxfId="76" priority="65" operator="equal">
      <formula>"ALARAM"</formula>
    </cfRule>
  </conditionalFormatting>
  <conditionalFormatting sqref="I91">
    <cfRule type="cellIs" dxfId="75" priority="83" operator="equal">
      <formula>"ALARAM"</formula>
    </cfRule>
  </conditionalFormatting>
  <conditionalFormatting sqref="I93:I108 J83:K83 I88:K90">
    <cfRule type="cellIs" dxfId="74" priority="66" operator="equal">
      <formula>"ALARM"</formula>
    </cfRule>
    <cfRule type="cellIs" dxfId="73" priority="67" operator="equal">
      <formula>"WARNING"</formula>
    </cfRule>
    <cfRule type="cellIs" dxfId="72" priority="68" operator="equal">
      <formula>"PREWARNING"</formula>
    </cfRule>
    <cfRule type="cellIs" dxfId="71" priority="69" operator="equal">
      <formula>"NORMAL"</formula>
    </cfRule>
  </conditionalFormatting>
  <conditionalFormatting sqref="I103:I106">
    <cfRule type="cellIs" dxfId="70" priority="79" operator="equal">
      <formula>"ALARAM"</formula>
    </cfRule>
  </conditionalFormatting>
  <conditionalFormatting sqref="I10:K29 J32:K32">
    <cfRule type="cellIs" dxfId="69" priority="60" operator="equal">
      <formula>"ALARM"</formula>
    </cfRule>
    <cfRule type="cellIs" dxfId="68" priority="62" operator="equal">
      <formula>"WARNING"</formula>
    </cfRule>
    <cfRule type="cellIs" dxfId="67" priority="63" operator="equal">
      <formula>"PREWARNING"</formula>
    </cfRule>
    <cfRule type="cellIs" dxfId="66" priority="64" operator="equal">
      <formula>"NORMAL"</formula>
    </cfRule>
  </conditionalFormatting>
  <conditionalFormatting sqref="J37:K51 J53:K54">
    <cfRule type="cellIs" dxfId="65" priority="53" operator="equal">
      <formula>"ALARM"</formula>
    </cfRule>
    <cfRule type="cellIs" dxfId="64" priority="54" operator="equal">
      <formula>"WARNING"</formula>
    </cfRule>
    <cfRule type="cellIs" dxfId="63" priority="55" operator="equal">
      <formula>"PREWARNING"</formula>
    </cfRule>
    <cfRule type="cellIs" dxfId="62" priority="56" operator="equal">
      <formula>"NORMAL"</formula>
    </cfRule>
  </conditionalFormatting>
  <conditionalFormatting sqref="I91:K91 J58:K82">
    <cfRule type="cellIs" dxfId="61" priority="70" operator="equal">
      <formula>"ALARM"</formula>
    </cfRule>
    <cfRule type="cellIs" dxfId="60" priority="71" operator="equal">
      <formula>"WARNING"</formula>
    </cfRule>
    <cfRule type="cellIs" dxfId="59" priority="72" operator="equal">
      <formula>"PREWARNING"</formula>
    </cfRule>
    <cfRule type="cellIs" dxfId="58" priority="73" operator="equal">
      <formula>"NORMAL"</formula>
    </cfRule>
  </conditionalFormatting>
  <conditionalFormatting sqref="J93:K116">
    <cfRule type="cellIs" dxfId="57" priority="85" operator="equal">
      <formula>"ALARM"</formula>
    </cfRule>
    <cfRule type="cellIs" dxfId="56" priority="86" operator="equal">
      <formula>"WARNING"</formula>
    </cfRule>
    <cfRule type="cellIs" dxfId="55" priority="87" operator="equal">
      <formula>"PREWARNING"</formula>
    </cfRule>
    <cfRule type="cellIs" dxfId="54" priority="88" operator="equal">
      <formula>"NORMAL"</formula>
    </cfRule>
  </conditionalFormatting>
  <conditionalFormatting sqref="P12">
    <cfRule type="duplicateValues" dxfId="53" priority="58"/>
  </conditionalFormatting>
  <conditionalFormatting sqref="P39">
    <cfRule type="duplicateValues" dxfId="52" priority="52"/>
  </conditionalFormatting>
  <conditionalFormatting sqref="Q29">
    <cfRule type="duplicateValues" dxfId="51" priority="59"/>
  </conditionalFormatting>
  <conditionalFormatting sqref="I30:I31">
    <cfRule type="cellIs" dxfId="50" priority="51" operator="equal">
      <formula>"ALARAM"</formula>
    </cfRule>
  </conditionalFormatting>
  <conditionalFormatting sqref="I30:K31">
    <cfRule type="cellIs" dxfId="49" priority="47" operator="equal">
      <formula>"ALARM"</formula>
    </cfRule>
    <cfRule type="cellIs" dxfId="48" priority="48" operator="equal">
      <formula>"WARNING"</formula>
    </cfRule>
    <cfRule type="cellIs" dxfId="47" priority="49" operator="equal">
      <formula>"PREWARNING"</formula>
    </cfRule>
    <cfRule type="cellIs" dxfId="46" priority="50" operator="equal">
      <formula>"NORMAL"</formula>
    </cfRule>
  </conditionalFormatting>
  <conditionalFormatting sqref="J56:K56">
    <cfRule type="cellIs" dxfId="45" priority="43" operator="equal">
      <formula>"ALARM"</formula>
    </cfRule>
    <cfRule type="cellIs" dxfId="44" priority="44" operator="equal">
      <formula>"WARNING"</formula>
    </cfRule>
    <cfRule type="cellIs" dxfId="43" priority="45" operator="equal">
      <formula>"PREWARNING"</formula>
    </cfRule>
    <cfRule type="cellIs" dxfId="42" priority="46" operator="equal">
      <formula>"NORMAL"</formula>
    </cfRule>
  </conditionalFormatting>
  <conditionalFormatting sqref="J55:K55">
    <cfRule type="cellIs" dxfId="41" priority="39" operator="equal">
      <formula>"ALARM"</formula>
    </cfRule>
    <cfRule type="cellIs" dxfId="40" priority="40" operator="equal">
      <formula>"WARNING"</formula>
    </cfRule>
    <cfRule type="cellIs" dxfId="39" priority="41" operator="equal">
      <formula>"PREWARNING"</formula>
    </cfRule>
    <cfRule type="cellIs" dxfId="38" priority="42" operator="equal">
      <formula>"NORMAL"</formula>
    </cfRule>
  </conditionalFormatting>
  <conditionalFormatting sqref="G84:G87">
    <cfRule type="expression" dxfId="37" priority="38">
      <formula>"0&gt;$E$141+$E$141&lt;2.4"</formula>
    </cfRule>
  </conditionalFormatting>
  <conditionalFormatting sqref="J84:K87">
    <cfRule type="cellIs" dxfId="36" priority="34" operator="equal">
      <formula>"ALARM"</formula>
    </cfRule>
    <cfRule type="cellIs" dxfId="35" priority="35" operator="equal">
      <formula>"WARNING"</formula>
    </cfRule>
    <cfRule type="cellIs" dxfId="34" priority="36" operator="equal">
      <formula>"PREWARNING"</formula>
    </cfRule>
    <cfRule type="cellIs" dxfId="33" priority="37" operator="equal">
      <formula>"NORMAL"</formula>
    </cfRule>
  </conditionalFormatting>
  <conditionalFormatting sqref="I32">
    <cfRule type="cellIs" dxfId="32" priority="33" operator="equal">
      <formula>"ALARAM"</formula>
    </cfRule>
  </conditionalFormatting>
  <conditionalFormatting sqref="I32">
    <cfRule type="cellIs" dxfId="31" priority="29" operator="equal">
      <formula>"ALARM"</formula>
    </cfRule>
    <cfRule type="cellIs" dxfId="30" priority="30" operator="equal">
      <formula>"WARNING"</formula>
    </cfRule>
    <cfRule type="cellIs" dxfId="29" priority="31" operator="equal">
      <formula>"PREWARNING"</formula>
    </cfRule>
    <cfRule type="cellIs" dxfId="28" priority="32" operator="equal">
      <formula>"NORMAL"</formula>
    </cfRule>
  </conditionalFormatting>
  <conditionalFormatting sqref="I37:I51 I53:I87">
    <cfRule type="cellIs" dxfId="27" priority="28" operator="equal">
      <formula>"ALARAM"</formula>
    </cfRule>
  </conditionalFormatting>
  <conditionalFormatting sqref="I37:I51 I53:I87">
    <cfRule type="cellIs" dxfId="26" priority="24" operator="equal">
      <formula>"ALARM"</formula>
    </cfRule>
    <cfRule type="cellIs" dxfId="25" priority="25" operator="equal">
      <formula>"WARNING"</formula>
    </cfRule>
    <cfRule type="cellIs" dxfId="24" priority="26" operator="equal">
      <formula>"PREWARNING"</formula>
    </cfRule>
    <cfRule type="cellIs" dxfId="23" priority="27" operator="equal">
      <formula>"NORMAL"</formula>
    </cfRule>
  </conditionalFormatting>
  <conditionalFormatting sqref="J33:K35">
    <cfRule type="cellIs" dxfId="22" priority="20" operator="equal">
      <formula>"ALARM"</formula>
    </cfRule>
    <cfRule type="cellIs" dxfId="21" priority="21" operator="equal">
      <formula>"WARNING"</formula>
    </cfRule>
    <cfRule type="cellIs" dxfId="20" priority="22" operator="equal">
      <formula>"PREWARNING"</formula>
    </cfRule>
    <cfRule type="cellIs" dxfId="19" priority="23" operator="equal">
      <formula>"NORMAL"</formula>
    </cfRule>
  </conditionalFormatting>
  <conditionalFormatting sqref="I34:I35">
    <cfRule type="cellIs" dxfId="18" priority="19" operator="equal">
      <formula>"ALARAM"</formula>
    </cfRule>
  </conditionalFormatting>
  <conditionalFormatting sqref="I34:I35">
    <cfRule type="cellIs" dxfId="17" priority="15" operator="equal">
      <formula>"ALARM"</formula>
    </cfRule>
    <cfRule type="cellIs" dxfId="16" priority="16" operator="equal">
      <formula>"WARNING"</formula>
    </cfRule>
    <cfRule type="cellIs" dxfId="15" priority="17" operator="equal">
      <formula>"PREWARNING"</formula>
    </cfRule>
    <cfRule type="cellIs" dxfId="14" priority="18" operator="equal">
      <formula>"NORMAL"</formula>
    </cfRule>
  </conditionalFormatting>
  <conditionalFormatting sqref="I33">
    <cfRule type="cellIs" dxfId="13" priority="14" operator="equal">
      <formula>"ALARAM"</formula>
    </cfRule>
  </conditionalFormatting>
  <conditionalFormatting sqref="I33">
    <cfRule type="cellIs" dxfId="12" priority="10" operator="equal">
      <formula>"ALARM"</formula>
    </cfRule>
    <cfRule type="cellIs" dxfId="11" priority="11" operator="equal">
      <formula>"WARNING"</formula>
    </cfRule>
    <cfRule type="cellIs" dxfId="10" priority="12" operator="equal">
      <formula>"PREWARNING"</formula>
    </cfRule>
    <cfRule type="cellIs" dxfId="9" priority="13" operator="equal">
      <formula>"NORMAL"</formula>
    </cfRule>
  </conditionalFormatting>
  <conditionalFormatting sqref="J52:K52">
    <cfRule type="cellIs" dxfId="8" priority="6" operator="equal">
      <formula>"ALARM"</formula>
    </cfRule>
    <cfRule type="cellIs" dxfId="7" priority="7" operator="equal">
      <formula>"WARNING"</formula>
    </cfRule>
    <cfRule type="cellIs" dxfId="6" priority="8" operator="equal">
      <formula>"PREWARNING"</formula>
    </cfRule>
    <cfRule type="cellIs" dxfId="5" priority="9" operator="equal">
      <formula>"NORMAL"</formula>
    </cfRule>
  </conditionalFormatting>
  <conditionalFormatting sqref="I52">
    <cfRule type="cellIs" dxfId="4" priority="5" operator="equal">
      <formula>"ALARAM"</formula>
    </cfRule>
  </conditionalFormatting>
  <conditionalFormatting sqref="I52">
    <cfRule type="cellIs" dxfId="3" priority="1" operator="equal">
      <formula>"ALARM"</formula>
    </cfRule>
    <cfRule type="cellIs" dxfId="2" priority="2" operator="equal">
      <formula>"WARNING"</formula>
    </cfRule>
    <cfRule type="cellIs" dxfId="1" priority="3" operator="equal">
      <formula>"PREWARNING"</formula>
    </cfRule>
    <cfRule type="cellIs" dxfId="0" priority="4" operator="equal">
      <formula>"NORMAL"</formula>
    </cfRule>
  </conditionalFormatting>
  <hyperlinks>
    <hyperlink ref="D93" r:id="rId1" location="'BC 4.1'!A1" display="00. FORM PENGUKURAN UNIT COMMON.xlsx - 'BC 4.1'!A1"/>
    <hyperlink ref="D94" r:id="rId2" location="'BC 4.2'!A1" display="00. FORM PENGUKURAN UNIT COMMON.xlsx - 'BC 4.2'!A1"/>
    <hyperlink ref="D95" r:id="rId3" location="'BC 5.1'!A1" display="00. FORM PENGUKURAN UNIT COMMON.xlsx - 'BC 5.1'!A1"/>
    <hyperlink ref="D96" r:id="rId4" location="'BC 5.2'!A1" display="00. FORM PENGUKURAN UNIT COMMON.xlsx - 'BC 5.2'!A1"/>
    <hyperlink ref="D97" r:id="rId5" location="'BC 7.1'!A1" display="00. FORM PENGUKURAN UNIT COMMON.xlsx - 'BC 7.1'!A1"/>
    <hyperlink ref="D98" r:id="rId6" location="'BC 7.2'!A1" display="00. FORM PENGUKURAN UNIT COMMON.xlsx - 'BC 7.2'!A1"/>
    <hyperlink ref="D99" r:id="rId7" location="'BC 8.1'!A1" display="00. FORM PENGUKURAN UNIT COMMON.xlsx - 'BC 8.1'!A1"/>
    <hyperlink ref="D100" r:id="rId8" location="'BC 8.2'!A1" display="00. FORM PENGUKURAN UNIT COMMON.xlsx - 'BC 8.2'!A1"/>
    <hyperlink ref="D101" r:id="rId9" location="'BC 10.1'!A1" display="00. FORM PENGUKURAN UNIT COMMON.xlsx - 'BC 10.1'!A1"/>
    <hyperlink ref="D102" r:id="rId10" location="'BC 10.2'!A1" display="00. FORM PENGUKURAN UNIT COMMON.xlsx - 'BC 10.2'!A1"/>
    <hyperlink ref="D103" r:id="rId11" location="'RC 1'!A1" display="00. FORM PENGUKURAN UNIT COMMON.xlsx - 'RC 1'!A1"/>
    <hyperlink ref="D104" r:id="rId12" location="'RC 2'!A1" display="00. FORM PENGUKURAN UNIT COMMON.xlsx - 'RC 2'!A1"/>
    <hyperlink ref="D107" r:id="rId13" location="'CH 1'!A1" display="00. FORM PENGUKURAN UNIT COMMON.xlsx - 'CH 1'!A1"/>
    <hyperlink ref="D108" r:id="rId14" location="'CH 2'!A1" display="00. FORM PENGUKURAN UNIT COMMON.xlsx - 'CH 2'!A1"/>
    <hyperlink ref="D58" r:id="rId15" location="'IDF 1'!A1" display="00. FORM PENGUKURAN UNIT 3.xlsx - 'IDF 1'!A1"/>
    <hyperlink ref="D59" r:id="rId16" location="'IDF 2'!A1" display="00. FORM PENGUKURAN UNIT 3.xlsx - 'IDF 2'!A1"/>
    <hyperlink ref="D60" r:id="rId17" location="PAF!A1" display="00. FORM PENGUKURAN UNIT 3.xlsx - PAF!A1"/>
    <hyperlink ref="D61" r:id="rId18" location="SAF!A1" display="00. FORM PENGUKURAN UNIT 3.xlsx - SAF!A1"/>
    <hyperlink ref="D62" r:id="rId19" location="'RAF 1'!A1" display="00. FORM PENGUKURAN UNIT 3.xlsx - 'RAF 1'!A1"/>
    <hyperlink ref="D63" r:id="rId20" location="'RAF 2'!A1" display="00. FORM PENGUKURAN UNIT 3.xlsx - 'RAF 2'!A1"/>
    <hyperlink ref="D64" r:id="rId21" location="'T-G'!A1" display="00. FORM PENGUKURAN UNIT 3.xlsx - 'T-G'!A1"/>
    <hyperlink ref="D65" r:id="rId22" location="'CEP 1'!A1" display="00. FORM PENGUKURAN UNIT 3.xlsx - 'CEP 1'!A1"/>
    <hyperlink ref="D66" r:id="rId23" location="'CEP 2'!A1" display="00. FORM PENGUKURAN UNIT 3.xlsx - 'CEP 2'!A1"/>
    <hyperlink ref="D67" r:id="rId24" location="'CEP 3'!A1" display="00. FORM PENGUKURAN UNIT 3.xlsx - 'CEP 3'!A1"/>
    <hyperlink ref="D68" r:id="rId25" location="'WJP 1'!A1" display="00. FORM PENGUKURAN UNIT 3.xlsx - 'WJP 1'!A1"/>
    <hyperlink ref="D69" r:id="rId26" location="'WJP 2'!A1" display="00. FORM PENGUKURAN UNIT 3.xlsx - 'WJP 2'!A1"/>
    <hyperlink ref="D70" r:id="rId27" location="'BFP 1'!A1" display="00. FORM PENGUKURAN UNIT 3.xlsx - 'BFP 1'!A1"/>
    <hyperlink ref="D71" r:id="rId28" location="'BFP 2'!A1" display="00. FORM PENGUKURAN UNIT 3.xlsx - 'BFP 2'!A1"/>
    <hyperlink ref="D72" r:id="rId29" location="'CCWP 1'!A1" display="00. FORM PENGUKURAN UNIT 3.xlsx - 'CCWP 1'!A1"/>
    <hyperlink ref="D73" r:id="rId30" location="'CCWP 2'!A1" display="00. FORM PENGUKURAN UNIT 3.xlsx - 'CCWP 2'!A1"/>
    <hyperlink ref="D74" r:id="rId31" location="'CWP 1'!A1" display="00. FORM PENGUKURAN UNIT 3.xlsx - 'CWP 1'!A1"/>
    <hyperlink ref="D75" r:id="rId32" location="'CWP 2'!A1" display="00. FORM PENGUKURAN UNIT 3.xlsx - 'CWP 2'!A1"/>
    <hyperlink ref="D76" r:id="rId33" location="'BWRO 1'!A1" display="00. FORM PENGUKURAN UNIT 3.xlsx - 'BWRO 1'!A1"/>
    <hyperlink ref="D77" r:id="rId34" location="'BWRO 2'!A1" display="00. FORM PENGUKURAN UNIT 3.xlsx - 'BWRO 2'!A1"/>
    <hyperlink ref="D10" r:id="rId35" location="'IDF 1'!A1" display="00. FORM PENGUKURAN UNIT 1.xlsx - 'IDF 1'!A1"/>
    <hyperlink ref="D11" r:id="rId36" location="'IDF 2'!A1" display="00. FORM PENGUKURAN UNIT 1.xlsx - 'IDF 2'!A1"/>
    <hyperlink ref="D12" r:id="rId37" location="'PAF 1'!A1" display="00. FORM PENGUKURAN UNIT 1.xlsx - 'PAF 1'!A1"/>
    <hyperlink ref="D13" r:id="rId38" location="'PAF 2'!A1" display="00. FORM PENGUKURAN UNIT 1.xlsx - 'PAF 2'!A1"/>
    <hyperlink ref="D14" r:id="rId39" location="'SAF 1'!A1" display="00. FORM PENGUKURAN UNIT 1.xlsx - 'SAF 1'!A1"/>
    <hyperlink ref="D15" r:id="rId40" location="'SAF 2'!A1" display="00. FORM PENGUKURAN UNIT 1.xlsx - 'SAF 2'!A1"/>
    <hyperlink ref="D16" r:id="rId41" location="'T-G'!A1" display="00. FORM PENGUKURAN UNIT 1.xlsx - 'T-G'!A1"/>
    <hyperlink ref="D17" r:id="rId42" location="'CEP 1'!A1" display="00. FORM PENGUKURAN UNIT 1.xlsx - 'CEP 1'!A1"/>
    <hyperlink ref="D18" r:id="rId43" location="'CEP 2'!A1" display="00. FORM PENGUKURAN UNIT 1.xlsx - 'CEP 2'!A1"/>
    <hyperlink ref="D19" r:id="rId44" location="'VACUUM PUMP 1'!A1" display="00. FORM PENGUKURAN UNIT 1.xlsx - 'VACUUM PUMP 1'!A1"/>
    <hyperlink ref="D20" r:id="rId45" location="'VACUUM PUMP 2'!A1" display="00. FORM PENGUKURAN UNIT 1.xlsx - 'VACUUM PUMP 2'!A1"/>
    <hyperlink ref="D21" r:id="rId46" location="'BFP 1'!A1" display="00. FORM PENGUKURAN UNIT 1.xlsx - 'BFP 1'!A1"/>
    <hyperlink ref="D22" r:id="rId47" location="'BFP 2'!A1" display="00. FORM PENGUKURAN UNIT 1.xlsx - 'BFP 2'!A1"/>
    <hyperlink ref="D23" r:id="rId48" location="'C3WP 1'!A1" display="00. FORM PENGUKURAN UNIT 1.xlsx - 'C3WP 1'!A1"/>
    <hyperlink ref="D25" r:id="rId49" location="'CWP 1'!A1" display="00. FORM PENGUKURAN UNIT 1.xlsx - 'CWP 1'!A1"/>
    <hyperlink ref="D26" r:id="rId50" location="'CWP 2'!A1" display="00. FORM PENGUKURAN UNIT 1.xlsx - 'CWP 2'!A1"/>
    <hyperlink ref="D27" r:id="rId51" location="'BWRO 1'!A1" display="00. FORM PENGUKURAN UNIT 1.xlsx - 'BWRO 1'!A1"/>
    <hyperlink ref="D28" r:id="rId52" location="'BWRO 2'!A1" display="00. FORM PENGUKURAN UNIT 1.xlsx - 'BWRO 2'!A1"/>
    <hyperlink ref="D29" r:id="rId53" location="'SWRO 1'!A1" display="00. FORM PENGUKURAN UNIT 1.xlsx - 'SWRO 1'!A1"/>
    <hyperlink ref="D32" r:id="rId54" location="'SWRO 2'!A1" display="00. FORM PENGUKURAN UNIT 1.xlsx - 'SWRO 2'!A1"/>
    <hyperlink ref="D79" r:id="rId55" location="'SWRO 2'!A1" display="00. FORM PENGUKURAN UNIT 3.xlsx - 'SWRO 2'!A1"/>
    <hyperlink ref="D78" r:id="rId56" location="'SWRO 1'!A1" display="00. FORM PENGUKURAN UNIT 3.xlsx - 'SWRO 1'!A1"/>
    <hyperlink ref="D89" r:id="rId57" location="'CT 2'!A1" display="00. FORM PENGUKURAN UNIT 3.xlsx - 'CT 2'!A1"/>
    <hyperlink ref="D88" r:id="rId58" location="'CT 1'!A1" display="00. FORM PENGUKURAN UNIT 3.xlsx - 'CT 1'!A1"/>
    <hyperlink ref="D37" r:id="rId59" location="'IDF 1'!A1" display="00. FORM PENGUKURAN UNIT 1.xlsx - 'IDF 1'!A1"/>
    <hyperlink ref="D39" r:id="rId60" location="'PAF 1'!A1" display="00. FORM PENGUKURAN UNIT 1.xlsx - 'PAF 1'!A1"/>
    <hyperlink ref="D40" r:id="rId61" location="'PAF 2'!A1" display="00. FORM PENGUKURAN UNIT 1.xlsx - 'PAF 2'!A1"/>
    <hyperlink ref="D41" r:id="rId62" location="'SAF 1'!A1" display="00. FORM PENGUKURAN UNIT 1.xlsx - 'SAF 1'!A1"/>
    <hyperlink ref="D42" r:id="rId63" location="'SAF 2'!A1" display="00. FORM PENGUKURAN UNIT 1.xlsx - 'SAF 2'!A1"/>
    <hyperlink ref="D43" r:id="rId64" location="'T-G'!A1" display="00. FORM PENGUKURAN UNIT 1.xlsx - 'T-G'!A1"/>
    <hyperlink ref="D44" r:id="rId65" location="'CEP 1'!A1" display="00. FORM PENGUKURAN UNIT 1.xlsx - 'CEP 1'!A1"/>
    <hyperlink ref="D45" r:id="rId66" location="'CEP 2'!A1" display="00. FORM PENGUKURAN UNIT 1.xlsx - 'CEP 2'!A1"/>
    <hyperlink ref="D46" r:id="rId67" location="'VACUUM PUMP 1'!A1" display="00. FORM PENGUKURAN UNIT 1.xlsx - 'VACUUM PUMP 1'!A1"/>
    <hyperlink ref="D47" r:id="rId68" location="'VACUUM PUMP 2'!A1" display="00. FORM PENGUKURAN UNIT 1.xlsx - 'VACUUM PUMP 2'!A1"/>
    <hyperlink ref="D48" r:id="rId69" location="'BFP 1'!A1" display="00. FORM PENGUKURAN UNIT 1.xlsx - 'BFP 1'!A1"/>
    <hyperlink ref="D49" r:id="rId70" location="'BFP 2'!A1" display="00. FORM PENGUKURAN UNIT 1.xlsx - 'BFP 2'!A1"/>
    <hyperlink ref="D50" r:id="rId71" location="'C3WP 1'!A1" display="00. FORM PENGUKURAN UNIT 1.xlsx - 'C3WP 1'!A1"/>
    <hyperlink ref="D51" r:id="rId72" location="'C3WP 2'!A1" display="00. FORM PENGUKURAN UNIT 1.xlsx - 'C3WP 2'!A1"/>
    <hyperlink ref="D53" r:id="rId73" location="'CWP 1'!A1" display="00. FORM PENGUKURAN UNIT 1.xlsx - 'CWP 1'!A1"/>
    <hyperlink ref="D54" r:id="rId74" location="'CWP 2'!A1" display="00. FORM PENGUKURAN UNIT 1.xlsx - 'CWP 2'!A1"/>
    <hyperlink ref="D38" r:id="rId75" location="'IDF 2'!A1" display="00. FORM PENGUKURAN UNIT 1.xlsx - 'IDF 2'!A1"/>
    <hyperlink ref="D31" r:id="rId76" location="'SWRO 2'!A1" display="00. FORM PENGUKURAN UNIT 1.xlsx - 'SWRO 2'!A1"/>
    <hyperlink ref="D30" r:id="rId77" location="'SWRO 2'!A1" display="00. FORM PENGUKURAN UNIT 1.xlsx - 'SWRO 2'!A1"/>
    <hyperlink ref="D56" r:id="rId78" location="'SWRO 2'!A1" display="00. FORM PENGUKURAN UNIT 1.xlsx - 'SWRO 2'!A1"/>
    <hyperlink ref="D55" r:id="rId79" location="'SWRO 2'!A1" display="00. FORM PENGUKURAN UNIT 1.xlsx - 'SWRO 2'!A1"/>
    <hyperlink ref="D33" r:id="rId80" location="'SWRO 2'!A1" display="00. FORM PENGUKURAN UNIT 1.xlsx - 'SWRO 2'!A1"/>
    <hyperlink ref="D34" r:id="rId81" location="'SWRO 2'!A1" display="00. FORM PENGUKURAN UNIT 1.xlsx - 'SWRO 2'!A1"/>
    <hyperlink ref="D35" r:id="rId82" location="'SWRO 2'!A1" display="00. FORM PENGUKURAN UNIT 1.xlsx - 'SWRO 2'!A1"/>
    <hyperlink ref="D24" r:id="rId83" location="'C3WP 1'!A1" display="00. FORM PENGUKURAN UNIT 1.xlsx - 'C3WP 1'!A1"/>
    <hyperlink ref="D52" r:id="rId84" location="'C3WP 2'!A1" display="00. FORM PENGUKURAN UNIT 1.xlsx - 'C3WP 2'!A1"/>
  </hyperlinks>
  <printOptions horizontalCentered="1"/>
  <pageMargins left="0.51181102362204722" right="0.23622047244094491" top="0.51181102362204722" bottom="0.74803149606299213" header="0.31496062992125984" footer="0.31496062992125984"/>
  <pageSetup paperSize="9" scale="60" orientation="portrait" r:id="rId85"/>
  <headerFooter>
    <oddFooter>&amp;L&amp;K00-046PT. PLN Indonesia Power UBP PLTU Jeranjang
Jl. Raya PLTU Jeranjang, Desa Taman Ayu – Kec. Gerung
Lombok Barat – Mataram - NTB</oddFooter>
  </headerFooter>
  <rowBreaks count="7" manualBreakCount="7">
    <brk id="17" min="1" max="11" man="1"/>
    <brk id="24" min="1" max="11" man="1"/>
    <brk id="33" min="1" max="11" man="1"/>
    <brk id="43" min="1" max="11" man="1"/>
    <brk id="56" min="1" max="11" man="1"/>
    <brk id="74" min="1" max="11" man="1"/>
    <brk id="84" min="1" max="11" man="1"/>
  </rowBreaks>
  <drawing r:id="rId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DASHBOARD</vt:lpstr>
      <vt:lpstr>SUMMARY</vt:lpstr>
      <vt:lpstr>REKOMENDASI</vt:lpstr>
      <vt:lpstr>DASHBOARD!Print_Area</vt:lpstr>
      <vt:lpstr>REKOMENDASI!Print_Area</vt:lpstr>
      <vt:lpstr>SUMMARY!Print_Area</vt:lpstr>
      <vt:lpstr>REKOMENDASI!Print_Titles</vt:lpstr>
      <vt:lpstr>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Hermawan</dc:creator>
  <cp:lastModifiedBy>Hermawan</cp:lastModifiedBy>
  <dcterms:created xsi:type="dcterms:W3CDTF">2026-08-04T01:34:21Z</dcterms:created>
  <dcterms:modified xsi:type="dcterms:W3CDTF">2026-08-04T01:37:34Z</dcterms:modified>
</cp:coreProperties>
</file>