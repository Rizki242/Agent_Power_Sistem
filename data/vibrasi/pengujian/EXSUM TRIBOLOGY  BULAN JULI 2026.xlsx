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PDM TRIBOLOGY\2. REPORT TRIBOLOGY\06. DETAIL REPORT JULI  2026\"/>
    </mc:Choice>
  </mc:AlternateContent>
  <bookViews>
    <workbookView xWindow="-110" yWindow="-110" windowWidth="19420" windowHeight="11020" activeTab="1"/>
  </bookViews>
  <sheets>
    <sheet name="RESUM" sheetId="3" r:id="rId1"/>
    <sheet name="RESUM ALL" sheetId="1" r:id="rId2"/>
  </sheets>
  <externalReferences>
    <externalReference r:id="rId3"/>
    <externalReference r:id="rId4"/>
  </externalReferences>
  <definedNames>
    <definedName name="MmExcelLinker_B1C46DB6_B3FA_4596_9823_BA4C78A743AA">RESUM!$A$1:$V$81</definedName>
    <definedName name="_xlnm.Print_Area" localSheetId="1">'RESUM ALL'!$A$1:$AQ$67</definedName>
    <definedName name="_xlnm.Print_Titles" localSheetId="1">'RESUM ALL'!$1:$14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3" l="1"/>
  <c r="D12" i="3" l="1"/>
  <c r="G12" i="3"/>
  <c r="E12" i="3"/>
  <c r="E13" i="3" l="1"/>
  <c r="G13" i="3"/>
  <c r="F13" i="3"/>
  <c r="D13" i="3"/>
  <c r="C45" i="1" l="1"/>
</calcChain>
</file>

<file path=xl/sharedStrings.xml><?xml version="1.0" encoding="utf-8"?>
<sst xmlns="http://schemas.openxmlformats.org/spreadsheetml/2006/main" count="256" uniqueCount="119">
  <si>
    <t>No. Dok : FORM.JRG.F.05.001</t>
  </si>
  <si>
    <t>Tgl Terbit : 1 Sep 2016</t>
  </si>
  <si>
    <t>Rev : 00</t>
  </si>
  <si>
    <t>Hal :</t>
  </si>
  <si>
    <t xml:space="preserve">LEGEND :  </t>
  </si>
  <si>
    <t>VIBRASI :</t>
  </si>
  <si>
    <t>THERMAL :</t>
  </si>
  <si>
    <t>MCSA :</t>
  </si>
  <si>
    <t>PD :</t>
  </si>
  <si>
    <t>DGA :</t>
  </si>
  <si>
    <t>NORMAL</t>
  </si>
  <si>
    <t>NEGLIGIBLE</t>
  </si>
  <si>
    <t>PREWARNING</t>
  </si>
  <si>
    <t>LOW</t>
  </si>
  <si>
    <t>ALARM</t>
  </si>
  <si>
    <t>WARNING</t>
  </si>
  <si>
    <t>MEDIUM</t>
  </si>
  <si>
    <t>HIGH</t>
  </si>
  <si>
    <t>TYPICAL</t>
  </si>
  <si>
    <t>MODERATE</t>
  </si>
  <si>
    <t>CRITICAL</t>
  </si>
  <si>
    <t>NO.</t>
  </si>
  <si>
    <t>EQUIPMENT</t>
  </si>
  <si>
    <t>TEKNOLOGI PdM</t>
  </si>
  <si>
    <t>ANALISA</t>
  </si>
  <si>
    <t>REKOMENDASI</t>
  </si>
  <si>
    <t>VIBRASI</t>
  </si>
  <si>
    <t>THERMAL</t>
  </si>
  <si>
    <t>MCSA</t>
  </si>
  <si>
    <t>PD</t>
  </si>
  <si>
    <t>DGA</t>
  </si>
  <si>
    <t>UNIT 1</t>
  </si>
  <si>
    <t>Equipment-Induce Draught Fan (Idf) 1A New</t>
  </si>
  <si>
    <t>Equipment-Induce Draught Fan (Idf) 1B</t>
  </si>
  <si>
    <t>Equipment-Primary Air Fan (Paf) 1A</t>
  </si>
  <si>
    <t>Equipment-Primary Air Fan (Paf) 1B New</t>
  </si>
  <si>
    <t>Equipment-Secondary Air Fan (Saf) 1A New</t>
  </si>
  <si>
    <t>Equipment-Secondary Air Fan (Saf) 1B</t>
  </si>
  <si>
    <t>Equipment-Boiler Feedwater Pump (Bfp) 1A</t>
  </si>
  <si>
    <t>Equipment-Boiler Feedwater Pump (Bfp) 1B</t>
  </si>
  <si>
    <t>Equipment-Main Oil Tank (Mot) Unit 1</t>
  </si>
  <si>
    <t>UNIT 2</t>
  </si>
  <si>
    <t>Equipment-Induce Draught Fan 1 Unit 2</t>
  </si>
  <si>
    <t>Equipment-Induce Draught Fan 2 Unit 2</t>
  </si>
  <si>
    <t>Equipment-Primary Air Fan 1 Unit 2</t>
  </si>
  <si>
    <t>Equipment-Primary Air Fan 2 Unit 2</t>
  </si>
  <si>
    <t>Equipment-Secondary Air Fan 1 Unit 2</t>
  </si>
  <si>
    <t>Equipment-Secondary Air Fan 2 Unit 2</t>
  </si>
  <si>
    <t>Equipment-Boiler Feedwater Pump 1 Unit 2</t>
  </si>
  <si>
    <t>Equipment-Boiler Feedwater Pump 2 Unit 2</t>
  </si>
  <si>
    <t>Equipment-Generator Transformer (Gt) 34.5 Mva 150/6.3 Kv Unit 2</t>
  </si>
  <si>
    <t>Equipment-Main Oil Tank Unit 2</t>
  </si>
  <si>
    <t>UNIT 3</t>
  </si>
  <si>
    <t>Equipment-Induce Draught Fan (Idf) 3A</t>
  </si>
  <si>
    <t>Equipment-Induce Draught Fan (Idf) 3B</t>
  </si>
  <si>
    <t>Equipment-Primary Air Fan (Paf) Unit 3</t>
  </si>
  <si>
    <t>Equipment-Secondary Air Fan (Saf) Unit 3</t>
  </si>
  <si>
    <t>Equipment-Recirculating Air Fan (Raf) 3A</t>
  </si>
  <si>
    <t>Equipment-Recirculating Air Fan (Raf) 3B</t>
  </si>
  <si>
    <t>Equipment-Boiler Feedwater Pump (Bfp) 3A</t>
  </si>
  <si>
    <t>Equipment-Boiler Feedwater Pump (Bfp) 3B</t>
  </si>
  <si>
    <t>Equipment-Main Oil Tank (Mot) Unit 3</t>
  </si>
  <si>
    <t>STAND BY</t>
  </si>
  <si>
    <t>Tribology :
- Monitoring Tribology sesuai 52 week</t>
  </si>
  <si>
    <t>TRIBOLOGY</t>
  </si>
  <si>
    <t xml:space="preserve">No. Dok </t>
  </si>
  <si>
    <t>: FORM.JRG.F.05.001</t>
  </si>
  <si>
    <t xml:space="preserve">Tgl Terbit </t>
  </si>
  <si>
    <t>: 1 Sep 2016</t>
  </si>
  <si>
    <t xml:space="preserve">Rev </t>
  </si>
  <si>
    <t>: 00</t>
  </si>
  <si>
    <t xml:space="preserve">Hal </t>
  </si>
  <si>
    <t>:</t>
  </si>
  <si>
    <t>UNIT</t>
  </si>
  <si>
    <t>LEVEL A</t>
  </si>
  <si>
    <t>LEVEL B</t>
  </si>
  <si>
    <t>LEVEL C</t>
  </si>
  <si>
    <t>STANDBY</t>
  </si>
  <si>
    <t xml:space="preserve">KETERANGAN </t>
  </si>
  <si>
    <t>A</t>
  </si>
  <si>
    <t>B</t>
  </si>
  <si>
    <t>C</t>
  </si>
  <si>
    <t>D</t>
  </si>
  <si>
    <t xml:space="preserve">TOTAL </t>
  </si>
  <si>
    <t>Peralatan Stand BY</t>
  </si>
  <si>
    <t>PERSENTASE (%)</t>
  </si>
  <si>
    <t xml:space="preserve">KONDISI </t>
  </si>
  <si>
    <t>LAPORAN PDM TEKNOLOGI TRIBOLOGY</t>
  </si>
  <si>
    <t xml:space="preserve">NORMAL </t>
  </si>
  <si>
    <t>STD BY</t>
  </si>
  <si>
    <t xml:space="preserve">Tribology : 
- Particle count pada Kondisi normal 18/16/11 bila di konversikan ke Nas adalah Nas 8.
- Water content, Vistkositas, dan Tan pada kondisi Normal
- Wear analisis pada kondisi Normal
</t>
  </si>
  <si>
    <t>Tribology : 
- Particle count pada Kondisi normal 18/16/11 bila di konversikan ke Nas adalah Nas 8.
- Water content, Vistkositas, dan Tan pada kondisi Normal
- Wear analisis pada kondisi Normal</t>
  </si>
  <si>
    <t xml:space="preserve">Tribology : 
- Particle count pada Kondisi normal 18/16/11 bila di konversikan ke Nas adalah Nas 8.
- Water content, Vistkositas, dan Tan pada kondisi Normal
- Wear analisis pada kondisi Normal
 </t>
  </si>
  <si>
    <t xml:space="preserve">Tribology : 
- Particle count pada Kondisi normal 18/16/11 bila di konversikan ke Nas adalah Nas 8.
- Water content, Vistkositas, dan Tan pada kondisi Normal
- Wear analisis pada kondisi Normal
</t>
  </si>
  <si>
    <t>Warning</t>
  </si>
  <si>
    <t>Tribology : 
- Particle count pada Kondisi normal 20/16/12 bila di konversikan ke Nas adalah Nas 9.
- Water content, Vistkositas, dan Tan pada kondisi Normal
- Wear analisis pada kondisi Normal</t>
  </si>
  <si>
    <t>Tribology :
- Particle count pada Kondisi warning 21/19/14 bila di konversikan ke Nas adalah Nas 10.
- Water content, Vistkositas, dan Tan pada kondisi Normal
- Wear analisis pada kondisi Normal</t>
  </si>
  <si>
    <r>
      <t xml:space="preserve">Tribology : 
- </t>
    </r>
    <r>
      <rPr>
        <b/>
        <sz val="11"/>
        <color theme="1"/>
        <rFont val="Calibri"/>
        <family val="2"/>
        <scheme val="minor"/>
      </rPr>
      <t>Particle count pada Kondisi warning 21/17/12 bila di konversikan ke Nas adalah Nas 10.</t>
    </r>
    <r>
      <rPr>
        <sz val="11"/>
        <color theme="1"/>
        <rFont val="Calibri"/>
        <family val="2"/>
        <scheme val="minor"/>
      </rPr>
      <t xml:space="preserve">
- Water content, Vistkositas, dan Tan pada kondisi Normal
- Wear analisis pada kondisi Normal
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</si>
  <si>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20/17/15 bila di konversikan ke Nas adalah Nas 9.</t>
    </r>
    <r>
      <rPr>
        <sz val="10"/>
        <color theme="1"/>
        <rFont val="Arial"/>
        <family val="2"/>
      </rPr>
      <t xml:space="preserve">
- Water content, Vistkositas, dan Tan pada kondisi Normal
- Wear analisis pada kondisi 
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</si>
  <si>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20/18/12 bila di konversikan ke Nas adalah Nas 9.</t>
    </r>
    <r>
      <rPr>
        <sz val="10"/>
        <color theme="1"/>
        <rFont val="Arial"/>
        <family val="2"/>
      </rPr>
      <t xml:space="preserve">
- Water content, Vistkositas, dan Tan pada kondisi Normal
- Wear analisis pada kondisi 
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</si>
  <si>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20/19/15 bila di konversikan ke Nas adalah Nas 9.</t>
    </r>
    <r>
      <rPr>
        <sz val="10"/>
        <color theme="1"/>
        <rFont val="Arial"/>
        <family val="2"/>
      </rPr>
      <t xml:space="preserve">
- Water content, Vistkositas, dan Tan pada kondisi Normal
- Wear analisis pada kondisi Normal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</si>
  <si>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20/19/12 bila di konversikan ke Nas adalah Nas 9.</t>
    </r>
    <r>
      <rPr>
        <sz val="10"/>
        <color theme="1"/>
        <rFont val="Arial"/>
        <family val="2"/>
      </rPr>
      <t xml:space="preserve">
- Water content, Vistkositas, dan Tan pada kondisi Normal
- Wear analisis pada kondisi Normal
</t>
    </r>
  </si>
  <si>
    <t>KONDISI PADA EQUIPMENT BULAN JULI 2026</t>
  </si>
  <si>
    <t>PT. PLN INDONESIA POWER</t>
  </si>
  <si>
    <t>BIDANG RCBM</t>
  </si>
  <si>
    <t xml:space="preserve">PLTU UBP JERANJANG </t>
  </si>
  <si>
    <t xml:space="preserve">Tribology : 
- Particle count pada Kondisi warning 21/19/12 bila di konversikan ke Nas adalah Nas 10.
- Water content, Vistkositas, dan Tan pada kondisi Normal
- Wear analisis pada kondisi Normal
</t>
  </si>
  <si>
    <t xml:space="preserve">Tribology : 
- Particle count pada Kondisi normal 21/18/13 bila di konversikan ke Nas adalah Nas 10.
- Water content, Vistkositas, dan Tan pada kondisi Normal
- Wear analisis pada kondisi Normal
</t>
  </si>
  <si>
    <r>
      <t xml:space="preserve">Tribology : 
- </t>
    </r>
    <r>
      <rPr>
        <b/>
        <sz val="10"/>
        <color theme="1"/>
        <rFont val="Arial"/>
        <family val="2"/>
      </rPr>
      <t>Particle count pada Kondisi Warning 20/18/15 bila di konversikan ke Nas adalah Nas 9.</t>
    </r>
    <r>
      <rPr>
        <sz val="10"/>
        <color theme="1"/>
        <rFont val="Arial"/>
        <family val="2"/>
      </rPr>
      <t xml:space="preserve">
- Water content Kondisi EROR , Vistkositas, dan Tan pada kondisi Normal
- Wear analisis pada kondisi Normal
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</si>
  <si>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20/19/17 bila di konversikan ke Nas adalah Nas 9</t>
    </r>
    <r>
      <rPr>
        <sz val="10"/>
        <color theme="1"/>
        <rFont val="Arial"/>
        <family val="2"/>
      </rPr>
      <t>.
- Water content Kondisi EROR, Vistkositas, dan Tan pada kondisi Normal
- Wear analisis pada kondisi Normal</t>
    </r>
  </si>
  <si>
    <r>
      <t xml:space="preserve">Tribology :  
- </t>
    </r>
    <r>
      <rPr>
        <b/>
        <sz val="11"/>
        <color theme="1"/>
        <rFont val="Calibri"/>
        <family val="2"/>
        <scheme val="minor"/>
      </rPr>
      <t xml:space="preserve">Particle count pada Kondisi warning </t>
    </r>
    <r>
      <rPr>
        <sz val="11"/>
        <color theme="1"/>
        <rFont val="Calibri"/>
        <family val="2"/>
        <scheme val="minor"/>
      </rPr>
      <t>22/19/13</t>
    </r>
    <r>
      <rPr>
        <b/>
        <sz val="11"/>
        <color theme="1"/>
        <rFont val="Calibri"/>
        <family val="2"/>
        <scheme val="minor"/>
      </rPr>
      <t xml:space="preserve"> bila di konversikan ke Nas adalah </t>
    </r>
    <r>
      <rPr>
        <sz val="11"/>
        <color theme="1"/>
        <rFont val="Calibri"/>
        <family val="2"/>
        <scheme val="minor"/>
      </rPr>
      <t>Nas 10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
- Water content Kondisi EROR, Vistkositas, dan Tan pada kondisi Normal
- Wear analisis pada kondisi Normal
</t>
    </r>
  </si>
  <si>
    <r>
      <t xml:space="preserve">Tribology : 
- </t>
    </r>
    <r>
      <rPr>
        <b/>
        <sz val="11"/>
        <color theme="1"/>
        <rFont val="Calibri"/>
        <family val="2"/>
        <scheme val="minor"/>
      </rPr>
      <t>Particle count pada Kondisi normal 15/13/10 bila di konversikan ke Nas adalah Nas 4.</t>
    </r>
    <r>
      <rPr>
        <sz val="11"/>
        <color theme="1"/>
        <rFont val="Calibri"/>
        <family val="2"/>
        <scheme val="minor"/>
      </rPr>
      <t xml:space="preserve">
- Water content, Vistkositas, dan Tan pada kondisi Normal
- Wear analisis pada kondisi Normal</t>
    </r>
  </si>
  <si>
    <r>
      <t xml:space="preserve">Tribology : 
- </t>
    </r>
    <r>
      <rPr>
        <b/>
        <sz val="11"/>
        <color theme="1"/>
        <rFont val="Calibri"/>
        <family val="2"/>
        <scheme val="minor"/>
      </rPr>
      <t>Particle count pada Kondisi normal 20/20/15 bila di konversikan ke Nas adalah Nas 10.</t>
    </r>
    <r>
      <rPr>
        <sz val="11"/>
        <color theme="1"/>
        <rFont val="Calibri"/>
        <family val="2"/>
        <scheme val="minor"/>
      </rPr>
      <t xml:space="preserve">
- Water content Kondisi EROR, Vistkositas, dan Tan pada kondisi Normal
- Wear analisis pada kondisi Normal
</t>
    </r>
  </si>
  <si>
    <t>Tribology : 
- Particle count pada Kondisi normal 20/19/13 bila di konversikan ke Nas adalah Nas 9.
- Water content, Vistkositas, dan Tan pada kondisi Normal
- Wear analisis pada kondisi Normal</t>
  </si>
  <si>
    <r>
      <t xml:space="preserve">Tribology : 
- </t>
    </r>
    <r>
      <rPr>
        <b/>
        <sz val="10"/>
        <color theme="1"/>
        <rFont val="Arial"/>
        <family val="2"/>
      </rPr>
      <t>Particle count pada Kondisi normal 19/17/12 bila di konversikan ke Nas adalah Nas 8.</t>
    </r>
    <r>
      <rPr>
        <sz val="10"/>
        <color theme="1"/>
        <rFont val="Arial"/>
        <family val="2"/>
      </rPr>
      <t xml:space="preserve">
- Water content Kondisi EROR, Vistkositas, dan Tan pada kondisi Normal
- Wear analisis pada kondisi Normal
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</si>
  <si>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20/17/13 bila di konversikan ke Nas adalah Nas 9.</t>
    </r>
    <r>
      <rPr>
        <sz val="10"/>
        <color theme="1"/>
        <rFont val="Arial"/>
        <family val="2"/>
      </rPr>
      <t xml:space="preserve">
- Water content Kondisi EROR, Vistkositas, dan Tan pada kondisi Normal
- Wear analisis pada kondisi Normal</t>
    </r>
  </si>
  <si>
    <r>
      <t xml:space="preserve">Tribology : 
- </t>
    </r>
    <r>
      <rPr>
        <b/>
        <sz val="10"/>
        <color theme="1"/>
        <rFont val="Arial"/>
        <family val="2"/>
      </rPr>
      <t>Particle count pada Kondisi normal 20/18/11 bila di konversikan ke Nas adalah Nas 9.</t>
    </r>
    <r>
      <rPr>
        <sz val="10"/>
        <color theme="1"/>
        <rFont val="Arial"/>
        <family val="2"/>
      </rPr>
      <t xml:space="preserve">
- Water content Kondisi EROR, Vistkositas, dan Tan pada kondisi Normal
- Wear analisis pada kondisi Normal</t>
    </r>
  </si>
  <si>
    <t>Tribology :
- Monitoring Tribology sesuai 52 week, ALAT TRIBOLOGY EROR</t>
  </si>
  <si>
    <t>Tribology :
- Monitoring Tribology sesuai 52 week, ALAT TRIBOLOGY MASIH EROR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</si>
</sst>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1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8" borderId="1" xfId="0" quotePrefix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1" fillId="12" borderId="21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9" fontId="11" fillId="3" borderId="14" xfId="1" applyFont="1" applyFill="1" applyBorder="1" applyAlignment="1">
      <alignment horizontal="center" vertical="center"/>
    </xf>
    <xf numFmtId="9" fontId="11" fillId="9" borderId="18" xfId="1" applyFont="1" applyFill="1" applyBorder="1" applyAlignment="1">
      <alignment horizontal="center" vertical="center"/>
    </xf>
    <xf numFmtId="9" fontId="11" fillId="11" borderId="18" xfId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9" fontId="11" fillId="5" borderId="18" xfId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9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129"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PERALATAN PLTU JERANJANG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175297861933501E-2"/>
          <c:y val="0.1411757463696601"/>
          <c:w val="0.82139163306667673"/>
          <c:h val="0.76396726207960619"/>
        </c:manualLayout>
      </c:layout>
      <c:pie3DChart>
        <c:varyColors val="1"/>
        <c:ser>
          <c:idx val="0"/>
          <c:order val="0"/>
          <c:tx>
            <c:strRef>
              <c:f>[1]RESUM!$D$7</c:f>
              <c:strCache>
                <c:ptCount val="1"/>
                <c:pt idx="0">
                  <c:v>LEVEL VIBRASI</c:v>
                </c:pt>
              </c:strCache>
            </c:strRef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CA5-4434-AAAD-F8CD07F35D3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CA5-4434-AAAD-F8CD07F35D3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CA5-4434-AAAD-F8CD07F35D33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CA5-4434-AAAD-F8CD07F35D33}"/>
              </c:ext>
            </c:extLst>
          </c:dPt>
          <c:cat>
            <c:strRef>
              <c:f>RESUM!$D$8:$G$8</c:f>
              <c:strCache>
                <c:ptCount val="4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STANDBY</c:v>
                </c:pt>
              </c:strCache>
            </c:strRef>
          </c:cat>
          <c:val>
            <c:numRef>
              <c:f>RESUM!$D$12:$G$12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A5-4434-AAAD-F8CD07F35D3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7854903327089"/>
          <c:y val="0.22619264124812694"/>
          <c:w val="0.13877144433714586"/>
          <c:h val="0.6273513968709838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0000000000001" l="0.70000000000000095" r="0.70000000000000095" t="0.750000000000001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UNIT 2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3396122660687041E-2"/>
          <c:y val="0.17445797489688147"/>
          <c:w val="0.90488160936349482"/>
          <c:h val="0.6163910177977489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RESUM!$B$10</c:f>
              <c:strCache>
                <c:ptCount val="1"/>
                <c:pt idx="0">
                  <c:v>UNIT 2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29D-4A3B-8F27-1FE3AC1BD22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E29D-4A3B-8F27-1FE3AC1BD22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E29D-4A3B-8F27-1FE3AC1BD22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E29D-4A3B-8F27-1FE3AC1BD22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RESUM!$D$7:$G$8</c:f>
              <c:multiLvlStrCache>
                <c:ptCount val="4"/>
                <c:lvl>
                  <c:pt idx="0">
                    <c:v>LEVEL A</c:v>
                  </c:pt>
                  <c:pt idx="1">
                    <c:v>LEVEL B</c:v>
                  </c:pt>
                  <c:pt idx="2">
                    <c:v>LEVEL C</c:v>
                  </c:pt>
                  <c:pt idx="3">
                    <c:v>STANDBY</c:v>
                  </c:pt>
                </c:lvl>
                <c:lvl>
                  <c:pt idx="0">
                    <c:v>KONDISI </c:v>
                  </c:pt>
                </c:lvl>
              </c:multiLvlStrCache>
            </c:multiLvlStrRef>
          </c:cat>
          <c:val>
            <c:numRef>
              <c:f>RESUM!$D$10:$G$10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9D-4A3B-8F27-1FE3AC1BD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3904656"/>
        <c:axId val="243237520"/>
        <c:axId val="0"/>
      </c:bar3DChart>
      <c:catAx>
        <c:axId val="2439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237520"/>
        <c:crosses val="autoZero"/>
        <c:auto val="1"/>
        <c:lblAlgn val="ctr"/>
        <c:lblOffset val="100"/>
        <c:noMultiLvlLbl val="0"/>
      </c:catAx>
      <c:valAx>
        <c:axId val="24323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904656"/>
        <c:crosses val="autoZero"/>
        <c:crossBetween val="between"/>
      </c:valAx>
      <c:spPr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UNIT 1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RESUM!$B$9</c:f>
              <c:strCache>
                <c:ptCount val="1"/>
                <c:pt idx="0">
                  <c:v>UNIT 1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7234-4B57-BFEE-B17C8649A3B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7234-4B57-BFEE-B17C8649A3B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7234-4B57-BFEE-B17C8649A3B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7234-4B57-BFEE-B17C8649A3B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RESUM!$D$7:$G$8</c:f>
              <c:multiLvlStrCache>
                <c:ptCount val="4"/>
                <c:lvl>
                  <c:pt idx="0">
                    <c:v>LEVEL A</c:v>
                  </c:pt>
                  <c:pt idx="1">
                    <c:v>LEVEL B</c:v>
                  </c:pt>
                  <c:pt idx="2">
                    <c:v>LEVEL C</c:v>
                  </c:pt>
                  <c:pt idx="3">
                    <c:v>STANDBY</c:v>
                  </c:pt>
                </c:lvl>
                <c:lvl>
                  <c:pt idx="0">
                    <c:v>KONDISI </c:v>
                  </c:pt>
                </c:lvl>
              </c:multiLvlStrCache>
            </c:multiLvlStrRef>
          </c:cat>
          <c:val>
            <c:numRef>
              <c:f>RESUM!$D$9:$G$9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34-4B57-BFEE-B17C8649A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5231536"/>
        <c:axId val="245352256"/>
        <c:axId val="0"/>
      </c:bar3DChart>
      <c:catAx>
        <c:axId val="24523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5352256"/>
        <c:crosses val="autoZero"/>
        <c:auto val="1"/>
        <c:lblAlgn val="ctr"/>
        <c:lblOffset val="100"/>
        <c:noMultiLvlLbl val="0"/>
      </c:catAx>
      <c:valAx>
        <c:axId val="24535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5231536"/>
        <c:crosses val="autoZero"/>
        <c:crossBetween val="between"/>
      </c:valAx>
      <c:spPr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33000">
              <a:schemeClr val="bg1">
                <a:lumMod val="95000"/>
                <a:shade val="67500"/>
                <a:satMod val="115000"/>
              </a:schemeClr>
            </a:gs>
            <a:gs pos="94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EQUIPMENT</a:t>
            </a:r>
            <a:r>
              <a:rPr lang="en-US" baseline="0"/>
              <a:t> BERDASARKAN TRIBOLOGY</a:t>
            </a:r>
          </a:p>
          <a:p>
            <a:pPr>
              <a:defRPr/>
            </a:pPr>
            <a:r>
              <a:rPr lang="en-US" baseline="0"/>
              <a:t>PLTU JERANJANG OMU</a:t>
            </a:r>
            <a:endParaRPr lang="en-US"/>
          </a:p>
        </c:rich>
      </c:tx>
      <c:layout>
        <c:manualLayout>
          <c:xMode val="edge"/>
          <c:yMode val="edge"/>
          <c:x val="0.27338305939392976"/>
          <c:y val="2.2419555501419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RESUM!$D$8</c:f>
              <c:strCache>
                <c:ptCount val="1"/>
                <c:pt idx="0">
                  <c:v>LEVEL A</c:v>
                </c:pt>
              </c:strCache>
            </c:strRef>
          </c:tx>
          <c:spPr>
            <a:solidFill>
              <a:srgbClr val="00FF0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RESUM!$B$9:$C$12</c15:sqref>
                  </c15:fullRef>
                </c:ext>
              </c:extLst>
              <c:f>RESUM!$B$9:$B$12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TOTAL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RESUM!$D$9:$D$12</c15:sqref>
                  </c15:fullRef>
                </c:ext>
              </c:extLst>
              <c:f>RESUM!$D$9:$D$12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7-431D-98BA-F9C2848C5343}"/>
            </c:ext>
          </c:extLst>
        </c:ser>
        <c:ser>
          <c:idx val="1"/>
          <c:order val="1"/>
          <c:tx>
            <c:strRef>
              <c:f>RESUM!$E$8</c:f>
              <c:strCache>
                <c:ptCount val="1"/>
                <c:pt idx="0">
                  <c:v>LEVEL B</c:v>
                </c:pt>
              </c:strCache>
            </c:strRef>
          </c:tx>
          <c:spPr>
            <a:solidFill>
              <a:srgbClr val="00B0F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RESUM!$B$9:$C$12</c15:sqref>
                  </c15:fullRef>
                </c:ext>
              </c:extLst>
              <c:f>RESUM!$B$9:$B$12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TOTAL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[1]RESUM!$E$9:$E$13</c15:sqref>
                  </c15:fullRef>
                </c:ext>
              </c:extLst>
              <c:f>[1]RESUM!$E$9:$E$12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7-431D-98BA-F9C2848C5343}"/>
            </c:ext>
          </c:extLst>
        </c:ser>
        <c:ser>
          <c:idx val="2"/>
          <c:order val="2"/>
          <c:tx>
            <c:strRef>
              <c:f>RESUM!$F$8</c:f>
              <c:strCache>
                <c:ptCount val="1"/>
                <c:pt idx="0">
                  <c:v>LEVEL C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RESUM!$B$9:$C$12</c15:sqref>
                  </c15:fullRef>
                </c:ext>
              </c:extLst>
              <c:f>RESUM!$B$9:$B$12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TOTAL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RESUM!$F$9:$F$12</c15:sqref>
                  </c15:fullRef>
                </c:ext>
              </c:extLst>
              <c:f>RESUM!$F$9:$F$12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7-431D-98BA-F9C2848C5343}"/>
            </c:ext>
          </c:extLst>
        </c:ser>
        <c:ser>
          <c:idx val="4"/>
          <c:order val="4"/>
          <c:tx>
            <c:strRef>
              <c:f>RESUM!$G$8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RESUM!$B$9:$C$12</c15:sqref>
                  </c15:fullRef>
                </c:ext>
              </c:extLst>
              <c:f>RESUM!$B$9:$B$12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TOTAL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[1]RESUM!$H$9:$H$13</c15:sqref>
                  </c15:fullRef>
                </c:ext>
              </c:extLst>
              <c:f>[1]RESUM!$H$9:$H$12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97-431D-98BA-F9C2848C53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4092448"/>
        <c:axId val="2095908624"/>
        <c:axId val="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[1]RESUM!$G$8</c15:sqref>
                        </c15:formulaRef>
                      </c:ext>
                    </c:extLst>
                    <c:strCache>
                      <c:ptCount val="1"/>
                      <c:pt idx="0">
                        <c:v>LEVEL D</c:v>
                      </c:pt>
                    </c:strCache>
                  </c:strRef>
                </c:tx>
                <c:spPr>
                  <a:solidFill>
                    <a:srgbClr val="FF0000"/>
                  </a:solidFill>
                  <a:ln w="9525" cap="flat" cmpd="sng" algn="ctr">
                    <a:solidFill>
                      <a:schemeClr val="bg1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  <a:sp3d contourW="9525">
                    <a:contourClr>
                      <a:schemeClr val="bg1"/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RESUM!$B$9:$C$12</c15:sqref>
                        </c15:fullRef>
                        <c15:formulaRef>
                          <c15:sqref>RESUM!$B$9:$B$12</c15:sqref>
                        </c15:formulaRef>
                      </c:ext>
                    </c:extLst>
                    <c:strCache>
                      <c:ptCount val="4"/>
                      <c:pt idx="0">
                        <c:v>UNIT 1</c:v>
                      </c:pt>
                      <c:pt idx="1">
                        <c:v>UNIT 2</c:v>
                      </c:pt>
                      <c:pt idx="2">
                        <c:v>UNIT 3</c:v>
                      </c:pt>
                      <c:pt idx="3">
                        <c:v>TOTAL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[1]RESUM!$G$9:$G$12</c15:sqref>
                        </c15:fullRef>
                        <c15:formulaRef>
                          <c15:sqref>[1]RESUM!$G$9:$G$12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897-431D-98BA-F9C2848C5343}"/>
                  </c:ext>
                </c:extLst>
              </c15:ser>
            </c15:filteredBarSeries>
          </c:ext>
        </c:extLst>
      </c:bar3DChart>
      <c:catAx>
        <c:axId val="18640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08624"/>
        <c:crosses val="autoZero"/>
        <c:auto val="1"/>
        <c:lblAlgn val="ctr"/>
        <c:lblOffset val="100"/>
        <c:noMultiLvlLbl val="0"/>
      </c:catAx>
      <c:valAx>
        <c:axId val="20959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srgbClr val="FFFF00">
          <a:alpha val="40000"/>
        </a:srgbClr>
      </a:outerShd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UNIT 3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RESUM!$B$11</c:f>
              <c:strCache>
                <c:ptCount val="1"/>
                <c:pt idx="0">
                  <c:v>UNIT 3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C245-4B52-9EC4-B37CD9521EC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C245-4B52-9EC4-B37CD9521EC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C245-4B52-9EC4-B37CD9521ECA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C245-4B52-9EC4-B37CD9521EC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RESUM!$D$8:$G$8</c:f>
              <c:strCache>
                <c:ptCount val="4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STANDBY</c:v>
                </c:pt>
              </c:strCache>
            </c:strRef>
          </c:cat>
          <c:val>
            <c:numRef>
              <c:f>RESUM!$D$11:$G$11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45-4B52-9EC4-B37CD952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3904656"/>
        <c:axId val="243237520"/>
        <c:axId val="0"/>
      </c:bar3DChart>
      <c:catAx>
        <c:axId val="2439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237520"/>
        <c:crosses val="autoZero"/>
        <c:auto val="1"/>
        <c:lblAlgn val="ctr"/>
        <c:lblOffset val="100"/>
        <c:noMultiLvlLbl val="0"/>
      </c:catAx>
      <c:valAx>
        <c:axId val="24323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904656"/>
        <c:crosses val="autoZero"/>
        <c:crossBetween val="between"/>
      </c:valAx>
      <c:spPr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334818</xdr:colOff>
      <xdr:row>32</xdr:row>
      <xdr:rowOff>148442</xdr:rowOff>
    </xdr:from>
    <xdr:to>
      <xdr:col>10</xdr:col>
      <xdr:colOff>4123</xdr:colOff>
      <xdr:row>50</xdr:row>
      <xdr:rowOff>56903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344714</xdr:colOff>
      <xdr:row>15</xdr:row>
      <xdr:rowOff>13607</xdr:rowOff>
    </xdr:from>
    <xdr:to>
      <xdr:col>20</xdr:col>
      <xdr:colOff>637268</xdr:colOff>
      <xdr:row>31</xdr:row>
      <xdr:rowOff>88149</xdr:rowOff>
    </xdr:to>
    <xdr:graphicFrame macro="">
      <xdr:nvGraphicFramePr>
        <xdr:cNvPr id="3" name="Chart 5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363679</xdr:colOff>
      <xdr:row>15</xdr:row>
      <xdr:rowOff>27214</xdr:rowOff>
    </xdr:from>
    <xdr:to>
      <xdr:col>9</xdr:col>
      <xdr:colOff>727363</xdr:colOff>
      <xdr:row>31</xdr:row>
      <xdr:rowOff>126037</xdr:rowOff>
    </xdr:to>
    <xdr:graphicFrame macro="">
      <xdr:nvGraphicFramePr>
        <xdr:cNvPr id="5" name="Chart 5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207819</xdr:colOff>
      <xdr:row>51</xdr:row>
      <xdr:rowOff>63500</xdr:rowOff>
    </xdr:from>
    <xdr:to>
      <xdr:col>17</xdr:col>
      <xdr:colOff>57727</xdr:colOff>
      <xdr:row>75</xdr:row>
      <xdr:rowOff>115456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318323</xdr:colOff>
      <xdr:row>32</xdr:row>
      <xdr:rowOff>79168</xdr:rowOff>
    </xdr:from>
    <xdr:to>
      <xdr:col>20</xdr:col>
      <xdr:colOff>692728</xdr:colOff>
      <xdr:row>49</xdr:row>
      <xdr:rowOff>75045</xdr:rowOff>
    </xdr:to>
    <xdr:graphicFrame macro="">
      <xdr:nvGraphicFramePr>
        <xdr:cNvPr id="7" name="Chart 5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80818</xdr:colOff>
      <xdr:row>0</xdr:row>
      <xdr:rowOff>173181</xdr:rowOff>
    </xdr:from>
    <xdr:to>
      <xdr:col>2</xdr:col>
      <xdr:colOff>657266</xdr:colOff>
      <xdr:row>4</xdr:row>
      <xdr:rowOff>55170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818" y="173181"/>
          <a:ext cx="2005198" cy="643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80192</xdr:rowOff>
    </xdr:from>
    <xdr:to>
      <xdr:col>2</xdr:col>
      <xdr:colOff>104775</xdr:colOff>
      <xdr:row>3</xdr:row>
      <xdr:rowOff>104775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71450" y="80192"/>
          <a:ext cx="2264641" cy="578765"/>
          <a:chOff x="245844" y="100852"/>
          <a:chExt cx="1586462" cy="62705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>
            <a:grpSpLocks/>
          </xdr:cNvGrpSpPr>
        </xdr:nvGrpSpPr>
        <xdr:grpSpPr bwMode="auto">
          <a:xfrm>
            <a:off x="573686" y="112060"/>
            <a:ext cx="1131710" cy="425016"/>
            <a:chOff x="3374" y="1647"/>
            <a:chExt cx="5405" cy="2249"/>
          </a:xfrm>
        </xdr:grpSpPr>
        <xdr:grpSp>
          <xdr:nvGrpSpPr>
            <xdr:cNvPr id="6" name="Group 3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74" y="1647"/>
              <a:ext cx="5405" cy="2249"/>
              <a:chOff x="4775" y="13337"/>
              <a:chExt cx="3111" cy="1050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775" y="13337"/>
                <a:ext cx="3111" cy="1050"/>
                <a:chOff x="4775" y="13337"/>
                <a:chExt cx="3111" cy="1050"/>
              </a:xfrm>
            </xdr:grpSpPr>
            <xdr:grpSp>
              <xdr:nvGrpSpPr>
                <xdr:cNvPr id="10" name="Group 5">
                  <a:extLst>
                    <a:ext uri="{FF2B5EF4-FFF2-40B4-BE49-F238E27FC236}">
                      <a16:creationId xmlns:a16="http://schemas.microsoft.com/office/drawing/2014/main" id="{00000000-0008-0000-0100-00000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75" y="13337"/>
                  <a:ext cx="3111" cy="1050"/>
                  <a:chOff x="4751" y="13337"/>
                  <a:chExt cx="3111" cy="1050"/>
                </a:xfrm>
              </xdr:grpSpPr>
              <xdr:sp macro="" textlink="">
                <xdr:nvSpPr>
                  <xdr:cNvPr id="12" name="Rectangle 6">
                    <a:extLst>
                      <a:ext uri="{FF2B5EF4-FFF2-40B4-BE49-F238E27FC236}">
                        <a16:creationId xmlns:a16="http://schemas.microsoft.com/office/drawing/2014/main" id="{00000000-0008-0000-0100-00000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4761" y="13356"/>
                    <a:ext cx="50" cy="387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3" name="Freeform 7">
                    <a:extLst>
                      <a:ext uri="{FF2B5EF4-FFF2-40B4-BE49-F238E27FC236}">
                        <a16:creationId xmlns:a16="http://schemas.microsoft.com/office/drawing/2014/main" id="{00000000-0008-0000-0100-00000D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4918" y="13362"/>
                    <a:ext cx="294" cy="387"/>
                  </a:xfrm>
                  <a:custGeom>
                    <a:avLst/>
                    <a:gdLst>
                      <a:gd name="T0" fmla="*/ 0 w 294"/>
                      <a:gd name="T1" fmla="*/ 387 h 387"/>
                      <a:gd name="T2" fmla="*/ 0 w 294"/>
                      <a:gd name="T3" fmla="*/ 0 h 387"/>
                      <a:gd name="T4" fmla="*/ 53 w 294"/>
                      <a:gd name="T5" fmla="*/ 0 h 387"/>
                      <a:gd name="T6" fmla="*/ 244 w 294"/>
                      <a:gd name="T7" fmla="*/ 305 h 387"/>
                      <a:gd name="T8" fmla="*/ 244 w 294"/>
                      <a:gd name="T9" fmla="*/ 0 h 387"/>
                      <a:gd name="T10" fmla="*/ 294 w 294"/>
                      <a:gd name="T11" fmla="*/ 0 h 387"/>
                      <a:gd name="T12" fmla="*/ 294 w 294"/>
                      <a:gd name="T13" fmla="*/ 387 h 387"/>
                      <a:gd name="T14" fmla="*/ 239 w 294"/>
                      <a:gd name="T15" fmla="*/ 387 h 387"/>
                      <a:gd name="T16" fmla="*/ 47 w 294"/>
                      <a:gd name="T17" fmla="*/ 85 h 387"/>
                      <a:gd name="T18" fmla="*/ 47 w 294"/>
                      <a:gd name="T19" fmla="*/ 387 h 387"/>
                      <a:gd name="T20" fmla="*/ 0 w 294"/>
                      <a:gd name="T21" fmla="*/ 387 h 387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w 294"/>
                      <a:gd name="T34" fmla="*/ 0 h 387"/>
                      <a:gd name="T35" fmla="*/ 294 w 294"/>
                      <a:gd name="T36" fmla="*/ 387 h 387"/>
                    </a:gdLst>
                    <a:ahLst/>
                    <a:cxnLst>
                      <a:cxn ang="T22">
                        <a:pos x="T0" y="T1"/>
                      </a:cxn>
                      <a:cxn ang="T23">
                        <a:pos x="T2" y="T3"/>
                      </a:cxn>
                      <a:cxn ang="T24">
                        <a:pos x="T4" y="T5"/>
                      </a:cxn>
                      <a:cxn ang="T25">
                        <a:pos x="T6" y="T7"/>
                      </a:cxn>
                      <a:cxn ang="T26">
                        <a:pos x="T8" y="T9"/>
                      </a:cxn>
                      <a:cxn ang="T27">
                        <a:pos x="T10" y="T11"/>
                      </a:cxn>
                      <a:cxn ang="T28">
                        <a:pos x="T12" y="T13"/>
                      </a:cxn>
                      <a:cxn ang="T29">
                        <a:pos x="T14" y="T15"/>
                      </a:cxn>
                      <a:cxn ang="T30">
                        <a:pos x="T16" y="T17"/>
                      </a:cxn>
                      <a:cxn ang="T31">
                        <a:pos x="T18" y="T19"/>
                      </a:cxn>
                      <a:cxn ang="T32">
                        <a:pos x="T20" y="T21"/>
                      </a:cxn>
                    </a:cxnLst>
                    <a:rect l="T33" t="T34" r="T35" b="T36"/>
                    <a:pathLst>
                      <a:path w="294" h="387">
                        <a:moveTo>
                          <a:pt x="0" y="387"/>
                        </a:moveTo>
                        <a:lnTo>
                          <a:pt x="0" y="0"/>
                        </a:lnTo>
                        <a:lnTo>
                          <a:pt x="53" y="0"/>
                        </a:lnTo>
                        <a:lnTo>
                          <a:pt x="244" y="305"/>
                        </a:lnTo>
                        <a:lnTo>
                          <a:pt x="244" y="0"/>
                        </a:lnTo>
                        <a:lnTo>
                          <a:pt x="294" y="0"/>
                        </a:lnTo>
                        <a:lnTo>
                          <a:pt x="294" y="387"/>
                        </a:lnTo>
                        <a:lnTo>
                          <a:pt x="239" y="387"/>
                        </a:lnTo>
                        <a:lnTo>
                          <a:pt x="47" y="85"/>
                        </a:lnTo>
                        <a:lnTo>
                          <a:pt x="47" y="387"/>
                        </a:lnTo>
                        <a:lnTo>
                          <a:pt x="0" y="387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4" name="Freeform 8">
                    <a:extLst>
                      <a:ext uri="{FF2B5EF4-FFF2-40B4-BE49-F238E27FC236}">
                        <a16:creationId xmlns:a16="http://schemas.microsoft.com/office/drawing/2014/main" id="{00000000-0008-0000-0100-00000E000000}"/>
                      </a:ext>
                    </a:extLst>
                  </xdr:cNvPr>
                  <xdr:cNvSpPr>
                    <a:spLocks noEditPoints="1"/>
                  </xdr:cNvSpPr>
                </xdr:nvSpPr>
                <xdr:spPr bwMode="auto">
                  <a:xfrm>
                    <a:off x="5320" y="13356"/>
                    <a:ext cx="312" cy="387"/>
                  </a:xfrm>
                  <a:custGeom>
                    <a:avLst/>
                    <a:gdLst>
                      <a:gd name="T0" fmla="*/ 0 w 312"/>
                      <a:gd name="T1" fmla="*/ 0 h 387"/>
                      <a:gd name="T2" fmla="*/ 150 w 312"/>
                      <a:gd name="T3" fmla="*/ 0 h 387"/>
                      <a:gd name="T4" fmla="*/ 186 w 312"/>
                      <a:gd name="T5" fmla="*/ 7 h 387"/>
                      <a:gd name="T6" fmla="*/ 218 w 312"/>
                      <a:gd name="T7" fmla="*/ 15 h 387"/>
                      <a:gd name="T8" fmla="*/ 244 w 312"/>
                      <a:gd name="T9" fmla="*/ 32 h 387"/>
                      <a:gd name="T10" fmla="*/ 268 w 312"/>
                      <a:gd name="T11" fmla="*/ 56 h 387"/>
                      <a:gd name="T12" fmla="*/ 286 w 312"/>
                      <a:gd name="T13" fmla="*/ 88 h 387"/>
                      <a:gd name="T14" fmla="*/ 297 w 312"/>
                      <a:gd name="T15" fmla="*/ 114 h 387"/>
                      <a:gd name="T16" fmla="*/ 304 w 312"/>
                      <a:gd name="T17" fmla="*/ 134 h 387"/>
                      <a:gd name="T18" fmla="*/ 310 w 312"/>
                      <a:gd name="T19" fmla="*/ 158 h 387"/>
                      <a:gd name="T20" fmla="*/ 312 w 312"/>
                      <a:gd name="T21" fmla="*/ 180 h 387"/>
                      <a:gd name="T22" fmla="*/ 312 w 312"/>
                      <a:gd name="T23" fmla="*/ 210 h 387"/>
                      <a:gd name="T24" fmla="*/ 307 w 312"/>
                      <a:gd name="T25" fmla="*/ 239 h 387"/>
                      <a:gd name="T26" fmla="*/ 302 w 312"/>
                      <a:gd name="T27" fmla="*/ 268 h 387"/>
                      <a:gd name="T28" fmla="*/ 291 w 312"/>
                      <a:gd name="T29" fmla="*/ 292 h 387"/>
                      <a:gd name="T30" fmla="*/ 273 w 312"/>
                      <a:gd name="T31" fmla="*/ 324 h 387"/>
                      <a:gd name="T32" fmla="*/ 244 w 312"/>
                      <a:gd name="T33" fmla="*/ 358 h 387"/>
                      <a:gd name="T34" fmla="*/ 218 w 312"/>
                      <a:gd name="T35" fmla="*/ 373 h 387"/>
                      <a:gd name="T36" fmla="*/ 200 w 312"/>
                      <a:gd name="T37" fmla="*/ 380 h 387"/>
                      <a:gd name="T38" fmla="*/ 173 w 312"/>
                      <a:gd name="T39" fmla="*/ 385 h 387"/>
                      <a:gd name="T40" fmla="*/ 147 w 312"/>
                      <a:gd name="T41" fmla="*/ 387 h 387"/>
                      <a:gd name="T42" fmla="*/ 0 w 312"/>
                      <a:gd name="T43" fmla="*/ 387 h 387"/>
                      <a:gd name="T44" fmla="*/ 126 w 312"/>
                      <a:gd name="T45" fmla="*/ 341 h 387"/>
                      <a:gd name="T46" fmla="*/ 168 w 312"/>
                      <a:gd name="T47" fmla="*/ 336 h 387"/>
                      <a:gd name="T48" fmla="*/ 202 w 312"/>
                      <a:gd name="T49" fmla="*/ 327 h 387"/>
                      <a:gd name="T50" fmla="*/ 223 w 312"/>
                      <a:gd name="T51" fmla="*/ 309 h 387"/>
                      <a:gd name="T52" fmla="*/ 239 w 312"/>
                      <a:gd name="T53" fmla="*/ 285 h 387"/>
                      <a:gd name="T54" fmla="*/ 247 w 312"/>
                      <a:gd name="T55" fmla="*/ 266 h 387"/>
                      <a:gd name="T56" fmla="*/ 252 w 312"/>
                      <a:gd name="T57" fmla="*/ 244 h 387"/>
                      <a:gd name="T58" fmla="*/ 257 w 312"/>
                      <a:gd name="T59" fmla="*/ 219 h 387"/>
                      <a:gd name="T60" fmla="*/ 257 w 312"/>
                      <a:gd name="T61" fmla="*/ 192 h 387"/>
                      <a:gd name="T62" fmla="*/ 257 w 312"/>
                      <a:gd name="T63" fmla="*/ 166 h 387"/>
                      <a:gd name="T64" fmla="*/ 252 w 312"/>
                      <a:gd name="T65" fmla="*/ 139 h 387"/>
                      <a:gd name="T66" fmla="*/ 247 w 312"/>
                      <a:gd name="T67" fmla="*/ 117 h 387"/>
                      <a:gd name="T68" fmla="*/ 239 w 312"/>
                      <a:gd name="T69" fmla="*/ 100 h 387"/>
                      <a:gd name="T70" fmla="*/ 218 w 312"/>
                      <a:gd name="T71" fmla="*/ 73 h 387"/>
                      <a:gd name="T72" fmla="*/ 189 w 312"/>
                      <a:gd name="T73" fmla="*/ 56 h 387"/>
                      <a:gd name="T74" fmla="*/ 163 w 312"/>
                      <a:gd name="T75" fmla="*/ 49 h 387"/>
                      <a:gd name="T76" fmla="*/ 126 w 312"/>
                      <a:gd name="T77" fmla="*/ 46 h 387"/>
                      <a:gd name="T78" fmla="*/ 47 w 312"/>
                      <a:gd name="T79" fmla="*/ 341 h 387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w 312"/>
                      <a:gd name="T121" fmla="*/ 0 h 387"/>
                      <a:gd name="T122" fmla="*/ 312 w 312"/>
                      <a:gd name="T123" fmla="*/ 387 h 387"/>
                    </a:gdLst>
                    <a:ahLst/>
                    <a:cxnLst>
                      <a:cxn ang="T80">
                        <a:pos x="T0" y="T1"/>
                      </a:cxn>
                      <a:cxn ang="T81">
                        <a:pos x="T2" y="T3"/>
                      </a:cxn>
                      <a:cxn ang="T82">
                        <a:pos x="T4" y="T5"/>
                      </a:cxn>
                      <a:cxn ang="T83">
                        <a:pos x="T6" y="T7"/>
                      </a:cxn>
                      <a:cxn ang="T84">
                        <a:pos x="T8" y="T9"/>
                      </a:cxn>
                      <a:cxn ang="T85">
                        <a:pos x="T10" y="T11"/>
                      </a:cxn>
                      <a:cxn ang="T86">
                        <a:pos x="T12" y="T13"/>
                      </a:cxn>
                      <a:cxn ang="T87">
                        <a:pos x="T14" y="T15"/>
                      </a:cxn>
                      <a:cxn ang="T88">
                        <a:pos x="T16" y="T17"/>
                      </a:cxn>
                      <a:cxn ang="T89">
                        <a:pos x="T18" y="T19"/>
                      </a:cxn>
                      <a:cxn ang="T90">
                        <a:pos x="T20" y="T21"/>
                      </a:cxn>
                      <a:cxn ang="T91">
                        <a:pos x="T22" y="T23"/>
                      </a:cxn>
                      <a:cxn ang="T92">
                        <a:pos x="T24" y="T25"/>
                      </a:cxn>
                      <a:cxn ang="T93">
                        <a:pos x="T26" y="T27"/>
                      </a:cxn>
                      <a:cxn ang="T94">
                        <a:pos x="T28" y="T29"/>
                      </a:cxn>
                      <a:cxn ang="T95">
                        <a:pos x="T30" y="T31"/>
                      </a:cxn>
                      <a:cxn ang="T96">
                        <a:pos x="T32" y="T33"/>
                      </a:cxn>
                      <a:cxn ang="T97">
                        <a:pos x="T34" y="T35"/>
                      </a:cxn>
                      <a:cxn ang="T98">
                        <a:pos x="T36" y="T37"/>
                      </a:cxn>
                      <a:cxn ang="T99">
                        <a:pos x="T38" y="T39"/>
                      </a:cxn>
                      <a:cxn ang="T100">
                        <a:pos x="T40" y="T41"/>
                      </a:cxn>
                      <a:cxn ang="T101">
                        <a:pos x="T42" y="T43"/>
                      </a:cxn>
                      <a:cxn ang="T102">
                        <a:pos x="T44" y="T45"/>
                      </a:cxn>
                      <a:cxn ang="T103">
                        <a:pos x="T46" y="T47"/>
                      </a:cxn>
                      <a:cxn ang="T104">
                        <a:pos x="T48" y="T49"/>
                      </a:cxn>
                      <a:cxn ang="T105">
                        <a:pos x="T50" y="T51"/>
                      </a:cxn>
                      <a:cxn ang="T106">
                        <a:pos x="T52" y="T53"/>
                      </a:cxn>
                      <a:cxn ang="T107">
                        <a:pos x="T54" y="T55"/>
                      </a:cxn>
                      <a:cxn ang="T108">
                        <a:pos x="T56" y="T57"/>
                      </a:cxn>
                      <a:cxn ang="T109">
                        <a:pos x="T58" y="T59"/>
                      </a:cxn>
                      <a:cxn ang="T110">
                        <a:pos x="T60" y="T61"/>
                      </a:cxn>
                      <a:cxn ang="T111">
                        <a:pos x="T62" y="T63"/>
                      </a:cxn>
                      <a:cxn ang="T112">
                        <a:pos x="T64" y="T65"/>
                      </a:cxn>
                      <a:cxn ang="T113">
                        <a:pos x="T66" y="T67"/>
                      </a:cxn>
                      <a:cxn ang="T114">
                        <a:pos x="T68" y="T69"/>
                      </a:cxn>
                      <a:cxn ang="T115">
                        <a:pos x="T70" y="T71"/>
                      </a:cxn>
                      <a:cxn ang="T116">
                        <a:pos x="T72" y="T73"/>
                      </a:cxn>
                      <a:cxn ang="T117">
                        <a:pos x="T74" y="T75"/>
                      </a:cxn>
                      <a:cxn ang="T118">
                        <a:pos x="T76" y="T77"/>
                      </a:cxn>
                      <a:cxn ang="T119">
                        <a:pos x="T78" y="T79"/>
                      </a:cxn>
                    </a:cxnLst>
                    <a:rect l="T120" t="T121" r="T122" b="T123"/>
                    <a:pathLst>
                      <a:path w="312" h="387">
                        <a:moveTo>
                          <a:pt x="0" y="387"/>
                        </a:moveTo>
                        <a:lnTo>
                          <a:pt x="0" y="0"/>
                        </a:lnTo>
                        <a:lnTo>
                          <a:pt x="126" y="0"/>
                        </a:lnTo>
                        <a:lnTo>
                          <a:pt x="150" y="0"/>
                        </a:lnTo>
                        <a:lnTo>
                          <a:pt x="168" y="2"/>
                        </a:lnTo>
                        <a:lnTo>
                          <a:pt x="186" y="7"/>
                        </a:lnTo>
                        <a:lnTo>
                          <a:pt x="202" y="10"/>
                        </a:lnTo>
                        <a:lnTo>
                          <a:pt x="218" y="15"/>
                        </a:lnTo>
                        <a:lnTo>
                          <a:pt x="231" y="22"/>
                        </a:lnTo>
                        <a:lnTo>
                          <a:pt x="244" y="32"/>
                        </a:lnTo>
                        <a:lnTo>
                          <a:pt x="257" y="41"/>
                        </a:lnTo>
                        <a:lnTo>
                          <a:pt x="268" y="56"/>
                        </a:lnTo>
                        <a:lnTo>
                          <a:pt x="278" y="71"/>
                        </a:lnTo>
                        <a:lnTo>
                          <a:pt x="286" y="88"/>
                        </a:lnTo>
                        <a:lnTo>
                          <a:pt x="294" y="105"/>
                        </a:lnTo>
                        <a:lnTo>
                          <a:pt x="297" y="114"/>
                        </a:lnTo>
                        <a:lnTo>
                          <a:pt x="302" y="124"/>
                        </a:lnTo>
                        <a:lnTo>
                          <a:pt x="304" y="134"/>
                        </a:lnTo>
                        <a:lnTo>
                          <a:pt x="307" y="146"/>
                        </a:lnTo>
                        <a:lnTo>
                          <a:pt x="310" y="158"/>
                        </a:lnTo>
                        <a:lnTo>
                          <a:pt x="310" y="168"/>
                        </a:lnTo>
                        <a:lnTo>
                          <a:pt x="312" y="180"/>
                        </a:lnTo>
                        <a:lnTo>
                          <a:pt x="312" y="192"/>
                        </a:lnTo>
                        <a:lnTo>
                          <a:pt x="312" y="210"/>
                        </a:lnTo>
                        <a:lnTo>
                          <a:pt x="310" y="224"/>
                        </a:lnTo>
                        <a:lnTo>
                          <a:pt x="307" y="239"/>
                        </a:lnTo>
                        <a:lnTo>
                          <a:pt x="304" y="253"/>
                        </a:lnTo>
                        <a:lnTo>
                          <a:pt x="302" y="268"/>
                        </a:lnTo>
                        <a:lnTo>
                          <a:pt x="297" y="280"/>
                        </a:lnTo>
                        <a:lnTo>
                          <a:pt x="291" y="292"/>
                        </a:lnTo>
                        <a:lnTo>
                          <a:pt x="286" y="305"/>
                        </a:lnTo>
                        <a:lnTo>
                          <a:pt x="273" y="324"/>
                        </a:lnTo>
                        <a:lnTo>
                          <a:pt x="260" y="344"/>
                        </a:lnTo>
                        <a:lnTo>
                          <a:pt x="244" y="358"/>
                        </a:lnTo>
                        <a:lnTo>
                          <a:pt x="228" y="368"/>
                        </a:lnTo>
                        <a:lnTo>
                          <a:pt x="218" y="373"/>
                        </a:lnTo>
                        <a:lnTo>
                          <a:pt x="210" y="375"/>
                        </a:lnTo>
                        <a:lnTo>
                          <a:pt x="200" y="380"/>
                        </a:lnTo>
                        <a:lnTo>
                          <a:pt x="186" y="383"/>
                        </a:lnTo>
                        <a:lnTo>
                          <a:pt x="173" y="385"/>
                        </a:lnTo>
                        <a:lnTo>
                          <a:pt x="160" y="385"/>
                        </a:lnTo>
                        <a:lnTo>
                          <a:pt x="147" y="387"/>
                        </a:lnTo>
                        <a:lnTo>
                          <a:pt x="131" y="387"/>
                        </a:lnTo>
                        <a:lnTo>
                          <a:pt x="0" y="387"/>
                        </a:lnTo>
                        <a:close/>
                        <a:moveTo>
                          <a:pt x="47" y="341"/>
                        </a:moveTo>
                        <a:lnTo>
                          <a:pt x="126" y="341"/>
                        </a:lnTo>
                        <a:lnTo>
                          <a:pt x="150" y="341"/>
                        </a:lnTo>
                        <a:lnTo>
                          <a:pt x="168" y="336"/>
                        </a:lnTo>
                        <a:lnTo>
                          <a:pt x="186" y="334"/>
                        </a:lnTo>
                        <a:lnTo>
                          <a:pt x="202" y="327"/>
                        </a:lnTo>
                        <a:lnTo>
                          <a:pt x="213" y="319"/>
                        </a:lnTo>
                        <a:lnTo>
                          <a:pt x="223" y="309"/>
                        </a:lnTo>
                        <a:lnTo>
                          <a:pt x="231" y="300"/>
                        </a:lnTo>
                        <a:lnTo>
                          <a:pt x="239" y="285"/>
                        </a:lnTo>
                        <a:lnTo>
                          <a:pt x="244" y="275"/>
                        </a:lnTo>
                        <a:lnTo>
                          <a:pt x="247" y="266"/>
                        </a:lnTo>
                        <a:lnTo>
                          <a:pt x="249" y="256"/>
                        </a:lnTo>
                        <a:lnTo>
                          <a:pt x="252" y="244"/>
                        </a:lnTo>
                        <a:lnTo>
                          <a:pt x="255" y="231"/>
                        </a:lnTo>
                        <a:lnTo>
                          <a:pt x="257" y="219"/>
                        </a:lnTo>
                        <a:lnTo>
                          <a:pt x="257" y="207"/>
                        </a:lnTo>
                        <a:lnTo>
                          <a:pt x="257" y="192"/>
                        </a:lnTo>
                        <a:lnTo>
                          <a:pt x="257" y="178"/>
                        </a:lnTo>
                        <a:lnTo>
                          <a:pt x="257" y="166"/>
                        </a:lnTo>
                        <a:lnTo>
                          <a:pt x="255" y="151"/>
                        </a:lnTo>
                        <a:lnTo>
                          <a:pt x="252" y="139"/>
                        </a:lnTo>
                        <a:lnTo>
                          <a:pt x="249" y="129"/>
                        </a:lnTo>
                        <a:lnTo>
                          <a:pt x="247" y="117"/>
                        </a:lnTo>
                        <a:lnTo>
                          <a:pt x="244" y="110"/>
                        </a:lnTo>
                        <a:lnTo>
                          <a:pt x="239" y="100"/>
                        </a:lnTo>
                        <a:lnTo>
                          <a:pt x="228" y="85"/>
                        </a:lnTo>
                        <a:lnTo>
                          <a:pt x="218" y="73"/>
                        </a:lnTo>
                        <a:lnTo>
                          <a:pt x="202" y="63"/>
                        </a:lnTo>
                        <a:lnTo>
                          <a:pt x="189" y="56"/>
                        </a:lnTo>
                        <a:lnTo>
                          <a:pt x="179" y="54"/>
                        </a:lnTo>
                        <a:lnTo>
                          <a:pt x="163" y="49"/>
                        </a:lnTo>
                        <a:lnTo>
                          <a:pt x="144" y="46"/>
                        </a:lnTo>
                        <a:lnTo>
                          <a:pt x="126" y="46"/>
                        </a:lnTo>
                        <a:lnTo>
                          <a:pt x="47" y="46"/>
                        </a:lnTo>
                        <a:lnTo>
                          <a:pt x="47" y="341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5" name="Freeform 9">
                    <a:extLst>
                      <a:ext uri="{FF2B5EF4-FFF2-40B4-BE49-F238E27FC236}">
                        <a16:creationId xmlns:a16="http://schemas.microsoft.com/office/drawing/2014/main" id="{00000000-0008-0000-0100-00000F000000}"/>
                      </a:ext>
                    </a:extLst>
                  </xdr:cNvPr>
                  <xdr:cNvSpPr>
                    <a:spLocks noEditPoints="1"/>
                  </xdr:cNvSpPr>
                </xdr:nvSpPr>
                <xdr:spPr bwMode="auto">
                  <a:xfrm>
                    <a:off x="5709" y="13337"/>
                    <a:ext cx="362" cy="402"/>
                  </a:xfrm>
                  <a:custGeom>
                    <a:avLst/>
                    <a:gdLst>
                      <a:gd name="T0" fmla="*/ 3 w 362"/>
                      <a:gd name="T1" fmla="*/ 160 h 402"/>
                      <a:gd name="T2" fmla="*/ 21 w 362"/>
                      <a:gd name="T3" fmla="*/ 102 h 402"/>
                      <a:gd name="T4" fmla="*/ 50 w 362"/>
                      <a:gd name="T5" fmla="*/ 56 h 402"/>
                      <a:gd name="T6" fmla="*/ 92 w 362"/>
                      <a:gd name="T7" fmla="*/ 24 h 402"/>
                      <a:gd name="T8" fmla="*/ 144 w 362"/>
                      <a:gd name="T9" fmla="*/ 4 h 402"/>
                      <a:gd name="T10" fmla="*/ 194 w 362"/>
                      <a:gd name="T11" fmla="*/ 0 h 402"/>
                      <a:gd name="T12" fmla="*/ 228 w 362"/>
                      <a:gd name="T13" fmla="*/ 7 h 402"/>
                      <a:gd name="T14" fmla="*/ 260 w 362"/>
                      <a:gd name="T15" fmla="*/ 19 h 402"/>
                      <a:gd name="T16" fmla="*/ 310 w 362"/>
                      <a:gd name="T17" fmla="*/ 56 h 402"/>
                      <a:gd name="T18" fmla="*/ 341 w 362"/>
                      <a:gd name="T19" fmla="*/ 107 h 402"/>
                      <a:gd name="T20" fmla="*/ 357 w 362"/>
                      <a:gd name="T21" fmla="*/ 143 h 402"/>
                      <a:gd name="T22" fmla="*/ 362 w 362"/>
                      <a:gd name="T23" fmla="*/ 187 h 402"/>
                      <a:gd name="T24" fmla="*/ 360 w 362"/>
                      <a:gd name="T25" fmla="*/ 243 h 402"/>
                      <a:gd name="T26" fmla="*/ 344 w 362"/>
                      <a:gd name="T27" fmla="*/ 299 h 402"/>
                      <a:gd name="T28" fmla="*/ 315 w 362"/>
                      <a:gd name="T29" fmla="*/ 343 h 402"/>
                      <a:gd name="T30" fmla="*/ 273 w 362"/>
                      <a:gd name="T31" fmla="*/ 380 h 402"/>
                      <a:gd name="T32" fmla="*/ 221 w 362"/>
                      <a:gd name="T33" fmla="*/ 397 h 402"/>
                      <a:gd name="T34" fmla="*/ 163 w 362"/>
                      <a:gd name="T35" fmla="*/ 402 h 402"/>
                      <a:gd name="T36" fmla="*/ 108 w 362"/>
                      <a:gd name="T37" fmla="*/ 387 h 402"/>
                      <a:gd name="T38" fmla="*/ 58 w 362"/>
                      <a:gd name="T39" fmla="*/ 355 h 402"/>
                      <a:gd name="T40" fmla="*/ 26 w 362"/>
                      <a:gd name="T41" fmla="*/ 314 h 402"/>
                      <a:gd name="T42" fmla="*/ 5 w 362"/>
                      <a:gd name="T43" fmla="*/ 263 h 402"/>
                      <a:gd name="T44" fmla="*/ 0 w 362"/>
                      <a:gd name="T45" fmla="*/ 207 h 402"/>
                      <a:gd name="T46" fmla="*/ 55 w 362"/>
                      <a:gd name="T47" fmla="*/ 241 h 402"/>
                      <a:gd name="T48" fmla="*/ 68 w 362"/>
                      <a:gd name="T49" fmla="*/ 285 h 402"/>
                      <a:gd name="T50" fmla="*/ 89 w 362"/>
                      <a:gd name="T51" fmla="*/ 316 h 402"/>
                      <a:gd name="T52" fmla="*/ 118 w 362"/>
                      <a:gd name="T53" fmla="*/ 341 h 402"/>
                      <a:gd name="T54" fmla="*/ 155 w 362"/>
                      <a:gd name="T55" fmla="*/ 355 h 402"/>
                      <a:gd name="T56" fmla="*/ 194 w 362"/>
                      <a:gd name="T57" fmla="*/ 358 h 402"/>
                      <a:gd name="T58" fmla="*/ 231 w 362"/>
                      <a:gd name="T59" fmla="*/ 348 h 402"/>
                      <a:gd name="T60" fmla="*/ 260 w 362"/>
                      <a:gd name="T61" fmla="*/ 329 h 402"/>
                      <a:gd name="T62" fmla="*/ 289 w 362"/>
                      <a:gd name="T63" fmla="*/ 297 h 402"/>
                      <a:gd name="T64" fmla="*/ 304 w 362"/>
                      <a:gd name="T65" fmla="*/ 256 h 402"/>
                      <a:gd name="T66" fmla="*/ 310 w 362"/>
                      <a:gd name="T67" fmla="*/ 202 h 402"/>
                      <a:gd name="T68" fmla="*/ 307 w 362"/>
                      <a:gd name="T69" fmla="*/ 165 h 402"/>
                      <a:gd name="T70" fmla="*/ 297 w 362"/>
                      <a:gd name="T71" fmla="*/ 131 h 402"/>
                      <a:gd name="T72" fmla="*/ 281 w 362"/>
                      <a:gd name="T73" fmla="*/ 100 h 402"/>
                      <a:gd name="T74" fmla="*/ 247 w 362"/>
                      <a:gd name="T75" fmla="*/ 65 h 402"/>
                      <a:gd name="T76" fmla="*/ 200 w 362"/>
                      <a:gd name="T77" fmla="*/ 46 h 402"/>
                      <a:gd name="T78" fmla="*/ 155 w 362"/>
                      <a:gd name="T79" fmla="*/ 48 h 402"/>
                      <a:gd name="T80" fmla="*/ 118 w 362"/>
                      <a:gd name="T81" fmla="*/ 61 h 402"/>
                      <a:gd name="T82" fmla="*/ 89 w 362"/>
                      <a:gd name="T83" fmla="*/ 85 h 402"/>
                      <a:gd name="T84" fmla="*/ 68 w 362"/>
                      <a:gd name="T85" fmla="*/ 121 h 402"/>
                      <a:gd name="T86" fmla="*/ 55 w 362"/>
                      <a:gd name="T87" fmla="*/ 170 h 402"/>
                      <a:gd name="T88" fmla="*/ 53 w 362"/>
                      <a:gd name="T89" fmla="*/ 207 h 402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w 362"/>
                      <a:gd name="T136" fmla="*/ 0 h 402"/>
                      <a:gd name="T137" fmla="*/ 362 w 362"/>
                      <a:gd name="T138" fmla="*/ 402 h 402"/>
                    </a:gdLst>
                    <a:ahLst/>
                    <a:cxnLst>
                      <a:cxn ang="T90">
                        <a:pos x="T0" y="T1"/>
                      </a:cxn>
                      <a:cxn ang="T91">
                        <a:pos x="T2" y="T3"/>
                      </a:cxn>
                      <a:cxn ang="T92">
                        <a:pos x="T4" y="T5"/>
                      </a:cxn>
                      <a:cxn ang="T93">
                        <a:pos x="T6" y="T7"/>
                      </a:cxn>
                      <a:cxn ang="T94">
                        <a:pos x="T8" y="T9"/>
                      </a:cxn>
                      <a:cxn ang="T95">
                        <a:pos x="T10" y="T11"/>
                      </a:cxn>
                      <a:cxn ang="T96">
                        <a:pos x="T12" y="T13"/>
                      </a:cxn>
                      <a:cxn ang="T97">
                        <a:pos x="T14" y="T15"/>
                      </a:cxn>
                      <a:cxn ang="T98">
                        <a:pos x="T16" y="T17"/>
                      </a:cxn>
                      <a:cxn ang="T99">
                        <a:pos x="T18" y="T19"/>
                      </a:cxn>
                      <a:cxn ang="T100">
                        <a:pos x="T20" y="T21"/>
                      </a:cxn>
                      <a:cxn ang="T101">
                        <a:pos x="T22" y="T23"/>
                      </a:cxn>
                      <a:cxn ang="T102">
                        <a:pos x="T24" y="T25"/>
                      </a:cxn>
                      <a:cxn ang="T103">
                        <a:pos x="T26" y="T27"/>
                      </a:cxn>
                      <a:cxn ang="T104">
                        <a:pos x="T28" y="T29"/>
                      </a:cxn>
                      <a:cxn ang="T105">
                        <a:pos x="T30" y="T31"/>
                      </a:cxn>
                      <a:cxn ang="T106">
                        <a:pos x="T32" y="T33"/>
                      </a:cxn>
                      <a:cxn ang="T107">
                        <a:pos x="T34" y="T35"/>
                      </a:cxn>
                      <a:cxn ang="T108">
                        <a:pos x="T36" y="T37"/>
                      </a:cxn>
                      <a:cxn ang="T109">
                        <a:pos x="T38" y="T39"/>
                      </a:cxn>
                      <a:cxn ang="T110">
                        <a:pos x="T40" y="T41"/>
                      </a:cxn>
                      <a:cxn ang="T111">
                        <a:pos x="T42" y="T43"/>
                      </a:cxn>
                      <a:cxn ang="T112">
                        <a:pos x="T44" y="T45"/>
                      </a:cxn>
                      <a:cxn ang="T113">
                        <a:pos x="T46" y="T47"/>
                      </a:cxn>
                      <a:cxn ang="T114">
                        <a:pos x="T48" y="T49"/>
                      </a:cxn>
                      <a:cxn ang="T115">
                        <a:pos x="T50" y="T51"/>
                      </a:cxn>
                      <a:cxn ang="T116">
                        <a:pos x="T52" y="T53"/>
                      </a:cxn>
                      <a:cxn ang="T117">
                        <a:pos x="T54" y="T55"/>
                      </a:cxn>
                      <a:cxn ang="T118">
                        <a:pos x="T56" y="T57"/>
                      </a:cxn>
                      <a:cxn ang="T119">
                        <a:pos x="T58" y="T59"/>
                      </a:cxn>
                      <a:cxn ang="T120">
                        <a:pos x="T60" y="T61"/>
                      </a:cxn>
                      <a:cxn ang="T121">
                        <a:pos x="T62" y="T63"/>
                      </a:cxn>
                      <a:cxn ang="T122">
                        <a:pos x="T64" y="T65"/>
                      </a:cxn>
                      <a:cxn ang="T123">
                        <a:pos x="T66" y="T67"/>
                      </a:cxn>
                      <a:cxn ang="T124">
                        <a:pos x="T68" y="T69"/>
                      </a:cxn>
                      <a:cxn ang="T125">
                        <a:pos x="T70" y="T71"/>
                      </a:cxn>
                      <a:cxn ang="T126">
                        <a:pos x="T72" y="T73"/>
                      </a:cxn>
                      <a:cxn ang="T127">
                        <a:pos x="T74" y="T75"/>
                      </a:cxn>
                      <a:cxn ang="T128">
                        <a:pos x="T76" y="T77"/>
                      </a:cxn>
                      <a:cxn ang="T129">
                        <a:pos x="T78" y="T79"/>
                      </a:cxn>
                      <a:cxn ang="T130">
                        <a:pos x="T80" y="T81"/>
                      </a:cxn>
                      <a:cxn ang="T131">
                        <a:pos x="T82" y="T83"/>
                      </a:cxn>
                      <a:cxn ang="T132">
                        <a:pos x="T84" y="T85"/>
                      </a:cxn>
                      <a:cxn ang="T133">
                        <a:pos x="T86" y="T87"/>
                      </a:cxn>
                      <a:cxn ang="T134">
                        <a:pos x="T88" y="T89"/>
                      </a:cxn>
                    </a:cxnLst>
                    <a:rect l="T135" t="T136" r="T137" b="T138"/>
                    <a:pathLst>
                      <a:path w="362" h="402">
                        <a:moveTo>
                          <a:pt x="0" y="207"/>
                        </a:moveTo>
                        <a:lnTo>
                          <a:pt x="0" y="182"/>
                        </a:lnTo>
                        <a:lnTo>
                          <a:pt x="3" y="160"/>
                        </a:lnTo>
                        <a:lnTo>
                          <a:pt x="8" y="141"/>
                        </a:lnTo>
                        <a:lnTo>
                          <a:pt x="13" y="121"/>
                        </a:lnTo>
                        <a:lnTo>
                          <a:pt x="21" y="102"/>
                        </a:lnTo>
                        <a:lnTo>
                          <a:pt x="29" y="85"/>
                        </a:lnTo>
                        <a:lnTo>
                          <a:pt x="40" y="70"/>
                        </a:lnTo>
                        <a:lnTo>
                          <a:pt x="50" y="56"/>
                        </a:lnTo>
                        <a:lnTo>
                          <a:pt x="63" y="43"/>
                        </a:lnTo>
                        <a:lnTo>
                          <a:pt x="79" y="31"/>
                        </a:lnTo>
                        <a:lnTo>
                          <a:pt x="92" y="24"/>
                        </a:lnTo>
                        <a:lnTo>
                          <a:pt x="110" y="14"/>
                        </a:lnTo>
                        <a:lnTo>
                          <a:pt x="126" y="9"/>
                        </a:lnTo>
                        <a:lnTo>
                          <a:pt x="144" y="4"/>
                        </a:lnTo>
                        <a:lnTo>
                          <a:pt x="163" y="0"/>
                        </a:lnTo>
                        <a:lnTo>
                          <a:pt x="184" y="0"/>
                        </a:lnTo>
                        <a:lnTo>
                          <a:pt x="194" y="0"/>
                        </a:lnTo>
                        <a:lnTo>
                          <a:pt x="207" y="2"/>
                        </a:lnTo>
                        <a:lnTo>
                          <a:pt x="218" y="4"/>
                        </a:lnTo>
                        <a:lnTo>
                          <a:pt x="228" y="7"/>
                        </a:lnTo>
                        <a:lnTo>
                          <a:pt x="239" y="9"/>
                        </a:lnTo>
                        <a:lnTo>
                          <a:pt x="249" y="14"/>
                        </a:lnTo>
                        <a:lnTo>
                          <a:pt x="260" y="19"/>
                        </a:lnTo>
                        <a:lnTo>
                          <a:pt x="270" y="24"/>
                        </a:lnTo>
                        <a:lnTo>
                          <a:pt x="291" y="39"/>
                        </a:lnTo>
                        <a:lnTo>
                          <a:pt x="310" y="56"/>
                        </a:lnTo>
                        <a:lnTo>
                          <a:pt x="325" y="73"/>
                        </a:lnTo>
                        <a:lnTo>
                          <a:pt x="336" y="95"/>
                        </a:lnTo>
                        <a:lnTo>
                          <a:pt x="341" y="107"/>
                        </a:lnTo>
                        <a:lnTo>
                          <a:pt x="349" y="119"/>
                        </a:lnTo>
                        <a:lnTo>
                          <a:pt x="352" y="131"/>
                        </a:lnTo>
                        <a:lnTo>
                          <a:pt x="357" y="143"/>
                        </a:lnTo>
                        <a:lnTo>
                          <a:pt x="360" y="158"/>
                        </a:lnTo>
                        <a:lnTo>
                          <a:pt x="360" y="173"/>
                        </a:lnTo>
                        <a:lnTo>
                          <a:pt x="362" y="187"/>
                        </a:lnTo>
                        <a:lnTo>
                          <a:pt x="362" y="202"/>
                        </a:lnTo>
                        <a:lnTo>
                          <a:pt x="362" y="224"/>
                        </a:lnTo>
                        <a:lnTo>
                          <a:pt x="360" y="243"/>
                        </a:lnTo>
                        <a:lnTo>
                          <a:pt x="354" y="263"/>
                        </a:lnTo>
                        <a:lnTo>
                          <a:pt x="352" y="282"/>
                        </a:lnTo>
                        <a:lnTo>
                          <a:pt x="344" y="299"/>
                        </a:lnTo>
                        <a:lnTo>
                          <a:pt x="336" y="314"/>
                        </a:lnTo>
                        <a:lnTo>
                          <a:pt x="325" y="329"/>
                        </a:lnTo>
                        <a:lnTo>
                          <a:pt x="315" y="343"/>
                        </a:lnTo>
                        <a:lnTo>
                          <a:pt x="302" y="358"/>
                        </a:lnTo>
                        <a:lnTo>
                          <a:pt x="289" y="368"/>
                        </a:lnTo>
                        <a:lnTo>
                          <a:pt x="273" y="380"/>
                        </a:lnTo>
                        <a:lnTo>
                          <a:pt x="257" y="387"/>
                        </a:lnTo>
                        <a:lnTo>
                          <a:pt x="239" y="394"/>
                        </a:lnTo>
                        <a:lnTo>
                          <a:pt x="221" y="397"/>
                        </a:lnTo>
                        <a:lnTo>
                          <a:pt x="202" y="402"/>
                        </a:lnTo>
                        <a:lnTo>
                          <a:pt x="184" y="402"/>
                        </a:lnTo>
                        <a:lnTo>
                          <a:pt x="163" y="402"/>
                        </a:lnTo>
                        <a:lnTo>
                          <a:pt x="144" y="397"/>
                        </a:lnTo>
                        <a:lnTo>
                          <a:pt x="123" y="394"/>
                        </a:lnTo>
                        <a:lnTo>
                          <a:pt x="108" y="387"/>
                        </a:lnTo>
                        <a:lnTo>
                          <a:pt x="89" y="377"/>
                        </a:lnTo>
                        <a:lnTo>
                          <a:pt x="74" y="368"/>
                        </a:lnTo>
                        <a:lnTo>
                          <a:pt x="58" y="355"/>
                        </a:lnTo>
                        <a:lnTo>
                          <a:pt x="45" y="341"/>
                        </a:lnTo>
                        <a:lnTo>
                          <a:pt x="34" y="329"/>
                        </a:lnTo>
                        <a:lnTo>
                          <a:pt x="26" y="314"/>
                        </a:lnTo>
                        <a:lnTo>
                          <a:pt x="19" y="297"/>
                        </a:lnTo>
                        <a:lnTo>
                          <a:pt x="11" y="280"/>
                        </a:lnTo>
                        <a:lnTo>
                          <a:pt x="5" y="263"/>
                        </a:lnTo>
                        <a:lnTo>
                          <a:pt x="3" y="246"/>
                        </a:lnTo>
                        <a:lnTo>
                          <a:pt x="0" y="226"/>
                        </a:lnTo>
                        <a:lnTo>
                          <a:pt x="0" y="207"/>
                        </a:lnTo>
                        <a:close/>
                        <a:moveTo>
                          <a:pt x="53" y="207"/>
                        </a:moveTo>
                        <a:lnTo>
                          <a:pt x="53" y="224"/>
                        </a:lnTo>
                        <a:lnTo>
                          <a:pt x="55" y="241"/>
                        </a:lnTo>
                        <a:lnTo>
                          <a:pt x="58" y="256"/>
                        </a:lnTo>
                        <a:lnTo>
                          <a:pt x="63" y="270"/>
                        </a:lnTo>
                        <a:lnTo>
                          <a:pt x="68" y="285"/>
                        </a:lnTo>
                        <a:lnTo>
                          <a:pt x="74" y="297"/>
                        </a:lnTo>
                        <a:lnTo>
                          <a:pt x="81" y="307"/>
                        </a:lnTo>
                        <a:lnTo>
                          <a:pt x="89" y="316"/>
                        </a:lnTo>
                        <a:lnTo>
                          <a:pt x="100" y="326"/>
                        </a:lnTo>
                        <a:lnTo>
                          <a:pt x="108" y="334"/>
                        </a:lnTo>
                        <a:lnTo>
                          <a:pt x="118" y="341"/>
                        </a:lnTo>
                        <a:lnTo>
                          <a:pt x="131" y="348"/>
                        </a:lnTo>
                        <a:lnTo>
                          <a:pt x="142" y="353"/>
                        </a:lnTo>
                        <a:lnTo>
                          <a:pt x="155" y="355"/>
                        </a:lnTo>
                        <a:lnTo>
                          <a:pt x="168" y="358"/>
                        </a:lnTo>
                        <a:lnTo>
                          <a:pt x="181" y="358"/>
                        </a:lnTo>
                        <a:lnTo>
                          <a:pt x="194" y="358"/>
                        </a:lnTo>
                        <a:lnTo>
                          <a:pt x="207" y="355"/>
                        </a:lnTo>
                        <a:lnTo>
                          <a:pt x="218" y="353"/>
                        </a:lnTo>
                        <a:lnTo>
                          <a:pt x="231" y="348"/>
                        </a:lnTo>
                        <a:lnTo>
                          <a:pt x="241" y="341"/>
                        </a:lnTo>
                        <a:lnTo>
                          <a:pt x="252" y="336"/>
                        </a:lnTo>
                        <a:lnTo>
                          <a:pt x="260" y="329"/>
                        </a:lnTo>
                        <a:lnTo>
                          <a:pt x="270" y="319"/>
                        </a:lnTo>
                        <a:lnTo>
                          <a:pt x="281" y="309"/>
                        </a:lnTo>
                        <a:lnTo>
                          <a:pt x="289" y="297"/>
                        </a:lnTo>
                        <a:lnTo>
                          <a:pt x="297" y="285"/>
                        </a:lnTo>
                        <a:lnTo>
                          <a:pt x="302" y="270"/>
                        </a:lnTo>
                        <a:lnTo>
                          <a:pt x="304" y="256"/>
                        </a:lnTo>
                        <a:lnTo>
                          <a:pt x="307" y="238"/>
                        </a:lnTo>
                        <a:lnTo>
                          <a:pt x="310" y="221"/>
                        </a:lnTo>
                        <a:lnTo>
                          <a:pt x="310" y="202"/>
                        </a:lnTo>
                        <a:lnTo>
                          <a:pt x="310" y="190"/>
                        </a:lnTo>
                        <a:lnTo>
                          <a:pt x="307" y="178"/>
                        </a:lnTo>
                        <a:lnTo>
                          <a:pt x="307" y="165"/>
                        </a:lnTo>
                        <a:lnTo>
                          <a:pt x="304" y="153"/>
                        </a:lnTo>
                        <a:lnTo>
                          <a:pt x="302" y="143"/>
                        </a:lnTo>
                        <a:lnTo>
                          <a:pt x="297" y="131"/>
                        </a:lnTo>
                        <a:lnTo>
                          <a:pt x="294" y="121"/>
                        </a:lnTo>
                        <a:lnTo>
                          <a:pt x="289" y="112"/>
                        </a:lnTo>
                        <a:lnTo>
                          <a:pt x="281" y="100"/>
                        </a:lnTo>
                        <a:lnTo>
                          <a:pt x="273" y="85"/>
                        </a:lnTo>
                        <a:lnTo>
                          <a:pt x="260" y="75"/>
                        </a:lnTo>
                        <a:lnTo>
                          <a:pt x="247" y="65"/>
                        </a:lnTo>
                        <a:lnTo>
                          <a:pt x="231" y="56"/>
                        </a:lnTo>
                        <a:lnTo>
                          <a:pt x="215" y="51"/>
                        </a:lnTo>
                        <a:lnTo>
                          <a:pt x="200" y="46"/>
                        </a:lnTo>
                        <a:lnTo>
                          <a:pt x="184" y="46"/>
                        </a:lnTo>
                        <a:lnTo>
                          <a:pt x="168" y="46"/>
                        </a:lnTo>
                        <a:lnTo>
                          <a:pt x="155" y="48"/>
                        </a:lnTo>
                        <a:lnTo>
                          <a:pt x="142" y="51"/>
                        </a:lnTo>
                        <a:lnTo>
                          <a:pt x="129" y="56"/>
                        </a:lnTo>
                        <a:lnTo>
                          <a:pt x="118" y="61"/>
                        </a:lnTo>
                        <a:lnTo>
                          <a:pt x="108" y="68"/>
                        </a:lnTo>
                        <a:lnTo>
                          <a:pt x="97" y="75"/>
                        </a:lnTo>
                        <a:lnTo>
                          <a:pt x="89" y="85"/>
                        </a:lnTo>
                        <a:lnTo>
                          <a:pt x="81" y="95"/>
                        </a:lnTo>
                        <a:lnTo>
                          <a:pt x="74" y="107"/>
                        </a:lnTo>
                        <a:lnTo>
                          <a:pt x="68" y="121"/>
                        </a:lnTo>
                        <a:lnTo>
                          <a:pt x="63" y="136"/>
                        </a:lnTo>
                        <a:lnTo>
                          <a:pt x="58" y="153"/>
                        </a:lnTo>
                        <a:lnTo>
                          <a:pt x="55" y="170"/>
                        </a:lnTo>
                        <a:lnTo>
                          <a:pt x="53" y="190"/>
                        </a:lnTo>
                        <a:lnTo>
                          <a:pt x="53" y="209"/>
                        </a:lnTo>
                        <a:lnTo>
                          <a:pt x="53" y="207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6" name="Freeform 10">
                    <a:extLst>
                      <a:ext uri="{FF2B5EF4-FFF2-40B4-BE49-F238E27FC236}">
                        <a16:creationId xmlns:a16="http://schemas.microsoft.com/office/drawing/2014/main" id="{00000000-0008-0000-0100-000010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6162" y="13356"/>
                    <a:ext cx="294" cy="387"/>
                  </a:xfrm>
                  <a:custGeom>
                    <a:avLst/>
                    <a:gdLst>
                      <a:gd name="T0" fmla="*/ 0 w 294"/>
                      <a:gd name="T1" fmla="*/ 387 h 387"/>
                      <a:gd name="T2" fmla="*/ 0 w 294"/>
                      <a:gd name="T3" fmla="*/ 0 h 387"/>
                      <a:gd name="T4" fmla="*/ 52 w 294"/>
                      <a:gd name="T5" fmla="*/ 0 h 387"/>
                      <a:gd name="T6" fmla="*/ 244 w 294"/>
                      <a:gd name="T7" fmla="*/ 305 h 387"/>
                      <a:gd name="T8" fmla="*/ 244 w 294"/>
                      <a:gd name="T9" fmla="*/ 0 h 387"/>
                      <a:gd name="T10" fmla="*/ 294 w 294"/>
                      <a:gd name="T11" fmla="*/ 0 h 387"/>
                      <a:gd name="T12" fmla="*/ 294 w 294"/>
                      <a:gd name="T13" fmla="*/ 387 h 387"/>
                      <a:gd name="T14" fmla="*/ 239 w 294"/>
                      <a:gd name="T15" fmla="*/ 387 h 387"/>
                      <a:gd name="T16" fmla="*/ 47 w 294"/>
                      <a:gd name="T17" fmla="*/ 85 h 387"/>
                      <a:gd name="T18" fmla="*/ 47 w 294"/>
                      <a:gd name="T19" fmla="*/ 387 h 387"/>
                      <a:gd name="T20" fmla="*/ 0 w 294"/>
                      <a:gd name="T21" fmla="*/ 387 h 387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w 294"/>
                      <a:gd name="T34" fmla="*/ 0 h 387"/>
                      <a:gd name="T35" fmla="*/ 294 w 294"/>
                      <a:gd name="T36" fmla="*/ 387 h 387"/>
                    </a:gdLst>
                    <a:ahLst/>
                    <a:cxnLst>
                      <a:cxn ang="T22">
                        <a:pos x="T0" y="T1"/>
                      </a:cxn>
                      <a:cxn ang="T23">
                        <a:pos x="T2" y="T3"/>
                      </a:cxn>
                      <a:cxn ang="T24">
                        <a:pos x="T4" y="T5"/>
                      </a:cxn>
                      <a:cxn ang="T25">
                        <a:pos x="T6" y="T7"/>
                      </a:cxn>
                      <a:cxn ang="T26">
                        <a:pos x="T8" y="T9"/>
                      </a:cxn>
                      <a:cxn ang="T27">
                        <a:pos x="T10" y="T11"/>
                      </a:cxn>
                      <a:cxn ang="T28">
                        <a:pos x="T12" y="T13"/>
                      </a:cxn>
                      <a:cxn ang="T29">
                        <a:pos x="T14" y="T15"/>
                      </a:cxn>
                      <a:cxn ang="T30">
                        <a:pos x="T16" y="T17"/>
                      </a:cxn>
                      <a:cxn ang="T31">
                        <a:pos x="T18" y="T19"/>
                      </a:cxn>
                      <a:cxn ang="T32">
                        <a:pos x="T20" y="T21"/>
                      </a:cxn>
                    </a:cxnLst>
                    <a:rect l="T33" t="T34" r="T35" b="T36"/>
                    <a:pathLst>
                      <a:path w="294" h="387">
                        <a:moveTo>
                          <a:pt x="0" y="387"/>
                        </a:moveTo>
                        <a:lnTo>
                          <a:pt x="0" y="0"/>
                        </a:lnTo>
                        <a:lnTo>
                          <a:pt x="52" y="0"/>
                        </a:lnTo>
                        <a:lnTo>
                          <a:pt x="244" y="305"/>
                        </a:lnTo>
                        <a:lnTo>
                          <a:pt x="244" y="0"/>
                        </a:lnTo>
                        <a:lnTo>
                          <a:pt x="294" y="0"/>
                        </a:lnTo>
                        <a:lnTo>
                          <a:pt x="294" y="387"/>
                        </a:lnTo>
                        <a:lnTo>
                          <a:pt x="239" y="387"/>
                        </a:lnTo>
                        <a:lnTo>
                          <a:pt x="47" y="85"/>
                        </a:lnTo>
                        <a:lnTo>
                          <a:pt x="47" y="387"/>
                        </a:lnTo>
                        <a:lnTo>
                          <a:pt x="0" y="387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7" name="Freeform 11">
                    <a:extLst>
                      <a:ext uri="{FF2B5EF4-FFF2-40B4-BE49-F238E27FC236}">
                        <a16:creationId xmlns:a16="http://schemas.microsoft.com/office/drawing/2014/main" id="{00000000-0008-0000-0100-000011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6582" y="13356"/>
                    <a:ext cx="281" cy="387"/>
                  </a:xfrm>
                  <a:custGeom>
                    <a:avLst/>
                    <a:gdLst>
                      <a:gd name="T0" fmla="*/ 0 w 281"/>
                      <a:gd name="T1" fmla="*/ 387 h 387"/>
                      <a:gd name="T2" fmla="*/ 0 w 281"/>
                      <a:gd name="T3" fmla="*/ 0 h 387"/>
                      <a:gd name="T4" fmla="*/ 273 w 281"/>
                      <a:gd name="T5" fmla="*/ 0 h 387"/>
                      <a:gd name="T6" fmla="*/ 273 w 281"/>
                      <a:gd name="T7" fmla="*/ 46 h 387"/>
                      <a:gd name="T8" fmla="*/ 47 w 281"/>
                      <a:gd name="T9" fmla="*/ 46 h 387"/>
                      <a:gd name="T10" fmla="*/ 47 w 281"/>
                      <a:gd name="T11" fmla="*/ 163 h 387"/>
                      <a:gd name="T12" fmla="*/ 260 w 281"/>
                      <a:gd name="T13" fmla="*/ 163 h 387"/>
                      <a:gd name="T14" fmla="*/ 260 w 281"/>
                      <a:gd name="T15" fmla="*/ 210 h 387"/>
                      <a:gd name="T16" fmla="*/ 47 w 281"/>
                      <a:gd name="T17" fmla="*/ 210 h 387"/>
                      <a:gd name="T18" fmla="*/ 47 w 281"/>
                      <a:gd name="T19" fmla="*/ 341 h 387"/>
                      <a:gd name="T20" fmla="*/ 281 w 281"/>
                      <a:gd name="T21" fmla="*/ 341 h 387"/>
                      <a:gd name="T22" fmla="*/ 281 w 281"/>
                      <a:gd name="T23" fmla="*/ 387 h 387"/>
                      <a:gd name="T24" fmla="*/ 0 w 281"/>
                      <a:gd name="T25" fmla="*/ 387 h 387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w 281"/>
                      <a:gd name="T40" fmla="*/ 0 h 387"/>
                      <a:gd name="T41" fmla="*/ 281 w 281"/>
                      <a:gd name="T42" fmla="*/ 387 h 387"/>
                    </a:gdLst>
                    <a:ahLst/>
                    <a:cxnLst>
                      <a:cxn ang="T26">
                        <a:pos x="T0" y="T1"/>
                      </a:cxn>
                      <a:cxn ang="T27">
                        <a:pos x="T2" y="T3"/>
                      </a:cxn>
                      <a:cxn ang="T28">
                        <a:pos x="T4" y="T5"/>
                      </a:cxn>
                      <a:cxn ang="T29">
                        <a:pos x="T6" y="T7"/>
                      </a:cxn>
                      <a:cxn ang="T30">
                        <a:pos x="T8" y="T9"/>
                      </a:cxn>
                      <a:cxn ang="T31">
                        <a:pos x="T10" y="T11"/>
                      </a:cxn>
                      <a:cxn ang="T32">
                        <a:pos x="T12" y="T13"/>
                      </a:cxn>
                      <a:cxn ang="T33">
                        <a:pos x="T14" y="T15"/>
                      </a:cxn>
                      <a:cxn ang="T34">
                        <a:pos x="T16" y="T17"/>
                      </a:cxn>
                      <a:cxn ang="T35">
                        <a:pos x="T18" y="T19"/>
                      </a:cxn>
                      <a:cxn ang="T36">
                        <a:pos x="T20" y="T21"/>
                      </a:cxn>
                      <a:cxn ang="T37">
                        <a:pos x="T22" y="T23"/>
                      </a:cxn>
                      <a:cxn ang="T38">
                        <a:pos x="T24" y="T25"/>
                      </a:cxn>
                    </a:cxnLst>
                    <a:rect l="T39" t="T40" r="T41" b="T42"/>
                    <a:pathLst>
                      <a:path w="281" h="387">
                        <a:moveTo>
                          <a:pt x="0" y="387"/>
                        </a:moveTo>
                        <a:lnTo>
                          <a:pt x="0" y="0"/>
                        </a:lnTo>
                        <a:lnTo>
                          <a:pt x="273" y="0"/>
                        </a:lnTo>
                        <a:lnTo>
                          <a:pt x="273" y="46"/>
                        </a:lnTo>
                        <a:lnTo>
                          <a:pt x="47" y="46"/>
                        </a:lnTo>
                        <a:lnTo>
                          <a:pt x="47" y="163"/>
                        </a:lnTo>
                        <a:lnTo>
                          <a:pt x="260" y="163"/>
                        </a:lnTo>
                        <a:lnTo>
                          <a:pt x="260" y="210"/>
                        </a:lnTo>
                        <a:lnTo>
                          <a:pt x="47" y="210"/>
                        </a:lnTo>
                        <a:lnTo>
                          <a:pt x="47" y="341"/>
                        </a:lnTo>
                        <a:lnTo>
                          <a:pt x="281" y="341"/>
                        </a:lnTo>
                        <a:lnTo>
                          <a:pt x="281" y="387"/>
                        </a:lnTo>
                        <a:lnTo>
                          <a:pt x="0" y="387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8" name="Freeform 12">
                    <a:extLst>
                      <a:ext uri="{FF2B5EF4-FFF2-40B4-BE49-F238E27FC236}">
                        <a16:creationId xmlns:a16="http://schemas.microsoft.com/office/drawing/2014/main" id="{00000000-0008-0000-0100-000012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6901" y="13337"/>
                    <a:ext cx="301" cy="402"/>
                  </a:xfrm>
                  <a:custGeom>
                    <a:avLst/>
                    <a:gdLst>
                      <a:gd name="T0" fmla="*/ 50 w 301"/>
                      <a:gd name="T1" fmla="*/ 282 h 402"/>
                      <a:gd name="T2" fmla="*/ 63 w 301"/>
                      <a:gd name="T3" fmla="*/ 316 h 402"/>
                      <a:gd name="T4" fmla="*/ 89 w 301"/>
                      <a:gd name="T5" fmla="*/ 341 h 402"/>
                      <a:gd name="T6" fmla="*/ 128 w 301"/>
                      <a:gd name="T7" fmla="*/ 355 h 402"/>
                      <a:gd name="T8" fmla="*/ 181 w 301"/>
                      <a:gd name="T9" fmla="*/ 355 h 402"/>
                      <a:gd name="T10" fmla="*/ 225 w 301"/>
                      <a:gd name="T11" fmla="*/ 338 h 402"/>
                      <a:gd name="T12" fmla="*/ 249 w 301"/>
                      <a:gd name="T13" fmla="*/ 304 h 402"/>
                      <a:gd name="T14" fmla="*/ 249 w 301"/>
                      <a:gd name="T15" fmla="*/ 275 h 402"/>
                      <a:gd name="T16" fmla="*/ 241 w 301"/>
                      <a:gd name="T17" fmla="*/ 253 h 402"/>
                      <a:gd name="T18" fmla="*/ 217 w 301"/>
                      <a:gd name="T19" fmla="*/ 238 h 402"/>
                      <a:gd name="T20" fmla="*/ 196 w 301"/>
                      <a:gd name="T21" fmla="*/ 231 h 402"/>
                      <a:gd name="T22" fmla="*/ 162 w 301"/>
                      <a:gd name="T23" fmla="*/ 221 h 402"/>
                      <a:gd name="T24" fmla="*/ 113 w 301"/>
                      <a:gd name="T25" fmla="*/ 209 h 402"/>
                      <a:gd name="T26" fmla="*/ 60 w 301"/>
                      <a:gd name="T27" fmla="*/ 190 h 402"/>
                      <a:gd name="T28" fmla="*/ 31 w 301"/>
                      <a:gd name="T29" fmla="*/ 165 h 402"/>
                      <a:gd name="T30" fmla="*/ 18 w 301"/>
                      <a:gd name="T31" fmla="*/ 134 h 402"/>
                      <a:gd name="T32" fmla="*/ 15 w 301"/>
                      <a:gd name="T33" fmla="*/ 97 h 402"/>
                      <a:gd name="T34" fmla="*/ 23 w 301"/>
                      <a:gd name="T35" fmla="*/ 65 h 402"/>
                      <a:gd name="T36" fmla="*/ 42 w 301"/>
                      <a:gd name="T37" fmla="*/ 39 h 402"/>
                      <a:gd name="T38" fmla="*/ 68 w 301"/>
                      <a:gd name="T39" fmla="*/ 19 h 402"/>
                      <a:gd name="T40" fmla="*/ 102 w 301"/>
                      <a:gd name="T41" fmla="*/ 4 h 402"/>
                      <a:gd name="T42" fmla="*/ 144 w 301"/>
                      <a:gd name="T43" fmla="*/ 0 h 402"/>
                      <a:gd name="T44" fmla="*/ 202 w 301"/>
                      <a:gd name="T45" fmla="*/ 7 h 402"/>
                      <a:gd name="T46" fmla="*/ 246 w 301"/>
                      <a:gd name="T47" fmla="*/ 31 h 402"/>
                      <a:gd name="T48" fmla="*/ 272 w 301"/>
                      <a:gd name="T49" fmla="*/ 70 h 402"/>
                      <a:gd name="T50" fmla="*/ 286 w 301"/>
                      <a:gd name="T51" fmla="*/ 117 h 402"/>
                      <a:gd name="T52" fmla="*/ 231 w 301"/>
                      <a:gd name="T53" fmla="*/ 87 h 402"/>
                      <a:gd name="T54" fmla="*/ 199 w 301"/>
                      <a:gd name="T55" fmla="*/ 56 h 402"/>
                      <a:gd name="T56" fmla="*/ 147 w 301"/>
                      <a:gd name="T57" fmla="*/ 46 h 402"/>
                      <a:gd name="T58" fmla="*/ 92 w 301"/>
                      <a:gd name="T59" fmla="*/ 53 h 402"/>
                      <a:gd name="T60" fmla="*/ 68 w 301"/>
                      <a:gd name="T61" fmla="*/ 80 h 402"/>
                      <a:gd name="T62" fmla="*/ 60 w 301"/>
                      <a:gd name="T63" fmla="*/ 114 h 402"/>
                      <a:gd name="T64" fmla="*/ 76 w 301"/>
                      <a:gd name="T65" fmla="*/ 141 h 402"/>
                      <a:gd name="T66" fmla="*/ 123 w 301"/>
                      <a:gd name="T67" fmla="*/ 160 h 402"/>
                      <a:gd name="T68" fmla="*/ 175 w 301"/>
                      <a:gd name="T69" fmla="*/ 173 h 402"/>
                      <a:gd name="T70" fmla="*/ 210 w 301"/>
                      <a:gd name="T71" fmla="*/ 180 h 402"/>
                      <a:gd name="T72" fmla="*/ 231 w 301"/>
                      <a:gd name="T73" fmla="*/ 187 h 402"/>
                      <a:gd name="T74" fmla="*/ 272 w 301"/>
                      <a:gd name="T75" fmla="*/ 214 h 402"/>
                      <a:gd name="T76" fmla="*/ 296 w 301"/>
                      <a:gd name="T77" fmla="*/ 253 h 402"/>
                      <a:gd name="T78" fmla="*/ 299 w 301"/>
                      <a:gd name="T79" fmla="*/ 302 h 402"/>
                      <a:gd name="T80" fmla="*/ 280 w 301"/>
                      <a:gd name="T81" fmla="*/ 343 h 402"/>
                      <a:gd name="T82" fmla="*/ 244 w 301"/>
                      <a:gd name="T83" fmla="*/ 377 h 402"/>
                      <a:gd name="T84" fmla="*/ 194 w 301"/>
                      <a:gd name="T85" fmla="*/ 397 h 402"/>
                      <a:gd name="T86" fmla="*/ 136 w 301"/>
                      <a:gd name="T87" fmla="*/ 402 h 402"/>
                      <a:gd name="T88" fmla="*/ 92 w 301"/>
                      <a:gd name="T89" fmla="*/ 392 h 402"/>
                      <a:gd name="T90" fmla="*/ 55 w 301"/>
                      <a:gd name="T91" fmla="*/ 375 h 402"/>
                      <a:gd name="T92" fmla="*/ 26 w 301"/>
                      <a:gd name="T93" fmla="*/ 348 h 402"/>
                      <a:gd name="T94" fmla="*/ 8 w 301"/>
                      <a:gd name="T95" fmla="*/ 314 h 402"/>
                      <a:gd name="T96" fmla="*/ 0 w 301"/>
                      <a:gd name="T97" fmla="*/ 270 h 402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60000 65536"/>
                      <a:gd name="T136" fmla="*/ 0 60000 65536"/>
                      <a:gd name="T137" fmla="*/ 0 60000 65536"/>
                      <a:gd name="T138" fmla="*/ 0 60000 65536"/>
                      <a:gd name="T139" fmla="*/ 0 60000 65536"/>
                      <a:gd name="T140" fmla="*/ 0 60000 65536"/>
                      <a:gd name="T141" fmla="*/ 0 60000 65536"/>
                      <a:gd name="T142" fmla="*/ 0 60000 65536"/>
                      <a:gd name="T143" fmla="*/ 0 60000 65536"/>
                      <a:gd name="T144" fmla="*/ 0 60000 65536"/>
                      <a:gd name="T145" fmla="*/ 0 60000 65536"/>
                      <a:gd name="T146" fmla="*/ 0 60000 65536"/>
                      <a:gd name="T147" fmla="*/ 0 w 301"/>
                      <a:gd name="T148" fmla="*/ 0 h 402"/>
                      <a:gd name="T149" fmla="*/ 301 w 301"/>
                      <a:gd name="T150" fmla="*/ 402 h 402"/>
                    </a:gdLst>
                    <a:ahLst/>
                    <a:cxnLst>
                      <a:cxn ang="T98">
                        <a:pos x="T0" y="T1"/>
                      </a:cxn>
                      <a:cxn ang="T99">
                        <a:pos x="T2" y="T3"/>
                      </a:cxn>
                      <a:cxn ang="T100">
                        <a:pos x="T4" y="T5"/>
                      </a:cxn>
                      <a:cxn ang="T101">
                        <a:pos x="T6" y="T7"/>
                      </a:cxn>
                      <a:cxn ang="T102">
                        <a:pos x="T8" y="T9"/>
                      </a:cxn>
                      <a:cxn ang="T103">
                        <a:pos x="T10" y="T11"/>
                      </a:cxn>
                      <a:cxn ang="T104">
                        <a:pos x="T12" y="T13"/>
                      </a:cxn>
                      <a:cxn ang="T105">
                        <a:pos x="T14" y="T15"/>
                      </a:cxn>
                      <a:cxn ang="T106">
                        <a:pos x="T16" y="T17"/>
                      </a:cxn>
                      <a:cxn ang="T107">
                        <a:pos x="T18" y="T19"/>
                      </a:cxn>
                      <a:cxn ang="T108">
                        <a:pos x="T20" y="T21"/>
                      </a:cxn>
                      <a:cxn ang="T109">
                        <a:pos x="T22" y="T23"/>
                      </a:cxn>
                      <a:cxn ang="T110">
                        <a:pos x="T24" y="T25"/>
                      </a:cxn>
                      <a:cxn ang="T111">
                        <a:pos x="T26" y="T27"/>
                      </a:cxn>
                      <a:cxn ang="T112">
                        <a:pos x="T28" y="T29"/>
                      </a:cxn>
                      <a:cxn ang="T113">
                        <a:pos x="T30" y="T31"/>
                      </a:cxn>
                      <a:cxn ang="T114">
                        <a:pos x="T32" y="T33"/>
                      </a:cxn>
                      <a:cxn ang="T115">
                        <a:pos x="T34" y="T35"/>
                      </a:cxn>
                      <a:cxn ang="T116">
                        <a:pos x="T36" y="T37"/>
                      </a:cxn>
                      <a:cxn ang="T117">
                        <a:pos x="T38" y="T39"/>
                      </a:cxn>
                      <a:cxn ang="T118">
                        <a:pos x="T40" y="T41"/>
                      </a:cxn>
                      <a:cxn ang="T119">
                        <a:pos x="T42" y="T43"/>
                      </a:cxn>
                      <a:cxn ang="T120">
                        <a:pos x="T44" y="T45"/>
                      </a:cxn>
                      <a:cxn ang="T121">
                        <a:pos x="T46" y="T47"/>
                      </a:cxn>
                      <a:cxn ang="T122">
                        <a:pos x="T48" y="T49"/>
                      </a:cxn>
                      <a:cxn ang="T123">
                        <a:pos x="T50" y="T51"/>
                      </a:cxn>
                      <a:cxn ang="T124">
                        <a:pos x="T52" y="T53"/>
                      </a:cxn>
                      <a:cxn ang="T125">
                        <a:pos x="T54" y="T55"/>
                      </a:cxn>
                      <a:cxn ang="T126">
                        <a:pos x="T56" y="T57"/>
                      </a:cxn>
                      <a:cxn ang="T127">
                        <a:pos x="T58" y="T59"/>
                      </a:cxn>
                      <a:cxn ang="T128">
                        <a:pos x="T60" y="T61"/>
                      </a:cxn>
                      <a:cxn ang="T129">
                        <a:pos x="T62" y="T63"/>
                      </a:cxn>
                      <a:cxn ang="T130">
                        <a:pos x="T64" y="T65"/>
                      </a:cxn>
                      <a:cxn ang="T131">
                        <a:pos x="T66" y="T67"/>
                      </a:cxn>
                      <a:cxn ang="T132">
                        <a:pos x="T68" y="T69"/>
                      </a:cxn>
                      <a:cxn ang="T133">
                        <a:pos x="T70" y="T71"/>
                      </a:cxn>
                      <a:cxn ang="T134">
                        <a:pos x="T72" y="T73"/>
                      </a:cxn>
                      <a:cxn ang="T135">
                        <a:pos x="T74" y="T75"/>
                      </a:cxn>
                      <a:cxn ang="T136">
                        <a:pos x="T76" y="T77"/>
                      </a:cxn>
                      <a:cxn ang="T137">
                        <a:pos x="T78" y="T79"/>
                      </a:cxn>
                      <a:cxn ang="T138">
                        <a:pos x="T80" y="T81"/>
                      </a:cxn>
                      <a:cxn ang="T139">
                        <a:pos x="T82" y="T83"/>
                      </a:cxn>
                      <a:cxn ang="T140">
                        <a:pos x="T84" y="T85"/>
                      </a:cxn>
                      <a:cxn ang="T141">
                        <a:pos x="T86" y="T87"/>
                      </a:cxn>
                      <a:cxn ang="T142">
                        <a:pos x="T88" y="T89"/>
                      </a:cxn>
                      <a:cxn ang="T143">
                        <a:pos x="T90" y="T91"/>
                      </a:cxn>
                      <a:cxn ang="T144">
                        <a:pos x="T92" y="T93"/>
                      </a:cxn>
                      <a:cxn ang="T145">
                        <a:pos x="T94" y="T95"/>
                      </a:cxn>
                      <a:cxn ang="T146">
                        <a:pos x="T96" y="T97"/>
                      </a:cxn>
                    </a:cxnLst>
                    <a:rect l="T147" t="T148" r="T149" b="T150"/>
                    <a:pathLst>
                      <a:path w="301" h="402">
                        <a:moveTo>
                          <a:pt x="0" y="270"/>
                        </a:moveTo>
                        <a:lnTo>
                          <a:pt x="50" y="265"/>
                        </a:lnTo>
                        <a:lnTo>
                          <a:pt x="50" y="282"/>
                        </a:lnTo>
                        <a:lnTo>
                          <a:pt x="52" y="295"/>
                        </a:lnTo>
                        <a:lnTo>
                          <a:pt x="57" y="307"/>
                        </a:lnTo>
                        <a:lnTo>
                          <a:pt x="63" y="316"/>
                        </a:lnTo>
                        <a:lnTo>
                          <a:pt x="71" y="326"/>
                        </a:lnTo>
                        <a:lnTo>
                          <a:pt x="78" y="334"/>
                        </a:lnTo>
                        <a:lnTo>
                          <a:pt x="89" y="341"/>
                        </a:lnTo>
                        <a:lnTo>
                          <a:pt x="102" y="346"/>
                        </a:lnTo>
                        <a:lnTo>
                          <a:pt x="113" y="351"/>
                        </a:lnTo>
                        <a:lnTo>
                          <a:pt x="128" y="355"/>
                        </a:lnTo>
                        <a:lnTo>
                          <a:pt x="141" y="358"/>
                        </a:lnTo>
                        <a:lnTo>
                          <a:pt x="160" y="358"/>
                        </a:lnTo>
                        <a:lnTo>
                          <a:pt x="181" y="355"/>
                        </a:lnTo>
                        <a:lnTo>
                          <a:pt x="199" y="353"/>
                        </a:lnTo>
                        <a:lnTo>
                          <a:pt x="215" y="346"/>
                        </a:lnTo>
                        <a:lnTo>
                          <a:pt x="225" y="338"/>
                        </a:lnTo>
                        <a:lnTo>
                          <a:pt x="238" y="329"/>
                        </a:lnTo>
                        <a:lnTo>
                          <a:pt x="246" y="316"/>
                        </a:lnTo>
                        <a:lnTo>
                          <a:pt x="249" y="304"/>
                        </a:lnTo>
                        <a:lnTo>
                          <a:pt x="252" y="290"/>
                        </a:lnTo>
                        <a:lnTo>
                          <a:pt x="252" y="282"/>
                        </a:lnTo>
                        <a:lnTo>
                          <a:pt x="249" y="275"/>
                        </a:lnTo>
                        <a:lnTo>
                          <a:pt x="249" y="268"/>
                        </a:lnTo>
                        <a:lnTo>
                          <a:pt x="246" y="260"/>
                        </a:lnTo>
                        <a:lnTo>
                          <a:pt x="241" y="253"/>
                        </a:lnTo>
                        <a:lnTo>
                          <a:pt x="233" y="246"/>
                        </a:lnTo>
                        <a:lnTo>
                          <a:pt x="225" y="241"/>
                        </a:lnTo>
                        <a:lnTo>
                          <a:pt x="217" y="238"/>
                        </a:lnTo>
                        <a:lnTo>
                          <a:pt x="212" y="236"/>
                        </a:lnTo>
                        <a:lnTo>
                          <a:pt x="204" y="234"/>
                        </a:lnTo>
                        <a:lnTo>
                          <a:pt x="196" y="231"/>
                        </a:lnTo>
                        <a:lnTo>
                          <a:pt x="186" y="229"/>
                        </a:lnTo>
                        <a:lnTo>
                          <a:pt x="175" y="224"/>
                        </a:lnTo>
                        <a:lnTo>
                          <a:pt x="162" y="221"/>
                        </a:lnTo>
                        <a:lnTo>
                          <a:pt x="149" y="217"/>
                        </a:lnTo>
                        <a:lnTo>
                          <a:pt x="136" y="214"/>
                        </a:lnTo>
                        <a:lnTo>
                          <a:pt x="113" y="209"/>
                        </a:lnTo>
                        <a:lnTo>
                          <a:pt x="92" y="204"/>
                        </a:lnTo>
                        <a:lnTo>
                          <a:pt x="73" y="197"/>
                        </a:lnTo>
                        <a:lnTo>
                          <a:pt x="60" y="190"/>
                        </a:lnTo>
                        <a:lnTo>
                          <a:pt x="50" y="182"/>
                        </a:lnTo>
                        <a:lnTo>
                          <a:pt x="39" y="175"/>
                        </a:lnTo>
                        <a:lnTo>
                          <a:pt x="31" y="165"/>
                        </a:lnTo>
                        <a:lnTo>
                          <a:pt x="26" y="156"/>
                        </a:lnTo>
                        <a:lnTo>
                          <a:pt x="23" y="146"/>
                        </a:lnTo>
                        <a:lnTo>
                          <a:pt x="18" y="134"/>
                        </a:lnTo>
                        <a:lnTo>
                          <a:pt x="15" y="121"/>
                        </a:lnTo>
                        <a:lnTo>
                          <a:pt x="15" y="109"/>
                        </a:lnTo>
                        <a:lnTo>
                          <a:pt x="15" y="97"/>
                        </a:lnTo>
                        <a:lnTo>
                          <a:pt x="18" y="87"/>
                        </a:lnTo>
                        <a:lnTo>
                          <a:pt x="21" y="75"/>
                        </a:lnTo>
                        <a:lnTo>
                          <a:pt x="23" y="65"/>
                        </a:lnTo>
                        <a:lnTo>
                          <a:pt x="29" y="56"/>
                        </a:lnTo>
                        <a:lnTo>
                          <a:pt x="34" y="48"/>
                        </a:lnTo>
                        <a:lnTo>
                          <a:pt x="42" y="39"/>
                        </a:lnTo>
                        <a:lnTo>
                          <a:pt x="50" y="31"/>
                        </a:lnTo>
                        <a:lnTo>
                          <a:pt x="60" y="24"/>
                        </a:lnTo>
                        <a:lnTo>
                          <a:pt x="68" y="19"/>
                        </a:lnTo>
                        <a:lnTo>
                          <a:pt x="78" y="12"/>
                        </a:lnTo>
                        <a:lnTo>
                          <a:pt x="92" y="7"/>
                        </a:lnTo>
                        <a:lnTo>
                          <a:pt x="102" y="4"/>
                        </a:lnTo>
                        <a:lnTo>
                          <a:pt x="115" y="2"/>
                        </a:lnTo>
                        <a:lnTo>
                          <a:pt x="131" y="0"/>
                        </a:lnTo>
                        <a:lnTo>
                          <a:pt x="144" y="0"/>
                        </a:lnTo>
                        <a:lnTo>
                          <a:pt x="162" y="0"/>
                        </a:lnTo>
                        <a:lnTo>
                          <a:pt x="183" y="2"/>
                        </a:lnTo>
                        <a:lnTo>
                          <a:pt x="202" y="7"/>
                        </a:lnTo>
                        <a:lnTo>
                          <a:pt x="220" y="14"/>
                        </a:lnTo>
                        <a:lnTo>
                          <a:pt x="233" y="22"/>
                        </a:lnTo>
                        <a:lnTo>
                          <a:pt x="246" y="31"/>
                        </a:lnTo>
                        <a:lnTo>
                          <a:pt x="257" y="43"/>
                        </a:lnTo>
                        <a:lnTo>
                          <a:pt x="265" y="56"/>
                        </a:lnTo>
                        <a:lnTo>
                          <a:pt x="272" y="70"/>
                        </a:lnTo>
                        <a:lnTo>
                          <a:pt x="280" y="85"/>
                        </a:lnTo>
                        <a:lnTo>
                          <a:pt x="283" y="100"/>
                        </a:lnTo>
                        <a:lnTo>
                          <a:pt x="286" y="117"/>
                        </a:lnTo>
                        <a:lnTo>
                          <a:pt x="241" y="119"/>
                        </a:lnTo>
                        <a:lnTo>
                          <a:pt x="236" y="102"/>
                        </a:lnTo>
                        <a:lnTo>
                          <a:pt x="231" y="87"/>
                        </a:lnTo>
                        <a:lnTo>
                          <a:pt x="223" y="75"/>
                        </a:lnTo>
                        <a:lnTo>
                          <a:pt x="215" y="65"/>
                        </a:lnTo>
                        <a:lnTo>
                          <a:pt x="199" y="56"/>
                        </a:lnTo>
                        <a:lnTo>
                          <a:pt x="183" y="51"/>
                        </a:lnTo>
                        <a:lnTo>
                          <a:pt x="165" y="46"/>
                        </a:lnTo>
                        <a:lnTo>
                          <a:pt x="147" y="46"/>
                        </a:lnTo>
                        <a:lnTo>
                          <a:pt x="126" y="46"/>
                        </a:lnTo>
                        <a:lnTo>
                          <a:pt x="107" y="48"/>
                        </a:lnTo>
                        <a:lnTo>
                          <a:pt x="92" y="53"/>
                        </a:lnTo>
                        <a:lnTo>
                          <a:pt x="81" y="61"/>
                        </a:lnTo>
                        <a:lnTo>
                          <a:pt x="73" y="70"/>
                        </a:lnTo>
                        <a:lnTo>
                          <a:pt x="68" y="80"/>
                        </a:lnTo>
                        <a:lnTo>
                          <a:pt x="63" y="92"/>
                        </a:lnTo>
                        <a:lnTo>
                          <a:pt x="60" y="104"/>
                        </a:lnTo>
                        <a:lnTo>
                          <a:pt x="60" y="114"/>
                        </a:lnTo>
                        <a:lnTo>
                          <a:pt x="65" y="124"/>
                        </a:lnTo>
                        <a:lnTo>
                          <a:pt x="68" y="134"/>
                        </a:lnTo>
                        <a:lnTo>
                          <a:pt x="76" y="141"/>
                        </a:lnTo>
                        <a:lnTo>
                          <a:pt x="86" y="146"/>
                        </a:lnTo>
                        <a:lnTo>
                          <a:pt x="102" y="153"/>
                        </a:lnTo>
                        <a:lnTo>
                          <a:pt x="123" y="160"/>
                        </a:lnTo>
                        <a:lnTo>
                          <a:pt x="149" y="168"/>
                        </a:lnTo>
                        <a:lnTo>
                          <a:pt x="162" y="170"/>
                        </a:lnTo>
                        <a:lnTo>
                          <a:pt x="175" y="173"/>
                        </a:lnTo>
                        <a:lnTo>
                          <a:pt x="189" y="175"/>
                        </a:lnTo>
                        <a:lnTo>
                          <a:pt x="199" y="178"/>
                        </a:lnTo>
                        <a:lnTo>
                          <a:pt x="210" y="180"/>
                        </a:lnTo>
                        <a:lnTo>
                          <a:pt x="217" y="182"/>
                        </a:lnTo>
                        <a:lnTo>
                          <a:pt x="225" y="185"/>
                        </a:lnTo>
                        <a:lnTo>
                          <a:pt x="231" y="187"/>
                        </a:lnTo>
                        <a:lnTo>
                          <a:pt x="246" y="195"/>
                        </a:lnTo>
                        <a:lnTo>
                          <a:pt x="259" y="202"/>
                        </a:lnTo>
                        <a:lnTo>
                          <a:pt x="272" y="214"/>
                        </a:lnTo>
                        <a:lnTo>
                          <a:pt x="280" y="224"/>
                        </a:lnTo>
                        <a:lnTo>
                          <a:pt x="288" y="238"/>
                        </a:lnTo>
                        <a:lnTo>
                          <a:pt x="296" y="253"/>
                        </a:lnTo>
                        <a:lnTo>
                          <a:pt x="299" y="268"/>
                        </a:lnTo>
                        <a:lnTo>
                          <a:pt x="301" y="285"/>
                        </a:lnTo>
                        <a:lnTo>
                          <a:pt x="299" y="302"/>
                        </a:lnTo>
                        <a:lnTo>
                          <a:pt x="296" y="316"/>
                        </a:lnTo>
                        <a:lnTo>
                          <a:pt x="288" y="331"/>
                        </a:lnTo>
                        <a:lnTo>
                          <a:pt x="280" y="343"/>
                        </a:lnTo>
                        <a:lnTo>
                          <a:pt x="270" y="355"/>
                        </a:lnTo>
                        <a:lnTo>
                          <a:pt x="259" y="368"/>
                        </a:lnTo>
                        <a:lnTo>
                          <a:pt x="244" y="377"/>
                        </a:lnTo>
                        <a:lnTo>
                          <a:pt x="228" y="385"/>
                        </a:lnTo>
                        <a:lnTo>
                          <a:pt x="212" y="392"/>
                        </a:lnTo>
                        <a:lnTo>
                          <a:pt x="194" y="397"/>
                        </a:lnTo>
                        <a:lnTo>
                          <a:pt x="173" y="399"/>
                        </a:lnTo>
                        <a:lnTo>
                          <a:pt x="152" y="402"/>
                        </a:lnTo>
                        <a:lnTo>
                          <a:pt x="136" y="402"/>
                        </a:lnTo>
                        <a:lnTo>
                          <a:pt x="120" y="399"/>
                        </a:lnTo>
                        <a:lnTo>
                          <a:pt x="105" y="397"/>
                        </a:lnTo>
                        <a:lnTo>
                          <a:pt x="92" y="392"/>
                        </a:lnTo>
                        <a:lnTo>
                          <a:pt x="78" y="387"/>
                        </a:lnTo>
                        <a:lnTo>
                          <a:pt x="65" y="382"/>
                        </a:lnTo>
                        <a:lnTo>
                          <a:pt x="55" y="375"/>
                        </a:lnTo>
                        <a:lnTo>
                          <a:pt x="44" y="368"/>
                        </a:lnTo>
                        <a:lnTo>
                          <a:pt x="34" y="358"/>
                        </a:lnTo>
                        <a:lnTo>
                          <a:pt x="26" y="348"/>
                        </a:lnTo>
                        <a:lnTo>
                          <a:pt x="18" y="338"/>
                        </a:lnTo>
                        <a:lnTo>
                          <a:pt x="13" y="326"/>
                        </a:lnTo>
                        <a:lnTo>
                          <a:pt x="8" y="314"/>
                        </a:lnTo>
                        <a:lnTo>
                          <a:pt x="2" y="299"/>
                        </a:lnTo>
                        <a:lnTo>
                          <a:pt x="0" y="285"/>
                        </a:lnTo>
                        <a:lnTo>
                          <a:pt x="0" y="270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9" name="Rectangle 13">
                    <a:extLst>
                      <a:ext uri="{FF2B5EF4-FFF2-40B4-BE49-F238E27FC236}">
                        <a16:creationId xmlns:a16="http://schemas.microsoft.com/office/drawing/2014/main" id="{00000000-0008-0000-01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7312" y="13356"/>
                    <a:ext cx="50" cy="387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0" name="Freeform 14">
                    <a:extLst>
                      <a:ext uri="{FF2B5EF4-FFF2-40B4-BE49-F238E27FC236}">
                        <a16:creationId xmlns:a16="http://schemas.microsoft.com/office/drawing/2014/main" id="{00000000-0008-0000-0100-000014000000}"/>
                      </a:ext>
                    </a:extLst>
                  </xdr:cNvPr>
                  <xdr:cNvSpPr>
                    <a:spLocks noEditPoints="1"/>
                  </xdr:cNvSpPr>
                </xdr:nvSpPr>
                <xdr:spPr bwMode="auto">
                  <a:xfrm>
                    <a:off x="7437" y="13356"/>
                    <a:ext cx="357" cy="387"/>
                  </a:xfrm>
                  <a:custGeom>
                    <a:avLst/>
                    <a:gdLst>
                      <a:gd name="T0" fmla="*/ 0 w 357"/>
                      <a:gd name="T1" fmla="*/ 387 h 387"/>
                      <a:gd name="T2" fmla="*/ 144 w 357"/>
                      <a:gd name="T3" fmla="*/ 0 h 387"/>
                      <a:gd name="T4" fmla="*/ 199 w 357"/>
                      <a:gd name="T5" fmla="*/ 0 h 387"/>
                      <a:gd name="T6" fmla="*/ 357 w 357"/>
                      <a:gd name="T7" fmla="*/ 387 h 387"/>
                      <a:gd name="T8" fmla="*/ 299 w 357"/>
                      <a:gd name="T9" fmla="*/ 387 h 387"/>
                      <a:gd name="T10" fmla="*/ 254 w 357"/>
                      <a:gd name="T11" fmla="*/ 270 h 387"/>
                      <a:gd name="T12" fmla="*/ 94 w 357"/>
                      <a:gd name="T13" fmla="*/ 270 h 387"/>
                      <a:gd name="T14" fmla="*/ 50 w 357"/>
                      <a:gd name="T15" fmla="*/ 387 h 387"/>
                      <a:gd name="T16" fmla="*/ 0 w 357"/>
                      <a:gd name="T17" fmla="*/ 387 h 387"/>
                      <a:gd name="T18" fmla="*/ 107 w 357"/>
                      <a:gd name="T19" fmla="*/ 229 h 387"/>
                      <a:gd name="T20" fmla="*/ 241 w 357"/>
                      <a:gd name="T21" fmla="*/ 229 h 387"/>
                      <a:gd name="T22" fmla="*/ 197 w 357"/>
                      <a:gd name="T23" fmla="*/ 122 h 387"/>
                      <a:gd name="T24" fmla="*/ 194 w 357"/>
                      <a:gd name="T25" fmla="*/ 110 h 387"/>
                      <a:gd name="T26" fmla="*/ 189 w 357"/>
                      <a:gd name="T27" fmla="*/ 100 h 387"/>
                      <a:gd name="T28" fmla="*/ 186 w 357"/>
                      <a:gd name="T29" fmla="*/ 88 h 387"/>
                      <a:gd name="T30" fmla="*/ 181 w 357"/>
                      <a:gd name="T31" fmla="*/ 78 h 387"/>
                      <a:gd name="T32" fmla="*/ 178 w 357"/>
                      <a:gd name="T33" fmla="*/ 68 h 387"/>
                      <a:gd name="T34" fmla="*/ 176 w 357"/>
                      <a:gd name="T35" fmla="*/ 58 h 387"/>
                      <a:gd name="T36" fmla="*/ 173 w 357"/>
                      <a:gd name="T37" fmla="*/ 49 h 387"/>
                      <a:gd name="T38" fmla="*/ 170 w 357"/>
                      <a:gd name="T39" fmla="*/ 41 h 387"/>
                      <a:gd name="T40" fmla="*/ 168 w 357"/>
                      <a:gd name="T41" fmla="*/ 51 h 387"/>
                      <a:gd name="T42" fmla="*/ 165 w 357"/>
                      <a:gd name="T43" fmla="*/ 61 h 387"/>
                      <a:gd name="T44" fmla="*/ 163 w 357"/>
                      <a:gd name="T45" fmla="*/ 71 h 387"/>
                      <a:gd name="T46" fmla="*/ 163 w 357"/>
                      <a:gd name="T47" fmla="*/ 78 h 387"/>
                      <a:gd name="T48" fmla="*/ 160 w 357"/>
                      <a:gd name="T49" fmla="*/ 88 h 387"/>
                      <a:gd name="T50" fmla="*/ 157 w 357"/>
                      <a:gd name="T51" fmla="*/ 97 h 387"/>
                      <a:gd name="T52" fmla="*/ 155 w 357"/>
                      <a:gd name="T53" fmla="*/ 107 h 387"/>
                      <a:gd name="T54" fmla="*/ 152 w 357"/>
                      <a:gd name="T55" fmla="*/ 114 h 387"/>
                      <a:gd name="T56" fmla="*/ 107 w 357"/>
                      <a:gd name="T57" fmla="*/ 229 h 387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  <a:gd name="T63" fmla="*/ 0 60000 65536"/>
                      <a:gd name="T64" fmla="*/ 0 60000 65536"/>
                      <a:gd name="T65" fmla="*/ 0 60000 65536"/>
                      <a:gd name="T66" fmla="*/ 0 60000 65536"/>
                      <a:gd name="T67" fmla="*/ 0 60000 65536"/>
                      <a:gd name="T68" fmla="*/ 0 60000 65536"/>
                      <a:gd name="T69" fmla="*/ 0 60000 65536"/>
                      <a:gd name="T70" fmla="*/ 0 60000 65536"/>
                      <a:gd name="T71" fmla="*/ 0 60000 6553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w 357"/>
                      <a:gd name="T88" fmla="*/ 0 h 387"/>
                      <a:gd name="T89" fmla="*/ 357 w 357"/>
                      <a:gd name="T90" fmla="*/ 387 h 387"/>
                    </a:gdLst>
                    <a:ahLst/>
                    <a:cxnLst>
                      <a:cxn ang="T58">
                        <a:pos x="T0" y="T1"/>
                      </a:cxn>
                      <a:cxn ang="T59">
                        <a:pos x="T2" y="T3"/>
                      </a:cxn>
                      <a:cxn ang="T60">
                        <a:pos x="T4" y="T5"/>
                      </a:cxn>
                      <a:cxn ang="T61">
                        <a:pos x="T6" y="T7"/>
                      </a:cxn>
                      <a:cxn ang="T62">
                        <a:pos x="T8" y="T9"/>
                      </a:cxn>
                      <a:cxn ang="T63">
                        <a:pos x="T10" y="T11"/>
                      </a:cxn>
                      <a:cxn ang="T64">
                        <a:pos x="T12" y="T13"/>
                      </a:cxn>
                      <a:cxn ang="T65">
                        <a:pos x="T14" y="T15"/>
                      </a:cxn>
                      <a:cxn ang="T66">
                        <a:pos x="T16" y="T17"/>
                      </a:cxn>
                      <a:cxn ang="T67">
                        <a:pos x="T18" y="T19"/>
                      </a:cxn>
                      <a:cxn ang="T68">
                        <a:pos x="T20" y="T21"/>
                      </a:cxn>
                      <a:cxn ang="T69">
                        <a:pos x="T22" y="T23"/>
                      </a:cxn>
                      <a:cxn ang="T70">
                        <a:pos x="T24" y="T25"/>
                      </a:cxn>
                      <a:cxn ang="T71">
                        <a:pos x="T26" y="T27"/>
                      </a:cxn>
                      <a:cxn ang="T72">
                        <a:pos x="T28" y="T29"/>
                      </a:cxn>
                      <a:cxn ang="T73">
                        <a:pos x="T30" y="T31"/>
                      </a:cxn>
                      <a:cxn ang="T74">
                        <a:pos x="T32" y="T33"/>
                      </a:cxn>
                      <a:cxn ang="T75">
                        <a:pos x="T34" y="T35"/>
                      </a:cxn>
                      <a:cxn ang="T76">
                        <a:pos x="T36" y="T37"/>
                      </a:cxn>
                      <a:cxn ang="T77">
                        <a:pos x="T38" y="T39"/>
                      </a:cxn>
                      <a:cxn ang="T78">
                        <a:pos x="T40" y="T41"/>
                      </a:cxn>
                      <a:cxn ang="T79">
                        <a:pos x="T42" y="T43"/>
                      </a:cxn>
                      <a:cxn ang="T80">
                        <a:pos x="T44" y="T45"/>
                      </a:cxn>
                      <a:cxn ang="T81">
                        <a:pos x="T46" y="T47"/>
                      </a:cxn>
                      <a:cxn ang="T82">
                        <a:pos x="T48" y="T49"/>
                      </a:cxn>
                      <a:cxn ang="T83">
                        <a:pos x="T50" y="T51"/>
                      </a:cxn>
                      <a:cxn ang="T84">
                        <a:pos x="T52" y="T53"/>
                      </a:cxn>
                      <a:cxn ang="T85">
                        <a:pos x="T54" y="T55"/>
                      </a:cxn>
                      <a:cxn ang="T86">
                        <a:pos x="T56" y="T57"/>
                      </a:cxn>
                    </a:cxnLst>
                    <a:rect l="T87" t="T88" r="T89" b="T90"/>
                    <a:pathLst>
                      <a:path w="357" h="387">
                        <a:moveTo>
                          <a:pt x="0" y="387"/>
                        </a:moveTo>
                        <a:lnTo>
                          <a:pt x="144" y="0"/>
                        </a:lnTo>
                        <a:lnTo>
                          <a:pt x="199" y="0"/>
                        </a:lnTo>
                        <a:lnTo>
                          <a:pt x="357" y="387"/>
                        </a:lnTo>
                        <a:lnTo>
                          <a:pt x="299" y="387"/>
                        </a:lnTo>
                        <a:lnTo>
                          <a:pt x="254" y="270"/>
                        </a:lnTo>
                        <a:lnTo>
                          <a:pt x="94" y="270"/>
                        </a:lnTo>
                        <a:lnTo>
                          <a:pt x="50" y="387"/>
                        </a:lnTo>
                        <a:lnTo>
                          <a:pt x="0" y="387"/>
                        </a:lnTo>
                        <a:close/>
                        <a:moveTo>
                          <a:pt x="107" y="229"/>
                        </a:moveTo>
                        <a:lnTo>
                          <a:pt x="241" y="229"/>
                        </a:lnTo>
                        <a:lnTo>
                          <a:pt x="197" y="122"/>
                        </a:lnTo>
                        <a:lnTo>
                          <a:pt x="194" y="110"/>
                        </a:lnTo>
                        <a:lnTo>
                          <a:pt x="189" y="100"/>
                        </a:lnTo>
                        <a:lnTo>
                          <a:pt x="186" y="88"/>
                        </a:lnTo>
                        <a:lnTo>
                          <a:pt x="181" y="78"/>
                        </a:lnTo>
                        <a:lnTo>
                          <a:pt x="178" y="68"/>
                        </a:lnTo>
                        <a:lnTo>
                          <a:pt x="176" y="58"/>
                        </a:lnTo>
                        <a:lnTo>
                          <a:pt x="173" y="49"/>
                        </a:lnTo>
                        <a:lnTo>
                          <a:pt x="170" y="41"/>
                        </a:lnTo>
                        <a:lnTo>
                          <a:pt x="168" y="51"/>
                        </a:lnTo>
                        <a:lnTo>
                          <a:pt x="165" y="61"/>
                        </a:lnTo>
                        <a:lnTo>
                          <a:pt x="163" y="71"/>
                        </a:lnTo>
                        <a:lnTo>
                          <a:pt x="163" y="78"/>
                        </a:lnTo>
                        <a:lnTo>
                          <a:pt x="160" y="88"/>
                        </a:lnTo>
                        <a:lnTo>
                          <a:pt x="157" y="97"/>
                        </a:lnTo>
                        <a:lnTo>
                          <a:pt x="155" y="107"/>
                        </a:lnTo>
                        <a:lnTo>
                          <a:pt x="152" y="114"/>
                        </a:lnTo>
                        <a:lnTo>
                          <a:pt x="107" y="229"/>
                        </a:lnTo>
                        <a:close/>
                      </a:path>
                    </a:pathLst>
                  </a:custGeom>
                  <a:solidFill>
                    <a:srgbClr val="FF0000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1" name="Freeform 15">
                    <a:extLst>
                      <a:ext uri="{FF2B5EF4-FFF2-40B4-BE49-F238E27FC236}">
                        <a16:creationId xmlns:a16="http://schemas.microsoft.com/office/drawing/2014/main" id="{00000000-0008-0000-0100-000015000000}"/>
                      </a:ext>
                    </a:extLst>
                  </xdr:cNvPr>
                  <xdr:cNvSpPr>
                    <a:spLocks noEditPoints="1"/>
                  </xdr:cNvSpPr>
                </xdr:nvSpPr>
                <xdr:spPr bwMode="auto">
                  <a:xfrm>
                    <a:off x="4751" y="13763"/>
                    <a:ext cx="538" cy="534"/>
                  </a:xfrm>
                  <a:custGeom>
                    <a:avLst/>
                    <a:gdLst>
                      <a:gd name="T0" fmla="*/ 0 w 538"/>
                      <a:gd name="T1" fmla="*/ 0 h 534"/>
                      <a:gd name="T2" fmla="*/ 323 w 538"/>
                      <a:gd name="T3" fmla="*/ 0 h 534"/>
                      <a:gd name="T4" fmla="*/ 349 w 538"/>
                      <a:gd name="T5" fmla="*/ 0 h 534"/>
                      <a:gd name="T6" fmla="*/ 373 w 538"/>
                      <a:gd name="T7" fmla="*/ 2 h 534"/>
                      <a:gd name="T8" fmla="*/ 394 w 538"/>
                      <a:gd name="T9" fmla="*/ 7 h 534"/>
                      <a:gd name="T10" fmla="*/ 415 w 538"/>
                      <a:gd name="T11" fmla="*/ 12 h 534"/>
                      <a:gd name="T12" fmla="*/ 436 w 538"/>
                      <a:gd name="T13" fmla="*/ 17 h 534"/>
                      <a:gd name="T14" fmla="*/ 451 w 538"/>
                      <a:gd name="T15" fmla="*/ 27 h 534"/>
                      <a:gd name="T16" fmla="*/ 467 w 538"/>
                      <a:gd name="T17" fmla="*/ 34 h 534"/>
                      <a:gd name="T18" fmla="*/ 483 w 538"/>
                      <a:gd name="T19" fmla="*/ 44 h 534"/>
                      <a:gd name="T20" fmla="*/ 496 w 538"/>
                      <a:gd name="T21" fmla="*/ 54 h 534"/>
                      <a:gd name="T22" fmla="*/ 506 w 538"/>
                      <a:gd name="T23" fmla="*/ 66 h 534"/>
                      <a:gd name="T24" fmla="*/ 514 w 538"/>
                      <a:gd name="T25" fmla="*/ 80 h 534"/>
                      <a:gd name="T26" fmla="*/ 522 w 538"/>
                      <a:gd name="T27" fmla="*/ 95 h 534"/>
                      <a:gd name="T28" fmla="*/ 530 w 538"/>
                      <a:gd name="T29" fmla="*/ 112 h 534"/>
                      <a:gd name="T30" fmla="*/ 535 w 538"/>
                      <a:gd name="T31" fmla="*/ 129 h 534"/>
                      <a:gd name="T32" fmla="*/ 538 w 538"/>
                      <a:gd name="T33" fmla="*/ 146 h 534"/>
                      <a:gd name="T34" fmla="*/ 538 w 538"/>
                      <a:gd name="T35" fmla="*/ 166 h 534"/>
                      <a:gd name="T36" fmla="*/ 538 w 538"/>
                      <a:gd name="T37" fmla="*/ 185 h 534"/>
                      <a:gd name="T38" fmla="*/ 535 w 538"/>
                      <a:gd name="T39" fmla="*/ 205 h 534"/>
                      <a:gd name="T40" fmla="*/ 530 w 538"/>
                      <a:gd name="T41" fmla="*/ 222 h 534"/>
                      <a:gd name="T42" fmla="*/ 522 w 538"/>
                      <a:gd name="T43" fmla="*/ 236 h 534"/>
                      <a:gd name="T44" fmla="*/ 514 w 538"/>
                      <a:gd name="T45" fmla="*/ 251 h 534"/>
                      <a:gd name="T46" fmla="*/ 504 w 538"/>
                      <a:gd name="T47" fmla="*/ 266 h 534"/>
                      <a:gd name="T48" fmla="*/ 493 w 538"/>
                      <a:gd name="T49" fmla="*/ 278 h 534"/>
                      <a:gd name="T50" fmla="*/ 480 w 538"/>
                      <a:gd name="T51" fmla="*/ 290 h 534"/>
                      <a:gd name="T52" fmla="*/ 464 w 538"/>
                      <a:gd name="T53" fmla="*/ 302 h 534"/>
                      <a:gd name="T54" fmla="*/ 446 w 538"/>
                      <a:gd name="T55" fmla="*/ 310 h 534"/>
                      <a:gd name="T56" fmla="*/ 425 w 538"/>
                      <a:gd name="T57" fmla="*/ 319 h 534"/>
                      <a:gd name="T58" fmla="*/ 404 w 538"/>
                      <a:gd name="T59" fmla="*/ 324 h 534"/>
                      <a:gd name="T60" fmla="*/ 380 w 538"/>
                      <a:gd name="T61" fmla="*/ 329 h 534"/>
                      <a:gd name="T62" fmla="*/ 354 w 538"/>
                      <a:gd name="T63" fmla="*/ 334 h 534"/>
                      <a:gd name="T64" fmla="*/ 328 w 538"/>
                      <a:gd name="T65" fmla="*/ 336 h 534"/>
                      <a:gd name="T66" fmla="*/ 299 w 538"/>
                      <a:gd name="T67" fmla="*/ 336 h 534"/>
                      <a:gd name="T68" fmla="*/ 197 w 538"/>
                      <a:gd name="T69" fmla="*/ 336 h 534"/>
                      <a:gd name="T70" fmla="*/ 197 w 538"/>
                      <a:gd name="T71" fmla="*/ 534 h 534"/>
                      <a:gd name="T72" fmla="*/ 0 w 538"/>
                      <a:gd name="T73" fmla="*/ 534 h 534"/>
                      <a:gd name="T74" fmla="*/ 0 w 538"/>
                      <a:gd name="T75" fmla="*/ 0 h 534"/>
                      <a:gd name="T76" fmla="*/ 197 w 538"/>
                      <a:gd name="T77" fmla="*/ 229 h 534"/>
                      <a:gd name="T78" fmla="*/ 241 w 538"/>
                      <a:gd name="T79" fmla="*/ 229 h 534"/>
                      <a:gd name="T80" fmla="*/ 255 w 538"/>
                      <a:gd name="T81" fmla="*/ 229 h 534"/>
                      <a:gd name="T82" fmla="*/ 268 w 538"/>
                      <a:gd name="T83" fmla="*/ 227 h 534"/>
                      <a:gd name="T84" fmla="*/ 281 w 538"/>
                      <a:gd name="T85" fmla="*/ 227 h 534"/>
                      <a:gd name="T86" fmla="*/ 289 w 538"/>
                      <a:gd name="T87" fmla="*/ 224 h 534"/>
                      <a:gd name="T88" fmla="*/ 299 w 538"/>
                      <a:gd name="T89" fmla="*/ 222 h 534"/>
                      <a:gd name="T90" fmla="*/ 307 w 538"/>
                      <a:gd name="T91" fmla="*/ 219 h 534"/>
                      <a:gd name="T92" fmla="*/ 315 w 538"/>
                      <a:gd name="T93" fmla="*/ 214 h 534"/>
                      <a:gd name="T94" fmla="*/ 320 w 538"/>
                      <a:gd name="T95" fmla="*/ 212 h 534"/>
                      <a:gd name="T96" fmla="*/ 333 w 538"/>
                      <a:gd name="T97" fmla="*/ 202 h 534"/>
                      <a:gd name="T98" fmla="*/ 341 w 538"/>
                      <a:gd name="T99" fmla="*/ 193 h 534"/>
                      <a:gd name="T100" fmla="*/ 344 w 538"/>
                      <a:gd name="T101" fmla="*/ 183 h 534"/>
                      <a:gd name="T102" fmla="*/ 346 w 538"/>
                      <a:gd name="T103" fmla="*/ 171 h 534"/>
                      <a:gd name="T104" fmla="*/ 344 w 538"/>
                      <a:gd name="T105" fmla="*/ 158 h 534"/>
                      <a:gd name="T106" fmla="*/ 341 w 538"/>
                      <a:gd name="T107" fmla="*/ 146 h 534"/>
                      <a:gd name="T108" fmla="*/ 333 w 538"/>
                      <a:gd name="T109" fmla="*/ 136 h 534"/>
                      <a:gd name="T110" fmla="*/ 323 w 538"/>
                      <a:gd name="T111" fmla="*/ 127 h 534"/>
                      <a:gd name="T112" fmla="*/ 312 w 538"/>
                      <a:gd name="T113" fmla="*/ 119 h 534"/>
                      <a:gd name="T114" fmla="*/ 296 w 538"/>
                      <a:gd name="T115" fmla="*/ 115 h 534"/>
                      <a:gd name="T116" fmla="*/ 276 w 538"/>
                      <a:gd name="T117" fmla="*/ 110 h 534"/>
                      <a:gd name="T118" fmla="*/ 252 w 538"/>
                      <a:gd name="T119" fmla="*/ 110 h 534"/>
                      <a:gd name="T120" fmla="*/ 197 w 538"/>
                      <a:gd name="T121" fmla="*/ 110 h 534"/>
                      <a:gd name="T122" fmla="*/ 197 w 538"/>
                      <a:gd name="T123" fmla="*/ 229 h 534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60000 65536"/>
                      <a:gd name="T136" fmla="*/ 0 60000 65536"/>
                      <a:gd name="T137" fmla="*/ 0 60000 65536"/>
                      <a:gd name="T138" fmla="*/ 0 60000 65536"/>
                      <a:gd name="T139" fmla="*/ 0 60000 65536"/>
                      <a:gd name="T140" fmla="*/ 0 60000 65536"/>
                      <a:gd name="T141" fmla="*/ 0 60000 65536"/>
                      <a:gd name="T142" fmla="*/ 0 60000 65536"/>
                      <a:gd name="T143" fmla="*/ 0 60000 65536"/>
                      <a:gd name="T144" fmla="*/ 0 60000 65536"/>
                      <a:gd name="T145" fmla="*/ 0 60000 65536"/>
                      <a:gd name="T146" fmla="*/ 0 60000 65536"/>
                      <a:gd name="T147" fmla="*/ 0 60000 65536"/>
                      <a:gd name="T148" fmla="*/ 0 60000 65536"/>
                      <a:gd name="T149" fmla="*/ 0 60000 65536"/>
                      <a:gd name="T150" fmla="*/ 0 60000 65536"/>
                      <a:gd name="T151" fmla="*/ 0 60000 65536"/>
                      <a:gd name="T152" fmla="*/ 0 60000 65536"/>
                      <a:gd name="T153" fmla="*/ 0 60000 65536"/>
                      <a:gd name="T154" fmla="*/ 0 60000 65536"/>
                      <a:gd name="T155" fmla="*/ 0 60000 65536"/>
                      <a:gd name="T156" fmla="*/ 0 60000 65536"/>
                      <a:gd name="T157" fmla="*/ 0 60000 65536"/>
                      <a:gd name="T158" fmla="*/ 0 60000 65536"/>
                      <a:gd name="T159" fmla="*/ 0 60000 65536"/>
                      <a:gd name="T160" fmla="*/ 0 60000 65536"/>
                      <a:gd name="T161" fmla="*/ 0 60000 65536"/>
                      <a:gd name="T162" fmla="*/ 0 60000 65536"/>
                      <a:gd name="T163" fmla="*/ 0 60000 65536"/>
                      <a:gd name="T164" fmla="*/ 0 60000 65536"/>
                      <a:gd name="T165" fmla="*/ 0 60000 65536"/>
                      <a:gd name="T166" fmla="*/ 0 60000 65536"/>
                      <a:gd name="T167" fmla="*/ 0 60000 65536"/>
                      <a:gd name="T168" fmla="*/ 0 60000 65536"/>
                      <a:gd name="T169" fmla="*/ 0 60000 65536"/>
                      <a:gd name="T170" fmla="*/ 0 60000 65536"/>
                      <a:gd name="T171" fmla="*/ 0 60000 65536"/>
                      <a:gd name="T172" fmla="*/ 0 60000 65536"/>
                      <a:gd name="T173" fmla="*/ 0 60000 65536"/>
                      <a:gd name="T174" fmla="*/ 0 60000 65536"/>
                      <a:gd name="T175" fmla="*/ 0 60000 65536"/>
                      <a:gd name="T176" fmla="*/ 0 60000 65536"/>
                      <a:gd name="T177" fmla="*/ 0 60000 65536"/>
                      <a:gd name="T178" fmla="*/ 0 60000 65536"/>
                      <a:gd name="T179" fmla="*/ 0 60000 65536"/>
                      <a:gd name="T180" fmla="*/ 0 60000 65536"/>
                      <a:gd name="T181" fmla="*/ 0 60000 65536"/>
                      <a:gd name="T182" fmla="*/ 0 60000 65536"/>
                      <a:gd name="T183" fmla="*/ 0 60000 65536"/>
                      <a:gd name="T184" fmla="*/ 0 60000 65536"/>
                      <a:gd name="T185" fmla="*/ 0 60000 65536"/>
                      <a:gd name="T186" fmla="*/ 0 w 538"/>
                      <a:gd name="T187" fmla="*/ 0 h 534"/>
                      <a:gd name="T188" fmla="*/ 538 w 538"/>
                      <a:gd name="T189" fmla="*/ 534 h 534"/>
                    </a:gdLst>
                    <a:ahLst/>
                    <a:cxnLst>
                      <a:cxn ang="T124">
                        <a:pos x="T0" y="T1"/>
                      </a:cxn>
                      <a:cxn ang="T125">
                        <a:pos x="T2" y="T3"/>
                      </a:cxn>
                      <a:cxn ang="T126">
                        <a:pos x="T4" y="T5"/>
                      </a:cxn>
                      <a:cxn ang="T127">
                        <a:pos x="T6" y="T7"/>
                      </a:cxn>
                      <a:cxn ang="T128">
                        <a:pos x="T8" y="T9"/>
                      </a:cxn>
                      <a:cxn ang="T129">
                        <a:pos x="T10" y="T11"/>
                      </a:cxn>
                      <a:cxn ang="T130">
                        <a:pos x="T12" y="T13"/>
                      </a:cxn>
                      <a:cxn ang="T131">
                        <a:pos x="T14" y="T15"/>
                      </a:cxn>
                      <a:cxn ang="T132">
                        <a:pos x="T16" y="T17"/>
                      </a:cxn>
                      <a:cxn ang="T133">
                        <a:pos x="T18" y="T19"/>
                      </a:cxn>
                      <a:cxn ang="T134">
                        <a:pos x="T20" y="T21"/>
                      </a:cxn>
                      <a:cxn ang="T135">
                        <a:pos x="T22" y="T23"/>
                      </a:cxn>
                      <a:cxn ang="T136">
                        <a:pos x="T24" y="T25"/>
                      </a:cxn>
                      <a:cxn ang="T137">
                        <a:pos x="T26" y="T27"/>
                      </a:cxn>
                      <a:cxn ang="T138">
                        <a:pos x="T28" y="T29"/>
                      </a:cxn>
                      <a:cxn ang="T139">
                        <a:pos x="T30" y="T31"/>
                      </a:cxn>
                      <a:cxn ang="T140">
                        <a:pos x="T32" y="T33"/>
                      </a:cxn>
                      <a:cxn ang="T141">
                        <a:pos x="T34" y="T35"/>
                      </a:cxn>
                      <a:cxn ang="T142">
                        <a:pos x="T36" y="T37"/>
                      </a:cxn>
                      <a:cxn ang="T143">
                        <a:pos x="T38" y="T39"/>
                      </a:cxn>
                      <a:cxn ang="T144">
                        <a:pos x="T40" y="T41"/>
                      </a:cxn>
                      <a:cxn ang="T145">
                        <a:pos x="T42" y="T43"/>
                      </a:cxn>
                      <a:cxn ang="T146">
                        <a:pos x="T44" y="T45"/>
                      </a:cxn>
                      <a:cxn ang="T147">
                        <a:pos x="T46" y="T47"/>
                      </a:cxn>
                      <a:cxn ang="T148">
                        <a:pos x="T48" y="T49"/>
                      </a:cxn>
                      <a:cxn ang="T149">
                        <a:pos x="T50" y="T51"/>
                      </a:cxn>
                      <a:cxn ang="T150">
                        <a:pos x="T52" y="T53"/>
                      </a:cxn>
                      <a:cxn ang="T151">
                        <a:pos x="T54" y="T55"/>
                      </a:cxn>
                      <a:cxn ang="T152">
                        <a:pos x="T56" y="T57"/>
                      </a:cxn>
                      <a:cxn ang="T153">
                        <a:pos x="T58" y="T59"/>
                      </a:cxn>
                      <a:cxn ang="T154">
                        <a:pos x="T60" y="T61"/>
                      </a:cxn>
                      <a:cxn ang="T155">
                        <a:pos x="T62" y="T63"/>
                      </a:cxn>
                      <a:cxn ang="T156">
                        <a:pos x="T64" y="T65"/>
                      </a:cxn>
                      <a:cxn ang="T157">
                        <a:pos x="T66" y="T67"/>
                      </a:cxn>
                      <a:cxn ang="T158">
                        <a:pos x="T68" y="T69"/>
                      </a:cxn>
                      <a:cxn ang="T159">
                        <a:pos x="T70" y="T71"/>
                      </a:cxn>
                      <a:cxn ang="T160">
                        <a:pos x="T72" y="T73"/>
                      </a:cxn>
                      <a:cxn ang="T161">
                        <a:pos x="T74" y="T75"/>
                      </a:cxn>
                      <a:cxn ang="T162">
                        <a:pos x="T76" y="T77"/>
                      </a:cxn>
                      <a:cxn ang="T163">
                        <a:pos x="T78" y="T79"/>
                      </a:cxn>
                      <a:cxn ang="T164">
                        <a:pos x="T80" y="T81"/>
                      </a:cxn>
                      <a:cxn ang="T165">
                        <a:pos x="T82" y="T83"/>
                      </a:cxn>
                      <a:cxn ang="T166">
                        <a:pos x="T84" y="T85"/>
                      </a:cxn>
                      <a:cxn ang="T167">
                        <a:pos x="T86" y="T87"/>
                      </a:cxn>
                      <a:cxn ang="T168">
                        <a:pos x="T88" y="T89"/>
                      </a:cxn>
                      <a:cxn ang="T169">
                        <a:pos x="T90" y="T91"/>
                      </a:cxn>
                      <a:cxn ang="T170">
                        <a:pos x="T92" y="T93"/>
                      </a:cxn>
                      <a:cxn ang="T171">
                        <a:pos x="T94" y="T95"/>
                      </a:cxn>
                      <a:cxn ang="T172">
                        <a:pos x="T96" y="T97"/>
                      </a:cxn>
                      <a:cxn ang="T173">
                        <a:pos x="T98" y="T99"/>
                      </a:cxn>
                      <a:cxn ang="T174">
                        <a:pos x="T100" y="T101"/>
                      </a:cxn>
                      <a:cxn ang="T175">
                        <a:pos x="T102" y="T103"/>
                      </a:cxn>
                      <a:cxn ang="T176">
                        <a:pos x="T104" y="T105"/>
                      </a:cxn>
                      <a:cxn ang="T177">
                        <a:pos x="T106" y="T107"/>
                      </a:cxn>
                      <a:cxn ang="T178">
                        <a:pos x="T108" y="T109"/>
                      </a:cxn>
                      <a:cxn ang="T179">
                        <a:pos x="T110" y="T111"/>
                      </a:cxn>
                      <a:cxn ang="T180">
                        <a:pos x="T112" y="T113"/>
                      </a:cxn>
                      <a:cxn ang="T181">
                        <a:pos x="T114" y="T115"/>
                      </a:cxn>
                      <a:cxn ang="T182">
                        <a:pos x="T116" y="T117"/>
                      </a:cxn>
                      <a:cxn ang="T183">
                        <a:pos x="T118" y="T119"/>
                      </a:cxn>
                      <a:cxn ang="T184">
                        <a:pos x="T120" y="T121"/>
                      </a:cxn>
                      <a:cxn ang="T185">
                        <a:pos x="T122" y="T123"/>
                      </a:cxn>
                    </a:cxnLst>
                    <a:rect l="T186" t="T187" r="T188" b="T189"/>
                    <a:pathLst>
                      <a:path w="538" h="534">
                        <a:moveTo>
                          <a:pt x="0" y="0"/>
                        </a:moveTo>
                        <a:lnTo>
                          <a:pt x="323" y="0"/>
                        </a:lnTo>
                        <a:lnTo>
                          <a:pt x="349" y="0"/>
                        </a:lnTo>
                        <a:lnTo>
                          <a:pt x="373" y="2"/>
                        </a:lnTo>
                        <a:lnTo>
                          <a:pt x="394" y="7"/>
                        </a:lnTo>
                        <a:lnTo>
                          <a:pt x="415" y="12"/>
                        </a:lnTo>
                        <a:lnTo>
                          <a:pt x="436" y="17"/>
                        </a:lnTo>
                        <a:lnTo>
                          <a:pt x="451" y="27"/>
                        </a:lnTo>
                        <a:lnTo>
                          <a:pt x="467" y="34"/>
                        </a:lnTo>
                        <a:lnTo>
                          <a:pt x="483" y="44"/>
                        </a:lnTo>
                        <a:lnTo>
                          <a:pt x="496" y="54"/>
                        </a:lnTo>
                        <a:lnTo>
                          <a:pt x="506" y="66"/>
                        </a:lnTo>
                        <a:lnTo>
                          <a:pt x="514" y="80"/>
                        </a:lnTo>
                        <a:lnTo>
                          <a:pt x="522" y="95"/>
                        </a:lnTo>
                        <a:lnTo>
                          <a:pt x="530" y="112"/>
                        </a:lnTo>
                        <a:lnTo>
                          <a:pt x="535" y="129"/>
                        </a:lnTo>
                        <a:lnTo>
                          <a:pt x="538" y="146"/>
                        </a:lnTo>
                        <a:lnTo>
                          <a:pt x="538" y="166"/>
                        </a:lnTo>
                        <a:lnTo>
                          <a:pt x="538" y="185"/>
                        </a:lnTo>
                        <a:lnTo>
                          <a:pt x="535" y="205"/>
                        </a:lnTo>
                        <a:lnTo>
                          <a:pt x="530" y="222"/>
                        </a:lnTo>
                        <a:lnTo>
                          <a:pt x="522" y="236"/>
                        </a:lnTo>
                        <a:lnTo>
                          <a:pt x="514" y="251"/>
                        </a:lnTo>
                        <a:lnTo>
                          <a:pt x="504" y="266"/>
                        </a:lnTo>
                        <a:lnTo>
                          <a:pt x="493" y="278"/>
                        </a:lnTo>
                        <a:lnTo>
                          <a:pt x="480" y="290"/>
                        </a:lnTo>
                        <a:lnTo>
                          <a:pt x="464" y="302"/>
                        </a:lnTo>
                        <a:lnTo>
                          <a:pt x="446" y="310"/>
                        </a:lnTo>
                        <a:lnTo>
                          <a:pt x="425" y="319"/>
                        </a:lnTo>
                        <a:lnTo>
                          <a:pt x="404" y="324"/>
                        </a:lnTo>
                        <a:lnTo>
                          <a:pt x="380" y="329"/>
                        </a:lnTo>
                        <a:lnTo>
                          <a:pt x="354" y="334"/>
                        </a:lnTo>
                        <a:lnTo>
                          <a:pt x="328" y="336"/>
                        </a:lnTo>
                        <a:lnTo>
                          <a:pt x="299" y="336"/>
                        </a:lnTo>
                        <a:lnTo>
                          <a:pt x="197" y="336"/>
                        </a:lnTo>
                        <a:lnTo>
                          <a:pt x="197" y="534"/>
                        </a:lnTo>
                        <a:lnTo>
                          <a:pt x="0" y="534"/>
                        </a:lnTo>
                        <a:lnTo>
                          <a:pt x="0" y="0"/>
                        </a:lnTo>
                        <a:close/>
                        <a:moveTo>
                          <a:pt x="197" y="229"/>
                        </a:moveTo>
                        <a:lnTo>
                          <a:pt x="241" y="229"/>
                        </a:lnTo>
                        <a:lnTo>
                          <a:pt x="255" y="229"/>
                        </a:lnTo>
                        <a:lnTo>
                          <a:pt x="268" y="227"/>
                        </a:lnTo>
                        <a:lnTo>
                          <a:pt x="281" y="227"/>
                        </a:lnTo>
                        <a:lnTo>
                          <a:pt x="289" y="224"/>
                        </a:lnTo>
                        <a:lnTo>
                          <a:pt x="299" y="222"/>
                        </a:lnTo>
                        <a:lnTo>
                          <a:pt x="307" y="219"/>
                        </a:lnTo>
                        <a:lnTo>
                          <a:pt x="315" y="214"/>
                        </a:lnTo>
                        <a:lnTo>
                          <a:pt x="320" y="212"/>
                        </a:lnTo>
                        <a:lnTo>
                          <a:pt x="333" y="202"/>
                        </a:lnTo>
                        <a:lnTo>
                          <a:pt x="341" y="193"/>
                        </a:lnTo>
                        <a:lnTo>
                          <a:pt x="344" y="183"/>
                        </a:lnTo>
                        <a:lnTo>
                          <a:pt x="346" y="171"/>
                        </a:lnTo>
                        <a:lnTo>
                          <a:pt x="344" y="158"/>
                        </a:lnTo>
                        <a:lnTo>
                          <a:pt x="341" y="146"/>
                        </a:lnTo>
                        <a:lnTo>
                          <a:pt x="333" y="136"/>
                        </a:lnTo>
                        <a:lnTo>
                          <a:pt x="323" y="127"/>
                        </a:lnTo>
                        <a:lnTo>
                          <a:pt x="312" y="119"/>
                        </a:lnTo>
                        <a:lnTo>
                          <a:pt x="296" y="115"/>
                        </a:lnTo>
                        <a:lnTo>
                          <a:pt x="276" y="110"/>
                        </a:lnTo>
                        <a:lnTo>
                          <a:pt x="252" y="110"/>
                        </a:lnTo>
                        <a:lnTo>
                          <a:pt x="197" y="110"/>
                        </a:lnTo>
                        <a:lnTo>
                          <a:pt x="197" y="229"/>
                        </a:lnTo>
                        <a:close/>
                      </a:path>
                    </a:pathLst>
                  </a:custGeom>
                  <a:solidFill>
                    <a:srgbClr val="0000FF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2" name="Freeform 16">
                    <a:extLst>
                      <a:ext uri="{FF2B5EF4-FFF2-40B4-BE49-F238E27FC236}">
                        <a16:creationId xmlns:a16="http://schemas.microsoft.com/office/drawing/2014/main" id="{00000000-0008-0000-0100-000016000000}"/>
                      </a:ext>
                    </a:extLst>
                  </xdr:cNvPr>
                  <xdr:cNvSpPr>
                    <a:spLocks noEditPoints="1"/>
                  </xdr:cNvSpPr>
                </xdr:nvSpPr>
                <xdr:spPr bwMode="auto">
                  <a:xfrm>
                    <a:off x="5276" y="13756"/>
                    <a:ext cx="655" cy="551"/>
                  </a:xfrm>
                  <a:custGeom>
                    <a:avLst/>
                    <a:gdLst>
                      <a:gd name="T0" fmla="*/ 5 w 655"/>
                      <a:gd name="T1" fmla="*/ 214 h 551"/>
                      <a:gd name="T2" fmla="*/ 34 w 655"/>
                      <a:gd name="T3" fmla="*/ 136 h 551"/>
                      <a:gd name="T4" fmla="*/ 86 w 655"/>
                      <a:gd name="T5" fmla="*/ 73 h 551"/>
                      <a:gd name="T6" fmla="*/ 160 w 655"/>
                      <a:gd name="T7" fmla="*/ 29 h 551"/>
                      <a:gd name="T8" fmla="*/ 254 w 655"/>
                      <a:gd name="T9" fmla="*/ 5 h 551"/>
                      <a:gd name="T10" fmla="*/ 364 w 655"/>
                      <a:gd name="T11" fmla="*/ 0 h 551"/>
                      <a:gd name="T12" fmla="*/ 467 w 655"/>
                      <a:gd name="T13" fmla="*/ 17 h 551"/>
                      <a:gd name="T14" fmla="*/ 548 w 655"/>
                      <a:gd name="T15" fmla="*/ 53 h 551"/>
                      <a:gd name="T16" fmla="*/ 606 w 655"/>
                      <a:gd name="T17" fmla="*/ 109 h 551"/>
                      <a:gd name="T18" fmla="*/ 642 w 655"/>
                      <a:gd name="T19" fmla="*/ 182 h 551"/>
                      <a:gd name="T20" fmla="*/ 655 w 655"/>
                      <a:gd name="T21" fmla="*/ 270 h 551"/>
                      <a:gd name="T22" fmla="*/ 650 w 655"/>
                      <a:gd name="T23" fmla="*/ 336 h 551"/>
                      <a:gd name="T24" fmla="*/ 637 w 655"/>
                      <a:gd name="T25" fmla="*/ 392 h 551"/>
                      <a:gd name="T26" fmla="*/ 611 w 655"/>
                      <a:gd name="T27" fmla="*/ 438 h 551"/>
                      <a:gd name="T28" fmla="*/ 574 w 655"/>
                      <a:gd name="T29" fmla="*/ 477 h 551"/>
                      <a:gd name="T30" fmla="*/ 530 w 655"/>
                      <a:gd name="T31" fmla="*/ 507 h 551"/>
                      <a:gd name="T32" fmla="*/ 472 w 655"/>
                      <a:gd name="T33" fmla="*/ 531 h 551"/>
                      <a:gd name="T34" fmla="*/ 406 w 655"/>
                      <a:gd name="T35" fmla="*/ 546 h 551"/>
                      <a:gd name="T36" fmla="*/ 335 w 655"/>
                      <a:gd name="T37" fmla="*/ 551 h 551"/>
                      <a:gd name="T38" fmla="*/ 259 w 655"/>
                      <a:gd name="T39" fmla="*/ 546 h 551"/>
                      <a:gd name="T40" fmla="*/ 191 w 655"/>
                      <a:gd name="T41" fmla="*/ 536 h 551"/>
                      <a:gd name="T42" fmla="*/ 139 w 655"/>
                      <a:gd name="T43" fmla="*/ 516 h 551"/>
                      <a:gd name="T44" fmla="*/ 91 w 655"/>
                      <a:gd name="T45" fmla="*/ 485 h 551"/>
                      <a:gd name="T46" fmla="*/ 52 w 655"/>
                      <a:gd name="T47" fmla="*/ 448 h 551"/>
                      <a:gd name="T48" fmla="*/ 23 w 655"/>
                      <a:gd name="T49" fmla="*/ 399 h 551"/>
                      <a:gd name="T50" fmla="*/ 5 w 655"/>
                      <a:gd name="T51" fmla="*/ 341 h 551"/>
                      <a:gd name="T52" fmla="*/ 0 w 655"/>
                      <a:gd name="T53" fmla="*/ 275 h 551"/>
                      <a:gd name="T54" fmla="*/ 199 w 655"/>
                      <a:gd name="T55" fmla="*/ 312 h 551"/>
                      <a:gd name="T56" fmla="*/ 210 w 655"/>
                      <a:gd name="T57" fmla="*/ 358 h 551"/>
                      <a:gd name="T58" fmla="*/ 228 w 655"/>
                      <a:gd name="T59" fmla="*/ 390 h 551"/>
                      <a:gd name="T60" fmla="*/ 259 w 655"/>
                      <a:gd name="T61" fmla="*/ 412 h 551"/>
                      <a:gd name="T62" fmla="*/ 296 w 655"/>
                      <a:gd name="T63" fmla="*/ 424 h 551"/>
                      <a:gd name="T64" fmla="*/ 341 w 655"/>
                      <a:gd name="T65" fmla="*/ 426 h 551"/>
                      <a:gd name="T66" fmla="*/ 383 w 655"/>
                      <a:gd name="T67" fmla="*/ 416 h 551"/>
                      <a:gd name="T68" fmla="*/ 414 w 655"/>
                      <a:gd name="T69" fmla="*/ 399 h 551"/>
                      <a:gd name="T70" fmla="*/ 440 w 655"/>
                      <a:gd name="T71" fmla="*/ 373 h 551"/>
                      <a:gd name="T72" fmla="*/ 453 w 655"/>
                      <a:gd name="T73" fmla="*/ 326 h 551"/>
                      <a:gd name="T74" fmla="*/ 459 w 655"/>
                      <a:gd name="T75" fmla="*/ 268 h 551"/>
                      <a:gd name="T76" fmla="*/ 453 w 655"/>
                      <a:gd name="T77" fmla="*/ 217 h 551"/>
                      <a:gd name="T78" fmla="*/ 440 w 655"/>
                      <a:gd name="T79" fmla="*/ 178 h 551"/>
                      <a:gd name="T80" fmla="*/ 414 w 655"/>
                      <a:gd name="T81" fmla="*/ 151 h 551"/>
                      <a:gd name="T82" fmla="*/ 380 w 655"/>
                      <a:gd name="T83" fmla="*/ 131 h 551"/>
                      <a:gd name="T84" fmla="*/ 338 w 655"/>
                      <a:gd name="T85" fmla="*/ 122 h 551"/>
                      <a:gd name="T86" fmla="*/ 296 w 655"/>
                      <a:gd name="T87" fmla="*/ 124 h 551"/>
                      <a:gd name="T88" fmla="*/ 259 w 655"/>
                      <a:gd name="T89" fmla="*/ 136 h 551"/>
                      <a:gd name="T90" fmla="*/ 230 w 655"/>
                      <a:gd name="T91" fmla="*/ 158 h 551"/>
                      <a:gd name="T92" fmla="*/ 210 w 655"/>
                      <a:gd name="T93" fmla="*/ 190 h 551"/>
                      <a:gd name="T94" fmla="*/ 199 w 655"/>
                      <a:gd name="T95" fmla="*/ 236 h 551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60000 65536"/>
                      <a:gd name="T136" fmla="*/ 0 60000 65536"/>
                      <a:gd name="T137" fmla="*/ 0 60000 65536"/>
                      <a:gd name="T138" fmla="*/ 0 60000 65536"/>
                      <a:gd name="T139" fmla="*/ 0 60000 65536"/>
                      <a:gd name="T140" fmla="*/ 0 60000 65536"/>
                      <a:gd name="T141" fmla="*/ 0 60000 65536"/>
                      <a:gd name="T142" fmla="*/ 0 60000 65536"/>
                      <a:gd name="T143" fmla="*/ 0 60000 65536"/>
                      <a:gd name="T144" fmla="*/ 0 w 655"/>
                      <a:gd name="T145" fmla="*/ 0 h 551"/>
                      <a:gd name="T146" fmla="*/ 655 w 655"/>
                      <a:gd name="T147" fmla="*/ 551 h 551"/>
                    </a:gdLst>
                    <a:ahLst/>
                    <a:cxnLst>
                      <a:cxn ang="T96">
                        <a:pos x="T0" y="T1"/>
                      </a:cxn>
                      <a:cxn ang="T97">
                        <a:pos x="T2" y="T3"/>
                      </a:cxn>
                      <a:cxn ang="T98">
                        <a:pos x="T4" y="T5"/>
                      </a:cxn>
                      <a:cxn ang="T99">
                        <a:pos x="T6" y="T7"/>
                      </a:cxn>
                      <a:cxn ang="T100">
                        <a:pos x="T8" y="T9"/>
                      </a:cxn>
                      <a:cxn ang="T101">
                        <a:pos x="T10" y="T11"/>
                      </a:cxn>
                      <a:cxn ang="T102">
                        <a:pos x="T12" y="T13"/>
                      </a:cxn>
                      <a:cxn ang="T103">
                        <a:pos x="T14" y="T15"/>
                      </a:cxn>
                      <a:cxn ang="T104">
                        <a:pos x="T16" y="T17"/>
                      </a:cxn>
                      <a:cxn ang="T105">
                        <a:pos x="T18" y="T19"/>
                      </a:cxn>
                      <a:cxn ang="T106">
                        <a:pos x="T20" y="T21"/>
                      </a:cxn>
                      <a:cxn ang="T107">
                        <a:pos x="T22" y="T23"/>
                      </a:cxn>
                      <a:cxn ang="T108">
                        <a:pos x="T24" y="T25"/>
                      </a:cxn>
                      <a:cxn ang="T109">
                        <a:pos x="T26" y="T27"/>
                      </a:cxn>
                      <a:cxn ang="T110">
                        <a:pos x="T28" y="T29"/>
                      </a:cxn>
                      <a:cxn ang="T111">
                        <a:pos x="T30" y="T31"/>
                      </a:cxn>
                      <a:cxn ang="T112">
                        <a:pos x="T32" y="T33"/>
                      </a:cxn>
                      <a:cxn ang="T113">
                        <a:pos x="T34" y="T35"/>
                      </a:cxn>
                      <a:cxn ang="T114">
                        <a:pos x="T36" y="T37"/>
                      </a:cxn>
                      <a:cxn ang="T115">
                        <a:pos x="T38" y="T39"/>
                      </a:cxn>
                      <a:cxn ang="T116">
                        <a:pos x="T40" y="T41"/>
                      </a:cxn>
                      <a:cxn ang="T117">
                        <a:pos x="T42" y="T43"/>
                      </a:cxn>
                      <a:cxn ang="T118">
                        <a:pos x="T44" y="T45"/>
                      </a:cxn>
                      <a:cxn ang="T119">
                        <a:pos x="T46" y="T47"/>
                      </a:cxn>
                      <a:cxn ang="T120">
                        <a:pos x="T48" y="T49"/>
                      </a:cxn>
                      <a:cxn ang="T121">
                        <a:pos x="T50" y="T51"/>
                      </a:cxn>
                      <a:cxn ang="T122">
                        <a:pos x="T52" y="T53"/>
                      </a:cxn>
                      <a:cxn ang="T123">
                        <a:pos x="T54" y="T55"/>
                      </a:cxn>
                      <a:cxn ang="T124">
                        <a:pos x="T56" y="T57"/>
                      </a:cxn>
                      <a:cxn ang="T125">
                        <a:pos x="T58" y="T59"/>
                      </a:cxn>
                      <a:cxn ang="T126">
                        <a:pos x="T60" y="T61"/>
                      </a:cxn>
                      <a:cxn ang="T127">
                        <a:pos x="T62" y="T63"/>
                      </a:cxn>
                      <a:cxn ang="T128">
                        <a:pos x="T64" y="T65"/>
                      </a:cxn>
                      <a:cxn ang="T129">
                        <a:pos x="T66" y="T67"/>
                      </a:cxn>
                      <a:cxn ang="T130">
                        <a:pos x="T68" y="T69"/>
                      </a:cxn>
                      <a:cxn ang="T131">
                        <a:pos x="T70" y="T71"/>
                      </a:cxn>
                      <a:cxn ang="T132">
                        <a:pos x="T72" y="T73"/>
                      </a:cxn>
                      <a:cxn ang="T133">
                        <a:pos x="T74" y="T75"/>
                      </a:cxn>
                      <a:cxn ang="T134">
                        <a:pos x="T76" y="T77"/>
                      </a:cxn>
                      <a:cxn ang="T135">
                        <a:pos x="T78" y="T79"/>
                      </a:cxn>
                      <a:cxn ang="T136">
                        <a:pos x="T80" y="T81"/>
                      </a:cxn>
                      <a:cxn ang="T137">
                        <a:pos x="T82" y="T83"/>
                      </a:cxn>
                      <a:cxn ang="T138">
                        <a:pos x="T84" y="T85"/>
                      </a:cxn>
                      <a:cxn ang="T139">
                        <a:pos x="T86" y="T87"/>
                      </a:cxn>
                      <a:cxn ang="T140">
                        <a:pos x="T88" y="T89"/>
                      </a:cxn>
                      <a:cxn ang="T141">
                        <a:pos x="T90" y="T91"/>
                      </a:cxn>
                      <a:cxn ang="T142">
                        <a:pos x="T92" y="T93"/>
                      </a:cxn>
                      <a:cxn ang="T143">
                        <a:pos x="T94" y="T95"/>
                      </a:cxn>
                    </a:cxnLst>
                    <a:rect l="T144" t="T145" r="T146" b="T147"/>
                    <a:pathLst>
                      <a:path w="655" h="551">
                        <a:moveTo>
                          <a:pt x="0" y="275"/>
                        </a:moveTo>
                        <a:lnTo>
                          <a:pt x="2" y="243"/>
                        </a:lnTo>
                        <a:lnTo>
                          <a:pt x="5" y="214"/>
                        </a:lnTo>
                        <a:lnTo>
                          <a:pt x="13" y="187"/>
                        </a:lnTo>
                        <a:lnTo>
                          <a:pt x="21" y="161"/>
                        </a:lnTo>
                        <a:lnTo>
                          <a:pt x="34" y="136"/>
                        </a:lnTo>
                        <a:lnTo>
                          <a:pt x="50" y="112"/>
                        </a:lnTo>
                        <a:lnTo>
                          <a:pt x="65" y="92"/>
                        </a:lnTo>
                        <a:lnTo>
                          <a:pt x="86" y="73"/>
                        </a:lnTo>
                        <a:lnTo>
                          <a:pt x="110" y="56"/>
                        </a:lnTo>
                        <a:lnTo>
                          <a:pt x="133" y="41"/>
                        </a:lnTo>
                        <a:lnTo>
                          <a:pt x="160" y="29"/>
                        </a:lnTo>
                        <a:lnTo>
                          <a:pt x="191" y="17"/>
                        </a:lnTo>
                        <a:lnTo>
                          <a:pt x="220" y="9"/>
                        </a:lnTo>
                        <a:lnTo>
                          <a:pt x="254" y="5"/>
                        </a:lnTo>
                        <a:lnTo>
                          <a:pt x="288" y="0"/>
                        </a:lnTo>
                        <a:lnTo>
                          <a:pt x="325" y="0"/>
                        </a:lnTo>
                        <a:lnTo>
                          <a:pt x="364" y="0"/>
                        </a:lnTo>
                        <a:lnTo>
                          <a:pt x="398" y="5"/>
                        </a:lnTo>
                        <a:lnTo>
                          <a:pt x="432" y="9"/>
                        </a:lnTo>
                        <a:lnTo>
                          <a:pt x="467" y="17"/>
                        </a:lnTo>
                        <a:lnTo>
                          <a:pt x="495" y="26"/>
                        </a:lnTo>
                        <a:lnTo>
                          <a:pt x="522" y="39"/>
                        </a:lnTo>
                        <a:lnTo>
                          <a:pt x="548" y="53"/>
                        </a:lnTo>
                        <a:lnTo>
                          <a:pt x="569" y="70"/>
                        </a:lnTo>
                        <a:lnTo>
                          <a:pt x="590" y="90"/>
                        </a:lnTo>
                        <a:lnTo>
                          <a:pt x="606" y="109"/>
                        </a:lnTo>
                        <a:lnTo>
                          <a:pt x="621" y="134"/>
                        </a:lnTo>
                        <a:lnTo>
                          <a:pt x="634" y="158"/>
                        </a:lnTo>
                        <a:lnTo>
                          <a:pt x="642" y="182"/>
                        </a:lnTo>
                        <a:lnTo>
                          <a:pt x="650" y="212"/>
                        </a:lnTo>
                        <a:lnTo>
                          <a:pt x="653" y="241"/>
                        </a:lnTo>
                        <a:lnTo>
                          <a:pt x="655" y="270"/>
                        </a:lnTo>
                        <a:lnTo>
                          <a:pt x="655" y="295"/>
                        </a:lnTo>
                        <a:lnTo>
                          <a:pt x="653" y="317"/>
                        </a:lnTo>
                        <a:lnTo>
                          <a:pt x="650" y="336"/>
                        </a:lnTo>
                        <a:lnTo>
                          <a:pt x="648" y="356"/>
                        </a:lnTo>
                        <a:lnTo>
                          <a:pt x="642" y="375"/>
                        </a:lnTo>
                        <a:lnTo>
                          <a:pt x="637" y="392"/>
                        </a:lnTo>
                        <a:lnTo>
                          <a:pt x="629" y="409"/>
                        </a:lnTo>
                        <a:lnTo>
                          <a:pt x="621" y="424"/>
                        </a:lnTo>
                        <a:lnTo>
                          <a:pt x="611" y="438"/>
                        </a:lnTo>
                        <a:lnTo>
                          <a:pt x="600" y="451"/>
                        </a:lnTo>
                        <a:lnTo>
                          <a:pt x="587" y="465"/>
                        </a:lnTo>
                        <a:lnTo>
                          <a:pt x="574" y="477"/>
                        </a:lnTo>
                        <a:lnTo>
                          <a:pt x="561" y="487"/>
                        </a:lnTo>
                        <a:lnTo>
                          <a:pt x="545" y="499"/>
                        </a:lnTo>
                        <a:lnTo>
                          <a:pt x="530" y="507"/>
                        </a:lnTo>
                        <a:lnTo>
                          <a:pt x="511" y="516"/>
                        </a:lnTo>
                        <a:lnTo>
                          <a:pt x="493" y="524"/>
                        </a:lnTo>
                        <a:lnTo>
                          <a:pt x="472" y="531"/>
                        </a:lnTo>
                        <a:lnTo>
                          <a:pt x="451" y="536"/>
                        </a:lnTo>
                        <a:lnTo>
                          <a:pt x="430" y="541"/>
                        </a:lnTo>
                        <a:lnTo>
                          <a:pt x="406" y="546"/>
                        </a:lnTo>
                        <a:lnTo>
                          <a:pt x="383" y="548"/>
                        </a:lnTo>
                        <a:lnTo>
                          <a:pt x="359" y="551"/>
                        </a:lnTo>
                        <a:lnTo>
                          <a:pt x="335" y="551"/>
                        </a:lnTo>
                        <a:lnTo>
                          <a:pt x="309" y="551"/>
                        </a:lnTo>
                        <a:lnTo>
                          <a:pt x="283" y="548"/>
                        </a:lnTo>
                        <a:lnTo>
                          <a:pt x="259" y="546"/>
                        </a:lnTo>
                        <a:lnTo>
                          <a:pt x="236" y="543"/>
                        </a:lnTo>
                        <a:lnTo>
                          <a:pt x="212" y="541"/>
                        </a:lnTo>
                        <a:lnTo>
                          <a:pt x="191" y="536"/>
                        </a:lnTo>
                        <a:lnTo>
                          <a:pt x="173" y="529"/>
                        </a:lnTo>
                        <a:lnTo>
                          <a:pt x="154" y="524"/>
                        </a:lnTo>
                        <a:lnTo>
                          <a:pt x="139" y="516"/>
                        </a:lnTo>
                        <a:lnTo>
                          <a:pt x="123" y="507"/>
                        </a:lnTo>
                        <a:lnTo>
                          <a:pt x="107" y="497"/>
                        </a:lnTo>
                        <a:lnTo>
                          <a:pt x="91" y="485"/>
                        </a:lnTo>
                        <a:lnTo>
                          <a:pt x="78" y="475"/>
                        </a:lnTo>
                        <a:lnTo>
                          <a:pt x="65" y="460"/>
                        </a:lnTo>
                        <a:lnTo>
                          <a:pt x="52" y="448"/>
                        </a:lnTo>
                        <a:lnTo>
                          <a:pt x="42" y="434"/>
                        </a:lnTo>
                        <a:lnTo>
                          <a:pt x="31" y="416"/>
                        </a:lnTo>
                        <a:lnTo>
                          <a:pt x="23" y="399"/>
                        </a:lnTo>
                        <a:lnTo>
                          <a:pt x="15" y="380"/>
                        </a:lnTo>
                        <a:lnTo>
                          <a:pt x="10" y="360"/>
                        </a:lnTo>
                        <a:lnTo>
                          <a:pt x="5" y="341"/>
                        </a:lnTo>
                        <a:lnTo>
                          <a:pt x="2" y="319"/>
                        </a:lnTo>
                        <a:lnTo>
                          <a:pt x="0" y="297"/>
                        </a:lnTo>
                        <a:lnTo>
                          <a:pt x="0" y="275"/>
                        </a:lnTo>
                        <a:close/>
                        <a:moveTo>
                          <a:pt x="196" y="275"/>
                        </a:moveTo>
                        <a:lnTo>
                          <a:pt x="196" y="295"/>
                        </a:lnTo>
                        <a:lnTo>
                          <a:pt x="199" y="312"/>
                        </a:lnTo>
                        <a:lnTo>
                          <a:pt x="202" y="329"/>
                        </a:lnTo>
                        <a:lnTo>
                          <a:pt x="204" y="343"/>
                        </a:lnTo>
                        <a:lnTo>
                          <a:pt x="210" y="358"/>
                        </a:lnTo>
                        <a:lnTo>
                          <a:pt x="215" y="370"/>
                        </a:lnTo>
                        <a:lnTo>
                          <a:pt x="220" y="380"/>
                        </a:lnTo>
                        <a:lnTo>
                          <a:pt x="228" y="390"/>
                        </a:lnTo>
                        <a:lnTo>
                          <a:pt x="238" y="397"/>
                        </a:lnTo>
                        <a:lnTo>
                          <a:pt x="249" y="404"/>
                        </a:lnTo>
                        <a:lnTo>
                          <a:pt x="259" y="412"/>
                        </a:lnTo>
                        <a:lnTo>
                          <a:pt x="272" y="416"/>
                        </a:lnTo>
                        <a:lnTo>
                          <a:pt x="283" y="421"/>
                        </a:lnTo>
                        <a:lnTo>
                          <a:pt x="296" y="424"/>
                        </a:lnTo>
                        <a:lnTo>
                          <a:pt x="312" y="426"/>
                        </a:lnTo>
                        <a:lnTo>
                          <a:pt x="325" y="426"/>
                        </a:lnTo>
                        <a:lnTo>
                          <a:pt x="341" y="426"/>
                        </a:lnTo>
                        <a:lnTo>
                          <a:pt x="356" y="424"/>
                        </a:lnTo>
                        <a:lnTo>
                          <a:pt x="370" y="421"/>
                        </a:lnTo>
                        <a:lnTo>
                          <a:pt x="383" y="416"/>
                        </a:lnTo>
                        <a:lnTo>
                          <a:pt x="396" y="412"/>
                        </a:lnTo>
                        <a:lnTo>
                          <a:pt x="406" y="407"/>
                        </a:lnTo>
                        <a:lnTo>
                          <a:pt x="414" y="399"/>
                        </a:lnTo>
                        <a:lnTo>
                          <a:pt x="425" y="392"/>
                        </a:lnTo>
                        <a:lnTo>
                          <a:pt x="432" y="382"/>
                        </a:lnTo>
                        <a:lnTo>
                          <a:pt x="440" y="373"/>
                        </a:lnTo>
                        <a:lnTo>
                          <a:pt x="446" y="358"/>
                        </a:lnTo>
                        <a:lnTo>
                          <a:pt x="451" y="343"/>
                        </a:lnTo>
                        <a:lnTo>
                          <a:pt x="453" y="326"/>
                        </a:lnTo>
                        <a:lnTo>
                          <a:pt x="456" y="309"/>
                        </a:lnTo>
                        <a:lnTo>
                          <a:pt x="459" y="290"/>
                        </a:lnTo>
                        <a:lnTo>
                          <a:pt x="459" y="268"/>
                        </a:lnTo>
                        <a:lnTo>
                          <a:pt x="459" y="251"/>
                        </a:lnTo>
                        <a:lnTo>
                          <a:pt x="456" y="234"/>
                        </a:lnTo>
                        <a:lnTo>
                          <a:pt x="453" y="217"/>
                        </a:lnTo>
                        <a:lnTo>
                          <a:pt x="451" y="202"/>
                        </a:lnTo>
                        <a:lnTo>
                          <a:pt x="446" y="190"/>
                        </a:lnTo>
                        <a:lnTo>
                          <a:pt x="440" y="178"/>
                        </a:lnTo>
                        <a:lnTo>
                          <a:pt x="432" y="168"/>
                        </a:lnTo>
                        <a:lnTo>
                          <a:pt x="425" y="158"/>
                        </a:lnTo>
                        <a:lnTo>
                          <a:pt x="414" y="151"/>
                        </a:lnTo>
                        <a:lnTo>
                          <a:pt x="404" y="143"/>
                        </a:lnTo>
                        <a:lnTo>
                          <a:pt x="393" y="136"/>
                        </a:lnTo>
                        <a:lnTo>
                          <a:pt x="380" y="131"/>
                        </a:lnTo>
                        <a:lnTo>
                          <a:pt x="367" y="126"/>
                        </a:lnTo>
                        <a:lnTo>
                          <a:pt x="354" y="124"/>
                        </a:lnTo>
                        <a:lnTo>
                          <a:pt x="338" y="122"/>
                        </a:lnTo>
                        <a:lnTo>
                          <a:pt x="322" y="122"/>
                        </a:lnTo>
                        <a:lnTo>
                          <a:pt x="309" y="122"/>
                        </a:lnTo>
                        <a:lnTo>
                          <a:pt x="296" y="124"/>
                        </a:lnTo>
                        <a:lnTo>
                          <a:pt x="283" y="126"/>
                        </a:lnTo>
                        <a:lnTo>
                          <a:pt x="272" y="131"/>
                        </a:lnTo>
                        <a:lnTo>
                          <a:pt x="259" y="136"/>
                        </a:lnTo>
                        <a:lnTo>
                          <a:pt x="249" y="143"/>
                        </a:lnTo>
                        <a:lnTo>
                          <a:pt x="241" y="151"/>
                        </a:lnTo>
                        <a:lnTo>
                          <a:pt x="230" y="158"/>
                        </a:lnTo>
                        <a:lnTo>
                          <a:pt x="223" y="168"/>
                        </a:lnTo>
                        <a:lnTo>
                          <a:pt x="215" y="178"/>
                        </a:lnTo>
                        <a:lnTo>
                          <a:pt x="210" y="190"/>
                        </a:lnTo>
                        <a:lnTo>
                          <a:pt x="204" y="204"/>
                        </a:lnTo>
                        <a:lnTo>
                          <a:pt x="202" y="221"/>
                        </a:lnTo>
                        <a:lnTo>
                          <a:pt x="199" y="236"/>
                        </a:lnTo>
                        <a:lnTo>
                          <a:pt x="196" y="256"/>
                        </a:lnTo>
                        <a:lnTo>
                          <a:pt x="196" y="275"/>
                        </a:lnTo>
                        <a:close/>
                      </a:path>
                    </a:pathLst>
                  </a:custGeom>
                  <a:solidFill>
                    <a:srgbClr val="0000FF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3" name="Freeform 17">
                    <a:extLst>
                      <a:ext uri="{FF2B5EF4-FFF2-40B4-BE49-F238E27FC236}">
                        <a16:creationId xmlns:a16="http://schemas.microsoft.com/office/drawing/2014/main" id="{00000000-0008-0000-0100-000017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5808" y="13778"/>
                    <a:ext cx="887" cy="534"/>
                  </a:xfrm>
                  <a:custGeom>
                    <a:avLst/>
                    <a:gdLst>
                      <a:gd name="T0" fmla="*/ 0 w 887"/>
                      <a:gd name="T1" fmla="*/ 0 h 534"/>
                      <a:gd name="T2" fmla="*/ 186 w 887"/>
                      <a:gd name="T3" fmla="*/ 0 h 534"/>
                      <a:gd name="T4" fmla="*/ 252 w 887"/>
                      <a:gd name="T5" fmla="*/ 297 h 534"/>
                      <a:gd name="T6" fmla="*/ 352 w 887"/>
                      <a:gd name="T7" fmla="*/ 0 h 534"/>
                      <a:gd name="T8" fmla="*/ 533 w 887"/>
                      <a:gd name="T9" fmla="*/ 0 h 534"/>
                      <a:gd name="T10" fmla="*/ 635 w 887"/>
                      <a:gd name="T11" fmla="*/ 300 h 534"/>
                      <a:gd name="T12" fmla="*/ 698 w 887"/>
                      <a:gd name="T13" fmla="*/ 0 h 534"/>
                      <a:gd name="T14" fmla="*/ 887 w 887"/>
                      <a:gd name="T15" fmla="*/ 0 h 534"/>
                      <a:gd name="T16" fmla="*/ 745 w 887"/>
                      <a:gd name="T17" fmla="*/ 534 h 534"/>
                      <a:gd name="T18" fmla="*/ 554 w 887"/>
                      <a:gd name="T19" fmla="*/ 534 h 534"/>
                      <a:gd name="T20" fmla="*/ 441 w 887"/>
                      <a:gd name="T21" fmla="*/ 200 h 534"/>
                      <a:gd name="T22" fmla="*/ 331 w 887"/>
                      <a:gd name="T23" fmla="*/ 534 h 534"/>
                      <a:gd name="T24" fmla="*/ 139 w 887"/>
                      <a:gd name="T25" fmla="*/ 534 h 534"/>
                      <a:gd name="T26" fmla="*/ 0 w 887"/>
                      <a:gd name="T27" fmla="*/ 0 h 534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w 887"/>
                      <a:gd name="T43" fmla="*/ 0 h 534"/>
                      <a:gd name="T44" fmla="*/ 887 w 887"/>
                      <a:gd name="T45" fmla="*/ 534 h 534"/>
                    </a:gdLst>
                    <a:ahLst/>
                    <a:cxnLst>
                      <a:cxn ang="T28">
                        <a:pos x="T0" y="T1"/>
                      </a:cxn>
                      <a:cxn ang="T29">
                        <a:pos x="T2" y="T3"/>
                      </a:cxn>
                      <a:cxn ang="T30">
                        <a:pos x="T4" y="T5"/>
                      </a:cxn>
                      <a:cxn ang="T31">
                        <a:pos x="T6" y="T7"/>
                      </a:cxn>
                      <a:cxn ang="T32">
                        <a:pos x="T8" y="T9"/>
                      </a:cxn>
                      <a:cxn ang="T33">
                        <a:pos x="T10" y="T11"/>
                      </a:cxn>
                      <a:cxn ang="T34">
                        <a:pos x="T12" y="T13"/>
                      </a:cxn>
                      <a:cxn ang="T35">
                        <a:pos x="T14" y="T15"/>
                      </a:cxn>
                      <a:cxn ang="T36">
                        <a:pos x="T16" y="T17"/>
                      </a:cxn>
                      <a:cxn ang="T37">
                        <a:pos x="T18" y="T19"/>
                      </a:cxn>
                      <a:cxn ang="T38">
                        <a:pos x="T20" y="T21"/>
                      </a:cxn>
                      <a:cxn ang="T39">
                        <a:pos x="T22" y="T23"/>
                      </a:cxn>
                      <a:cxn ang="T40">
                        <a:pos x="T24" y="T25"/>
                      </a:cxn>
                      <a:cxn ang="T41">
                        <a:pos x="T26" y="T27"/>
                      </a:cxn>
                    </a:cxnLst>
                    <a:rect l="T42" t="T43" r="T44" b="T45"/>
                    <a:pathLst>
                      <a:path w="887" h="534">
                        <a:moveTo>
                          <a:pt x="0" y="0"/>
                        </a:moveTo>
                        <a:lnTo>
                          <a:pt x="186" y="0"/>
                        </a:lnTo>
                        <a:lnTo>
                          <a:pt x="252" y="297"/>
                        </a:lnTo>
                        <a:lnTo>
                          <a:pt x="352" y="0"/>
                        </a:lnTo>
                        <a:lnTo>
                          <a:pt x="533" y="0"/>
                        </a:lnTo>
                        <a:lnTo>
                          <a:pt x="635" y="300"/>
                        </a:lnTo>
                        <a:lnTo>
                          <a:pt x="698" y="0"/>
                        </a:lnTo>
                        <a:lnTo>
                          <a:pt x="887" y="0"/>
                        </a:lnTo>
                        <a:lnTo>
                          <a:pt x="745" y="534"/>
                        </a:lnTo>
                        <a:lnTo>
                          <a:pt x="554" y="534"/>
                        </a:lnTo>
                        <a:lnTo>
                          <a:pt x="441" y="200"/>
                        </a:lnTo>
                        <a:lnTo>
                          <a:pt x="331" y="534"/>
                        </a:lnTo>
                        <a:lnTo>
                          <a:pt x="139" y="534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rgbClr val="0000FF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4" name="Freeform 18">
                    <a:extLst>
                      <a:ext uri="{FF2B5EF4-FFF2-40B4-BE49-F238E27FC236}">
                        <a16:creationId xmlns:a16="http://schemas.microsoft.com/office/drawing/2014/main" id="{00000000-0008-0000-0100-000018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6679" y="13763"/>
                    <a:ext cx="532" cy="534"/>
                  </a:xfrm>
                  <a:custGeom>
                    <a:avLst/>
                    <a:gdLst>
                      <a:gd name="T0" fmla="*/ 0 w 532"/>
                      <a:gd name="T1" fmla="*/ 0 h 534"/>
                      <a:gd name="T2" fmla="*/ 519 w 532"/>
                      <a:gd name="T3" fmla="*/ 0 h 534"/>
                      <a:gd name="T4" fmla="*/ 519 w 532"/>
                      <a:gd name="T5" fmla="*/ 115 h 534"/>
                      <a:gd name="T6" fmla="*/ 197 w 532"/>
                      <a:gd name="T7" fmla="*/ 115 h 534"/>
                      <a:gd name="T8" fmla="*/ 197 w 532"/>
                      <a:gd name="T9" fmla="*/ 200 h 534"/>
                      <a:gd name="T10" fmla="*/ 496 w 532"/>
                      <a:gd name="T11" fmla="*/ 200 h 534"/>
                      <a:gd name="T12" fmla="*/ 496 w 532"/>
                      <a:gd name="T13" fmla="*/ 307 h 534"/>
                      <a:gd name="T14" fmla="*/ 197 w 532"/>
                      <a:gd name="T15" fmla="*/ 307 h 534"/>
                      <a:gd name="T16" fmla="*/ 197 w 532"/>
                      <a:gd name="T17" fmla="*/ 412 h 534"/>
                      <a:gd name="T18" fmla="*/ 532 w 532"/>
                      <a:gd name="T19" fmla="*/ 412 h 534"/>
                      <a:gd name="T20" fmla="*/ 532 w 532"/>
                      <a:gd name="T21" fmla="*/ 534 h 534"/>
                      <a:gd name="T22" fmla="*/ 0 w 532"/>
                      <a:gd name="T23" fmla="*/ 534 h 534"/>
                      <a:gd name="T24" fmla="*/ 0 w 532"/>
                      <a:gd name="T25" fmla="*/ 0 h 534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w 532"/>
                      <a:gd name="T40" fmla="*/ 0 h 534"/>
                      <a:gd name="T41" fmla="*/ 532 w 532"/>
                      <a:gd name="T42" fmla="*/ 534 h 534"/>
                    </a:gdLst>
                    <a:ahLst/>
                    <a:cxnLst>
                      <a:cxn ang="T26">
                        <a:pos x="T0" y="T1"/>
                      </a:cxn>
                      <a:cxn ang="T27">
                        <a:pos x="T2" y="T3"/>
                      </a:cxn>
                      <a:cxn ang="T28">
                        <a:pos x="T4" y="T5"/>
                      </a:cxn>
                      <a:cxn ang="T29">
                        <a:pos x="T6" y="T7"/>
                      </a:cxn>
                      <a:cxn ang="T30">
                        <a:pos x="T8" y="T9"/>
                      </a:cxn>
                      <a:cxn ang="T31">
                        <a:pos x="T10" y="T11"/>
                      </a:cxn>
                      <a:cxn ang="T32">
                        <a:pos x="T12" y="T13"/>
                      </a:cxn>
                      <a:cxn ang="T33">
                        <a:pos x="T14" y="T15"/>
                      </a:cxn>
                      <a:cxn ang="T34">
                        <a:pos x="T16" y="T17"/>
                      </a:cxn>
                      <a:cxn ang="T35">
                        <a:pos x="T18" y="T19"/>
                      </a:cxn>
                      <a:cxn ang="T36">
                        <a:pos x="T20" y="T21"/>
                      </a:cxn>
                      <a:cxn ang="T37">
                        <a:pos x="T22" y="T23"/>
                      </a:cxn>
                      <a:cxn ang="T38">
                        <a:pos x="T24" y="T25"/>
                      </a:cxn>
                    </a:cxnLst>
                    <a:rect l="T39" t="T40" r="T41" b="T42"/>
                    <a:pathLst>
                      <a:path w="532" h="534">
                        <a:moveTo>
                          <a:pt x="0" y="0"/>
                        </a:moveTo>
                        <a:lnTo>
                          <a:pt x="519" y="0"/>
                        </a:lnTo>
                        <a:lnTo>
                          <a:pt x="519" y="115"/>
                        </a:lnTo>
                        <a:lnTo>
                          <a:pt x="197" y="115"/>
                        </a:lnTo>
                        <a:lnTo>
                          <a:pt x="197" y="200"/>
                        </a:lnTo>
                        <a:lnTo>
                          <a:pt x="496" y="200"/>
                        </a:lnTo>
                        <a:lnTo>
                          <a:pt x="496" y="307"/>
                        </a:lnTo>
                        <a:lnTo>
                          <a:pt x="197" y="307"/>
                        </a:lnTo>
                        <a:lnTo>
                          <a:pt x="197" y="412"/>
                        </a:lnTo>
                        <a:lnTo>
                          <a:pt x="532" y="412"/>
                        </a:lnTo>
                        <a:lnTo>
                          <a:pt x="532" y="534"/>
                        </a:lnTo>
                        <a:lnTo>
                          <a:pt x="0" y="534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rgbClr val="0000FF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5" name="Freeform 19">
                    <a:extLst>
                      <a:ext uri="{FF2B5EF4-FFF2-40B4-BE49-F238E27FC236}">
                        <a16:creationId xmlns:a16="http://schemas.microsoft.com/office/drawing/2014/main" id="{00000000-0008-0000-0100-000019000000}"/>
                      </a:ext>
                    </a:extLst>
                  </xdr:cNvPr>
                  <xdr:cNvSpPr>
                    <a:spLocks noEditPoints="1"/>
                  </xdr:cNvSpPr>
                </xdr:nvSpPr>
                <xdr:spPr bwMode="auto">
                  <a:xfrm>
                    <a:off x="7240" y="13763"/>
                    <a:ext cx="622" cy="534"/>
                  </a:xfrm>
                  <a:custGeom>
                    <a:avLst/>
                    <a:gdLst>
                      <a:gd name="T0" fmla="*/ 0 w 622"/>
                      <a:gd name="T1" fmla="*/ 0 h 534"/>
                      <a:gd name="T2" fmla="*/ 341 w 622"/>
                      <a:gd name="T3" fmla="*/ 0 h 534"/>
                      <a:gd name="T4" fmla="*/ 383 w 622"/>
                      <a:gd name="T5" fmla="*/ 2 h 534"/>
                      <a:gd name="T6" fmla="*/ 417 w 622"/>
                      <a:gd name="T7" fmla="*/ 5 h 534"/>
                      <a:gd name="T8" fmla="*/ 446 w 622"/>
                      <a:gd name="T9" fmla="*/ 12 h 534"/>
                      <a:gd name="T10" fmla="*/ 470 w 622"/>
                      <a:gd name="T11" fmla="*/ 17 h 534"/>
                      <a:gd name="T12" fmla="*/ 493 w 622"/>
                      <a:gd name="T13" fmla="*/ 27 h 534"/>
                      <a:gd name="T14" fmla="*/ 512 w 622"/>
                      <a:gd name="T15" fmla="*/ 41 h 534"/>
                      <a:gd name="T16" fmla="*/ 530 w 622"/>
                      <a:gd name="T17" fmla="*/ 56 h 534"/>
                      <a:gd name="T18" fmla="*/ 546 w 622"/>
                      <a:gd name="T19" fmla="*/ 73 h 534"/>
                      <a:gd name="T20" fmla="*/ 556 w 622"/>
                      <a:gd name="T21" fmla="*/ 90 h 534"/>
                      <a:gd name="T22" fmla="*/ 564 w 622"/>
                      <a:gd name="T23" fmla="*/ 112 h 534"/>
                      <a:gd name="T24" fmla="*/ 569 w 622"/>
                      <a:gd name="T25" fmla="*/ 136 h 534"/>
                      <a:gd name="T26" fmla="*/ 569 w 622"/>
                      <a:gd name="T27" fmla="*/ 158 h 534"/>
                      <a:gd name="T28" fmla="*/ 567 w 622"/>
                      <a:gd name="T29" fmla="*/ 180 h 534"/>
                      <a:gd name="T30" fmla="*/ 559 w 622"/>
                      <a:gd name="T31" fmla="*/ 200 h 534"/>
                      <a:gd name="T32" fmla="*/ 551 w 622"/>
                      <a:gd name="T33" fmla="*/ 217 h 534"/>
                      <a:gd name="T34" fmla="*/ 535 w 622"/>
                      <a:gd name="T35" fmla="*/ 239 h 534"/>
                      <a:gd name="T36" fmla="*/ 504 w 622"/>
                      <a:gd name="T37" fmla="*/ 266 h 534"/>
                      <a:gd name="T38" fmla="*/ 470 w 622"/>
                      <a:gd name="T39" fmla="*/ 283 h 534"/>
                      <a:gd name="T40" fmla="*/ 436 w 622"/>
                      <a:gd name="T41" fmla="*/ 295 h 534"/>
                      <a:gd name="T42" fmla="*/ 430 w 622"/>
                      <a:gd name="T43" fmla="*/ 305 h 534"/>
                      <a:gd name="T44" fmla="*/ 457 w 622"/>
                      <a:gd name="T45" fmla="*/ 314 h 534"/>
                      <a:gd name="T46" fmla="*/ 470 w 622"/>
                      <a:gd name="T47" fmla="*/ 324 h 534"/>
                      <a:gd name="T48" fmla="*/ 488 w 622"/>
                      <a:gd name="T49" fmla="*/ 336 h 534"/>
                      <a:gd name="T50" fmla="*/ 506 w 622"/>
                      <a:gd name="T51" fmla="*/ 356 h 534"/>
                      <a:gd name="T52" fmla="*/ 520 w 622"/>
                      <a:gd name="T53" fmla="*/ 373 h 534"/>
                      <a:gd name="T54" fmla="*/ 622 w 622"/>
                      <a:gd name="T55" fmla="*/ 534 h 534"/>
                      <a:gd name="T56" fmla="*/ 294 w 622"/>
                      <a:gd name="T57" fmla="*/ 373 h 534"/>
                      <a:gd name="T58" fmla="*/ 276 w 622"/>
                      <a:gd name="T59" fmla="*/ 344 h 534"/>
                      <a:gd name="T60" fmla="*/ 257 w 622"/>
                      <a:gd name="T61" fmla="*/ 329 h 534"/>
                      <a:gd name="T62" fmla="*/ 236 w 622"/>
                      <a:gd name="T63" fmla="*/ 319 h 534"/>
                      <a:gd name="T64" fmla="*/ 210 w 622"/>
                      <a:gd name="T65" fmla="*/ 317 h 534"/>
                      <a:gd name="T66" fmla="*/ 197 w 622"/>
                      <a:gd name="T67" fmla="*/ 534 h 534"/>
                      <a:gd name="T68" fmla="*/ 197 w 622"/>
                      <a:gd name="T69" fmla="*/ 214 h 534"/>
                      <a:gd name="T70" fmla="*/ 286 w 622"/>
                      <a:gd name="T71" fmla="*/ 214 h 534"/>
                      <a:gd name="T72" fmla="*/ 310 w 622"/>
                      <a:gd name="T73" fmla="*/ 212 h 534"/>
                      <a:gd name="T74" fmla="*/ 336 w 622"/>
                      <a:gd name="T75" fmla="*/ 207 h 534"/>
                      <a:gd name="T76" fmla="*/ 352 w 622"/>
                      <a:gd name="T77" fmla="*/ 200 h 534"/>
                      <a:gd name="T78" fmla="*/ 365 w 622"/>
                      <a:gd name="T79" fmla="*/ 185 h 534"/>
                      <a:gd name="T80" fmla="*/ 370 w 622"/>
                      <a:gd name="T81" fmla="*/ 171 h 534"/>
                      <a:gd name="T82" fmla="*/ 370 w 622"/>
                      <a:gd name="T83" fmla="*/ 151 h 534"/>
                      <a:gd name="T84" fmla="*/ 360 w 622"/>
                      <a:gd name="T85" fmla="*/ 132 h 534"/>
                      <a:gd name="T86" fmla="*/ 341 w 622"/>
                      <a:gd name="T87" fmla="*/ 117 h 534"/>
                      <a:gd name="T88" fmla="*/ 304 w 622"/>
                      <a:gd name="T89" fmla="*/ 110 h 534"/>
                      <a:gd name="T90" fmla="*/ 197 w 622"/>
                      <a:gd name="T91" fmla="*/ 110 h 534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60000 65536"/>
                      <a:gd name="T136" fmla="*/ 0 60000 65536"/>
                      <a:gd name="T137" fmla="*/ 0 60000 65536"/>
                      <a:gd name="T138" fmla="*/ 0 w 622"/>
                      <a:gd name="T139" fmla="*/ 0 h 534"/>
                      <a:gd name="T140" fmla="*/ 622 w 622"/>
                      <a:gd name="T141" fmla="*/ 534 h 534"/>
                    </a:gdLst>
                    <a:ahLst/>
                    <a:cxnLst>
                      <a:cxn ang="T92">
                        <a:pos x="T0" y="T1"/>
                      </a:cxn>
                      <a:cxn ang="T93">
                        <a:pos x="T2" y="T3"/>
                      </a:cxn>
                      <a:cxn ang="T94">
                        <a:pos x="T4" y="T5"/>
                      </a:cxn>
                      <a:cxn ang="T95">
                        <a:pos x="T6" y="T7"/>
                      </a:cxn>
                      <a:cxn ang="T96">
                        <a:pos x="T8" y="T9"/>
                      </a:cxn>
                      <a:cxn ang="T97">
                        <a:pos x="T10" y="T11"/>
                      </a:cxn>
                      <a:cxn ang="T98">
                        <a:pos x="T12" y="T13"/>
                      </a:cxn>
                      <a:cxn ang="T99">
                        <a:pos x="T14" y="T15"/>
                      </a:cxn>
                      <a:cxn ang="T100">
                        <a:pos x="T16" y="T17"/>
                      </a:cxn>
                      <a:cxn ang="T101">
                        <a:pos x="T18" y="T19"/>
                      </a:cxn>
                      <a:cxn ang="T102">
                        <a:pos x="T20" y="T21"/>
                      </a:cxn>
                      <a:cxn ang="T103">
                        <a:pos x="T22" y="T23"/>
                      </a:cxn>
                      <a:cxn ang="T104">
                        <a:pos x="T24" y="T25"/>
                      </a:cxn>
                      <a:cxn ang="T105">
                        <a:pos x="T26" y="T27"/>
                      </a:cxn>
                      <a:cxn ang="T106">
                        <a:pos x="T28" y="T29"/>
                      </a:cxn>
                      <a:cxn ang="T107">
                        <a:pos x="T30" y="T31"/>
                      </a:cxn>
                      <a:cxn ang="T108">
                        <a:pos x="T32" y="T33"/>
                      </a:cxn>
                      <a:cxn ang="T109">
                        <a:pos x="T34" y="T35"/>
                      </a:cxn>
                      <a:cxn ang="T110">
                        <a:pos x="T36" y="T37"/>
                      </a:cxn>
                      <a:cxn ang="T111">
                        <a:pos x="T38" y="T39"/>
                      </a:cxn>
                      <a:cxn ang="T112">
                        <a:pos x="T40" y="T41"/>
                      </a:cxn>
                      <a:cxn ang="T113">
                        <a:pos x="T42" y="T43"/>
                      </a:cxn>
                      <a:cxn ang="T114">
                        <a:pos x="T44" y="T45"/>
                      </a:cxn>
                      <a:cxn ang="T115">
                        <a:pos x="T46" y="T47"/>
                      </a:cxn>
                      <a:cxn ang="T116">
                        <a:pos x="T48" y="T49"/>
                      </a:cxn>
                      <a:cxn ang="T117">
                        <a:pos x="T50" y="T51"/>
                      </a:cxn>
                      <a:cxn ang="T118">
                        <a:pos x="T52" y="T53"/>
                      </a:cxn>
                      <a:cxn ang="T119">
                        <a:pos x="T54" y="T55"/>
                      </a:cxn>
                      <a:cxn ang="T120">
                        <a:pos x="T56" y="T57"/>
                      </a:cxn>
                      <a:cxn ang="T121">
                        <a:pos x="T58" y="T59"/>
                      </a:cxn>
                      <a:cxn ang="T122">
                        <a:pos x="T60" y="T61"/>
                      </a:cxn>
                      <a:cxn ang="T123">
                        <a:pos x="T62" y="T63"/>
                      </a:cxn>
                      <a:cxn ang="T124">
                        <a:pos x="T64" y="T65"/>
                      </a:cxn>
                      <a:cxn ang="T125">
                        <a:pos x="T66" y="T67"/>
                      </a:cxn>
                      <a:cxn ang="T126">
                        <a:pos x="T68" y="T69"/>
                      </a:cxn>
                      <a:cxn ang="T127">
                        <a:pos x="T70" y="T71"/>
                      </a:cxn>
                      <a:cxn ang="T128">
                        <a:pos x="T72" y="T73"/>
                      </a:cxn>
                      <a:cxn ang="T129">
                        <a:pos x="T74" y="T75"/>
                      </a:cxn>
                      <a:cxn ang="T130">
                        <a:pos x="T76" y="T77"/>
                      </a:cxn>
                      <a:cxn ang="T131">
                        <a:pos x="T78" y="T79"/>
                      </a:cxn>
                      <a:cxn ang="T132">
                        <a:pos x="T80" y="T81"/>
                      </a:cxn>
                      <a:cxn ang="T133">
                        <a:pos x="T82" y="T83"/>
                      </a:cxn>
                      <a:cxn ang="T134">
                        <a:pos x="T84" y="T85"/>
                      </a:cxn>
                      <a:cxn ang="T135">
                        <a:pos x="T86" y="T87"/>
                      </a:cxn>
                      <a:cxn ang="T136">
                        <a:pos x="T88" y="T89"/>
                      </a:cxn>
                      <a:cxn ang="T137">
                        <a:pos x="T90" y="T91"/>
                      </a:cxn>
                    </a:cxnLst>
                    <a:rect l="T138" t="T139" r="T140" b="T141"/>
                    <a:pathLst>
                      <a:path w="622" h="534">
                        <a:moveTo>
                          <a:pt x="0" y="534"/>
                        </a:moveTo>
                        <a:lnTo>
                          <a:pt x="0" y="0"/>
                        </a:lnTo>
                        <a:lnTo>
                          <a:pt x="320" y="0"/>
                        </a:lnTo>
                        <a:lnTo>
                          <a:pt x="341" y="0"/>
                        </a:lnTo>
                        <a:lnTo>
                          <a:pt x="362" y="0"/>
                        </a:lnTo>
                        <a:lnTo>
                          <a:pt x="383" y="2"/>
                        </a:lnTo>
                        <a:lnTo>
                          <a:pt x="402" y="2"/>
                        </a:lnTo>
                        <a:lnTo>
                          <a:pt x="417" y="5"/>
                        </a:lnTo>
                        <a:lnTo>
                          <a:pt x="433" y="7"/>
                        </a:lnTo>
                        <a:lnTo>
                          <a:pt x="446" y="12"/>
                        </a:lnTo>
                        <a:lnTo>
                          <a:pt x="459" y="15"/>
                        </a:lnTo>
                        <a:lnTo>
                          <a:pt x="470" y="17"/>
                        </a:lnTo>
                        <a:lnTo>
                          <a:pt x="483" y="22"/>
                        </a:lnTo>
                        <a:lnTo>
                          <a:pt x="493" y="27"/>
                        </a:lnTo>
                        <a:lnTo>
                          <a:pt x="504" y="34"/>
                        </a:lnTo>
                        <a:lnTo>
                          <a:pt x="512" y="41"/>
                        </a:lnTo>
                        <a:lnTo>
                          <a:pt x="522" y="46"/>
                        </a:lnTo>
                        <a:lnTo>
                          <a:pt x="530" y="56"/>
                        </a:lnTo>
                        <a:lnTo>
                          <a:pt x="538" y="63"/>
                        </a:lnTo>
                        <a:lnTo>
                          <a:pt x="546" y="73"/>
                        </a:lnTo>
                        <a:lnTo>
                          <a:pt x="551" y="80"/>
                        </a:lnTo>
                        <a:lnTo>
                          <a:pt x="556" y="90"/>
                        </a:lnTo>
                        <a:lnTo>
                          <a:pt x="562" y="102"/>
                        </a:lnTo>
                        <a:lnTo>
                          <a:pt x="564" y="112"/>
                        </a:lnTo>
                        <a:lnTo>
                          <a:pt x="567" y="124"/>
                        </a:lnTo>
                        <a:lnTo>
                          <a:pt x="569" y="136"/>
                        </a:lnTo>
                        <a:lnTo>
                          <a:pt x="569" y="149"/>
                        </a:lnTo>
                        <a:lnTo>
                          <a:pt x="569" y="158"/>
                        </a:lnTo>
                        <a:lnTo>
                          <a:pt x="567" y="171"/>
                        </a:lnTo>
                        <a:lnTo>
                          <a:pt x="567" y="180"/>
                        </a:lnTo>
                        <a:lnTo>
                          <a:pt x="564" y="190"/>
                        </a:lnTo>
                        <a:lnTo>
                          <a:pt x="559" y="200"/>
                        </a:lnTo>
                        <a:lnTo>
                          <a:pt x="556" y="207"/>
                        </a:lnTo>
                        <a:lnTo>
                          <a:pt x="551" y="217"/>
                        </a:lnTo>
                        <a:lnTo>
                          <a:pt x="546" y="224"/>
                        </a:lnTo>
                        <a:lnTo>
                          <a:pt x="535" y="239"/>
                        </a:lnTo>
                        <a:lnTo>
                          <a:pt x="520" y="253"/>
                        </a:lnTo>
                        <a:lnTo>
                          <a:pt x="504" y="266"/>
                        </a:lnTo>
                        <a:lnTo>
                          <a:pt x="485" y="278"/>
                        </a:lnTo>
                        <a:lnTo>
                          <a:pt x="470" y="283"/>
                        </a:lnTo>
                        <a:lnTo>
                          <a:pt x="454" y="290"/>
                        </a:lnTo>
                        <a:lnTo>
                          <a:pt x="436" y="295"/>
                        </a:lnTo>
                        <a:lnTo>
                          <a:pt x="417" y="300"/>
                        </a:lnTo>
                        <a:lnTo>
                          <a:pt x="430" y="305"/>
                        </a:lnTo>
                        <a:lnTo>
                          <a:pt x="446" y="310"/>
                        </a:lnTo>
                        <a:lnTo>
                          <a:pt x="457" y="314"/>
                        </a:lnTo>
                        <a:lnTo>
                          <a:pt x="464" y="319"/>
                        </a:lnTo>
                        <a:lnTo>
                          <a:pt x="470" y="324"/>
                        </a:lnTo>
                        <a:lnTo>
                          <a:pt x="478" y="329"/>
                        </a:lnTo>
                        <a:lnTo>
                          <a:pt x="488" y="336"/>
                        </a:lnTo>
                        <a:lnTo>
                          <a:pt x="496" y="346"/>
                        </a:lnTo>
                        <a:lnTo>
                          <a:pt x="506" y="356"/>
                        </a:lnTo>
                        <a:lnTo>
                          <a:pt x="514" y="366"/>
                        </a:lnTo>
                        <a:lnTo>
                          <a:pt x="520" y="373"/>
                        </a:lnTo>
                        <a:lnTo>
                          <a:pt x="522" y="380"/>
                        </a:lnTo>
                        <a:lnTo>
                          <a:pt x="622" y="534"/>
                        </a:lnTo>
                        <a:lnTo>
                          <a:pt x="399" y="534"/>
                        </a:lnTo>
                        <a:lnTo>
                          <a:pt x="294" y="373"/>
                        </a:lnTo>
                        <a:lnTo>
                          <a:pt x="286" y="358"/>
                        </a:lnTo>
                        <a:lnTo>
                          <a:pt x="276" y="344"/>
                        </a:lnTo>
                        <a:lnTo>
                          <a:pt x="265" y="334"/>
                        </a:lnTo>
                        <a:lnTo>
                          <a:pt x="257" y="329"/>
                        </a:lnTo>
                        <a:lnTo>
                          <a:pt x="247" y="324"/>
                        </a:lnTo>
                        <a:lnTo>
                          <a:pt x="236" y="319"/>
                        </a:lnTo>
                        <a:lnTo>
                          <a:pt x="223" y="317"/>
                        </a:lnTo>
                        <a:lnTo>
                          <a:pt x="210" y="317"/>
                        </a:lnTo>
                        <a:lnTo>
                          <a:pt x="197" y="317"/>
                        </a:lnTo>
                        <a:lnTo>
                          <a:pt x="197" y="534"/>
                        </a:lnTo>
                        <a:lnTo>
                          <a:pt x="0" y="534"/>
                        </a:lnTo>
                        <a:close/>
                        <a:moveTo>
                          <a:pt x="197" y="214"/>
                        </a:moveTo>
                        <a:lnTo>
                          <a:pt x="276" y="214"/>
                        </a:lnTo>
                        <a:lnTo>
                          <a:pt x="286" y="214"/>
                        </a:lnTo>
                        <a:lnTo>
                          <a:pt x="297" y="212"/>
                        </a:lnTo>
                        <a:lnTo>
                          <a:pt x="310" y="212"/>
                        </a:lnTo>
                        <a:lnTo>
                          <a:pt x="325" y="210"/>
                        </a:lnTo>
                        <a:lnTo>
                          <a:pt x="336" y="207"/>
                        </a:lnTo>
                        <a:lnTo>
                          <a:pt x="344" y="205"/>
                        </a:lnTo>
                        <a:lnTo>
                          <a:pt x="352" y="200"/>
                        </a:lnTo>
                        <a:lnTo>
                          <a:pt x="360" y="193"/>
                        </a:lnTo>
                        <a:lnTo>
                          <a:pt x="365" y="185"/>
                        </a:lnTo>
                        <a:lnTo>
                          <a:pt x="367" y="178"/>
                        </a:lnTo>
                        <a:lnTo>
                          <a:pt x="370" y="171"/>
                        </a:lnTo>
                        <a:lnTo>
                          <a:pt x="370" y="163"/>
                        </a:lnTo>
                        <a:lnTo>
                          <a:pt x="370" y="151"/>
                        </a:lnTo>
                        <a:lnTo>
                          <a:pt x="365" y="141"/>
                        </a:lnTo>
                        <a:lnTo>
                          <a:pt x="360" y="132"/>
                        </a:lnTo>
                        <a:lnTo>
                          <a:pt x="352" y="124"/>
                        </a:lnTo>
                        <a:lnTo>
                          <a:pt x="341" y="117"/>
                        </a:lnTo>
                        <a:lnTo>
                          <a:pt x="325" y="112"/>
                        </a:lnTo>
                        <a:lnTo>
                          <a:pt x="304" y="110"/>
                        </a:lnTo>
                        <a:lnTo>
                          <a:pt x="281" y="110"/>
                        </a:lnTo>
                        <a:lnTo>
                          <a:pt x="197" y="110"/>
                        </a:lnTo>
                        <a:lnTo>
                          <a:pt x="197" y="214"/>
                        </a:lnTo>
                        <a:close/>
                      </a:path>
                    </a:pathLst>
                  </a:custGeom>
                  <a:solidFill>
                    <a:srgbClr val="0000FF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26" name="Freeform 20">
                    <a:extLst>
                      <a:ext uri="{FF2B5EF4-FFF2-40B4-BE49-F238E27FC236}">
                        <a16:creationId xmlns:a16="http://schemas.microsoft.com/office/drawing/2014/main" id="{00000000-0008-0000-0100-00001A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5483" y="14314"/>
                    <a:ext cx="84" cy="73"/>
                  </a:xfrm>
                  <a:custGeom>
                    <a:avLst/>
                    <a:gdLst>
                      <a:gd name="T0" fmla="*/ 42 w 84"/>
                      <a:gd name="T1" fmla="*/ 0 h 73"/>
                      <a:gd name="T2" fmla="*/ 42 w 84"/>
                      <a:gd name="T3" fmla="*/ 0 h 73"/>
                      <a:gd name="T4" fmla="*/ 58 w 84"/>
                      <a:gd name="T5" fmla="*/ 2 h 73"/>
                      <a:gd name="T6" fmla="*/ 71 w 84"/>
                      <a:gd name="T7" fmla="*/ 10 h 73"/>
                      <a:gd name="T8" fmla="*/ 81 w 84"/>
                      <a:gd name="T9" fmla="*/ 22 h 73"/>
                      <a:gd name="T10" fmla="*/ 84 w 84"/>
                      <a:gd name="T11" fmla="*/ 36 h 73"/>
                      <a:gd name="T12" fmla="*/ 84 w 84"/>
                      <a:gd name="T13" fmla="*/ 36 h 73"/>
                      <a:gd name="T14" fmla="*/ 81 w 84"/>
                      <a:gd name="T15" fmla="*/ 51 h 73"/>
                      <a:gd name="T16" fmla="*/ 71 w 84"/>
                      <a:gd name="T17" fmla="*/ 61 h 73"/>
                      <a:gd name="T18" fmla="*/ 58 w 84"/>
                      <a:gd name="T19" fmla="*/ 71 h 73"/>
                      <a:gd name="T20" fmla="*/ 42 w 84"/>
                      <a:gd name="T21" fmla="*/ 73 h 73"/>
                      <a:gd name="T22" fmla="*/ 42 w 84"/>
                      <a:gd name="T23" fmla="*/ 73 h 73"/>
                      <a:gd name="T24" fmla="*/ 26 w 84"/>
                      <a:gd name="T25" fmla="*/ 71 h 73"/>
                      <a:gd name="T26" fmla="*/ 13 w 84"/>
                      <a:gd name="T27" fmla="*/ 61 h 73"/>
                      <a:gd name="T28" fmla="*/ 3 w 84"/>
                      <a:gd name="T29" fmla="*/ 51 h 73"/>
                      <a:gd name="T30" fmla="*/ 0 w 84"/>
                      <a:gd name="T31" fmla="*/ 36 h 73"/>
                      <a:gd name="T32" fmla="*/ 0 w 84"/>
                      <a:gd name="T33" fmla="*/ 36 h 73"/>
                      <a:gd name="T34" fmla="*/ 3 w 84"/>
                      <a:gd name="T35" fmla="*/ 22 h 73"/>
                      <a:gd name="T36" fmla="*/ 13 w 84"/>
                      <a:gd name="T37" fmla="*/ 10 h 73"/>
                      <a:gd name="T38" fmla="*/ 26 w 84"/>
                      <a:gd name="T39" fmla="*/ 2 h 73"/>
                      <a:gd name="T40" fmla="*/ 42 w 84"/>
                      <a:gd name="T41" fmla="*/ 0 h 73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  <a:gd name="T54" fmla="*/ 0 60000 65536"/>
                      <a:gd name="T55" fmla="*/ 0 60000 65536"/>
                      <a:gd name="T56" fmla="*/ 0 60000 65536"/>
                      <a:gd name="T57" fmla="*/ 0 60000 65536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  <a:gd name="T63" fmla="*/ 0 w 84"/>
                      <a:gd name="T64" fmla="*/ 0 h 73"/>
                      <a:gd name="T65" fmla="*/ 84 w 84"/>
                      <a:gd name="T66" fmla="*/ 73 h 73"/>
                    </a:gdLst>
                    <a:ahLst/>
                    <a:cxnLst>
                      <a:cxn ang="T42">
                        <a:pos x="T0" y="T1"/>
                      </a:cxn>
                      <a:cxn ang="T43">
                        <a:pos x="T2" y="T3"/>
                      </a:cxn>
                      <a:cxn ang="T44">
                        <a:pos x="T4" y="T5"/>
                      </a:cxn>
                      <a:cxn ang="T45">
                        <a:pos x="T6" y="T7"/>
                      </a:cxn>
                      <a:cxn ang="T46">
                        <a:pos x="T8" y="T9"/>
                      </a:cxn>
                      <a:cxn ang="T47">
                        <a:pos x="T10" y="T11"/>
                      </a:cxn>
                      <a:cxn ang="T48">
                        <a:pos x="T12" y="T13"/>
                      </a:cxn>
                      <a:cxn ang="T49">
                        <a:pos x="T14" y="T15"/>
                      </a:cxn>
                      <a:cxn ang="T50">
                        <a:pos x="T16" y="T17"/>
                      </a:cxn>
                      <a:cxn ang="T51">
                        <a:pos x="T18" y="T19"/>
                      </a:cxn>
                      <a:cxn ang="T52">
                        <a:pos x="T20" y="T21"/>
                      </a:cxn>
                      <a:cxn ang="T53">
                        <a:pos x="T22" y="T23"/>
                      </a:cxn>
                      <a:cxn ang="T54">
                        <a:pos x="T24" y="T25"/>
                      </a:cxn>
                      <a:cxn ang="T55">
                        <a:pos x="T26" y="T27"/>
                      </a:cxn>
                      <a:cxn ang="T56">
                        <a:pos x="T28" y="T29"/>
                      </a:cxn>
                      <a:cxn ang="T57">
                        <a:pos x="T30" y="T31"/>
                      </a:cxn>
                      <a:cxn ang="T58">
                        <a:pos x="T32" y="T33"/>
                      </a:cxn>
                      <a:cxn ang="T59">
                        <a:pos x="T34" y="T35"/>
                      </a:cxn>
                      <a:cxn ang="T60">
                        <a:pos x="T36" y="T37"/>
                      </a:cxn>
                      <a:cxn ang="T61">
                        <a:pos x="T38" y="T39"/>
                      </a:cxn>
                      <a:cxn ang="T62">
                        <a:pos x="T40" y="T41"/>
                      </a:cxn>
                    </a:cxnLst>
                    <a:rect l="T63" t="T64" r="T65" b="T66"/>
                    <a:pathLst>
                      <a:path w="84" h="73">
                        <a:moveTo>
                          <a:pt x="42" y="0"/>
                        </a:moveTo>
                        <a:lnTo>
                          <a:pt x="42" y="0"/>
                        </a:lnTo>
                        <a:lnTo>
                          <a:pt x="58" y="2"/>
                        </a:lnTo>
                        <a:lnTo>
                          <a:pt x="71" y="10"/>
                        </a:lnTo>
                        <a:lnTo>
                          <a:pt x="81" y="22"/>
                        </a:lnTo>
                        <a:lnTo>
                          <a:pt x="84" y="36"/>
                        </a:lnTo>
                        <a:lnTo>
                          <a:pt x="81" y="51"/>
                        </a:lnTo>
                        <a:lnTo>
                          <a:pt x="71" y="61"/>
                        </a:lnTo>
                        <a:lnTo>
                          <a:pt x="58" y="71"/>
                        </a:lnTo>
                        <a:lnTo>
                          <a:pt x="42" y="73"/>
                        </a:lnTo>
                        <a:lnTo>
                          <a:pt x="26" y="71"/>
                        </a:lnTo>
                        <a:lnTo>
                          <a:pt x="13" y="61"/>
                        </a:lnTo>
                        <a:lnTo>
                          <a:pt x="3" y="51"/>
                        </a:lnTo>
                        <a:lnTo>
                          <a:pt x="0" y="36"/>
                        </a:lnTo>
                        <a:lnTo>
                          <a:pt x="3" y="22"/>
                        </a:lnTo>
                        <a:lnTo>
                          <a:pt x="13" y="10"/>
                        </a:lnTo>
                        <a:lnTo>
                          <a:pt x="26" y="2"/>
                        </a:lnTo>
                        <a:lnTo>
                          <a:pt x="42" y="0"/>
                        </a:lnTo>
                      </a:path>
                    </a:pathLst>
                  </a:custGeom>
                  <a:solidFill>
                    <a:srgbClr val="FF0000"/>
                  </a:solidFill>
                  <a:ln w="0">
                    <a:solidFill>
                      <a:srgbClr val="FF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Freeform 21">
                    <a:extLst>
                      <a:ext uri="{FF2B5EF4-FFF2-40B4-BE49-F238E27FC236}">
                        <a16:creationId xmlns:a16="http://schemas.microsoft.com/office/drawing/2014/main" id="{00000000-0008-0000-0100-00001B00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5399" y="13819"/>
                    <a:ext cx="456" cy="424"/>
                  </a:xfrm>
                  <a:custGeom>
                    <a:avLst/>
                    <a:gdLst>
                      <a:gd name="T0" fmla="*/ 228 w 456"/>
                      <a:gd name="T1" fmla="*/ 0 h 424"/>
                      <a:gd name="T2" fmla="*/ 228 w 456"/>
                      <a:gd name="T3" fmla="*/ 0 h 424"/>
                      <a:gd name="T4" fmla="*/ 275 w 456"/>
                      <a:gd name="T5" fmla="*/ 5 h 424"/>
                      <a:gd name="T6" fmla="*/ 317 w 456"/>
                      <a:gd name="T7" fmla="*/ 17 h 424"/>
                      <a:gd name="T8" fmla="*/ 357 w 456"/>
                      <a:gd name="T9" fmla="*/ 37 h 424"/>
                      <a:gd name="T10" fmla="*/ 391 w 456"/>
                      <a:gd name="T11" fmla="*/ 61 h 424"/>
                      <a:gd name="T12" fmla="*/ 417 w 456"/>
                      <a:gd name="T13" fmla="*/ 93 h 424"/>
                      <a:gd name="T14" fmla="*/ 438 w 456"/>
                      <a:gd name="T15" fmla="*/ 129 h 424"/>
                      <a:gd name="T16" fmla="*/ 451 w 456"/>
                      <a:gd name="T17" fmla="*/ 168 h 424"/>
                      <a:gd name="T18" fmla="*/ 456 w 456"/>
                      <a:gd name="T19" fmla="*/ 212 h 424"/>
                      <a:gd name="T20" fmla="*/ 456 w 456"/>
                      <a:gd name="T21" fmla="*/ 212 h 424"/>
                      <a:gd name="T22" fmla="*/ 451 w 456"/>
                      <a:gd name="T23" fmla="*/ 256 h 424"/>
                      <a:gd name="T24" fmla="*/ 438 w 456"/>
                      <a:gd name="T25" fmla="*/ 295 h 424"/>
                      <a:gd name="T26" fmla="*/ 417 w 456"/>
                      <a:gd name="T27" fmla="*/ 332 h 424"/>
                      <a:gd name="T28" fmla="*/ 391 w 456"/>
                      <a:gd name="T29" fmla="*/ 361 h 424"/>
                      <a:gd name="T30" fmla="*/ 357 w 456"/>
                      <a:gd name="T31" fmla="*/ 388 h 424"/>
                      <a:gd name="T32" fmla="*/ 317 w 456"/>
                      <a:gd name="T33" fmla="*/ 407 h 424"/>
                      <a:gd name="T34" fmla="*/ 275 w 456"/>
                      <a:gd name="T35" fmla="*/ 419 h 424"/>
                      <a:gd name="T36" fmla="*/ 228 w 456"/>
                      <a:gd name="T37" fmla="*/ 424 h 424"/>
                      <a:gd name="T38" fmla="*/ 228 w 456"/>
                      <a:gd name="T39" fmla="*/ 424 h 424"/>
                      <a:gd name="T40" fmla="*/ 181 w 456"/>
                      <a:gd name="T41" fmla="*/ 419 h 424"/>
                      <a:gd name="T42" fmla="*/ 139 w 456"/>
                      <a:gd name="T43" fmla="*/ 407 h 424"/>
                      <a:gd name="T44" fmla="*/ 100 w 456"/>
                      <a:gd name="T45" fmla="*/ 388 h 424"/>
                      <a:gd name="T46" fmla="*/ 68 w 456"/>
                      <a:gd name="T47" fmla="*/ 361 h 424"/>
                      <a:gd name="T48" fmla="*/ 39 w 456"/>
                      <a:gd name="T49" fmla="*/ 332 h 424"/>
                      <a:gd name="T50" fmla="*/ 18 w 456"/>
                      <a:gd name="T51" fmla="*/ 295 h 424"/>
                      <a:gd name="T52" fmla="*/ 5 w 456"/>
                      <a:gd name="T53" fmla="*/ 256 h 424"/>
                      <a:gd name="T54" fmla="*/ 0 w 456"/>
                      <a:gd name="T55" fmla="*/ 212 h 424"/>
                      <a:gd name="T56" fmla="*/ 0 w 456"/>
                      <a:gd name="T57" fmla="*/ 212 h 424"/>
                      <a:gd name="T58" fmla="*/ 5 w 456"/>
                      <a:gd name="T59" fmla="*/ 168 h 424"/>
                      <a:gd name="T60" fmla="*/ 18 w 456"/>
                      <a:gd name="T61" fmla="*/ 129 h 424"/>
                      <a:gd name="T62" fmla="*/ 39 w 456"/>
                      <a:gd name="T63" fmla="*/ 93 h 424"/>
                      <a:gd name="T64" fmla="*/ 68 w 456"/>
                      <a:gd name="T65" fmla="*/ 61 h 424"/>
                      <a:gd name="T66" fmla="*/ 100 w 456"/>
                      <a:gd name="T67" fmla="*/ 37 h 424"/>
                      <a:gd name="T68" fmla="*/ 139 w 456"/>
                      <a:gd name="T69" fmla="*/ 17 h 424"/>
                      <a:gd name="T70" fmla="*/ 181 w 456"/>
                      <a:gd name="T71" fmla="*/ 5 h 424"/>
                      <a:gd name="T72" fmla="*/ 228 w 456"/>
                      <a:gd name="T73" fmla="*/ 0 h 424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w 456"/>
                      <a:gd name="T112" fmla="*/ 0 h 424"/>
                      <a:gd name="T113" fmla="*/ 456 w 456"/>
                      <a:gd name="T114" fmla="*/ 424 h 424"/>
                    </a:gdLst>
                    <a:ahLst/>
                    <a:cxnLst>
                      <a:cxn ang="T74">
                        <a:pos x="T0" y="T1"/>
                      </a:cxn>
                      <a:cxn ang="T75">
                        <a:pos x="T2" y="T3"/>
                      </a:cxn>
                      <a:cxn ang="T76">
                        <a:pos x="T4" y="T5"/>
                      </a:cxn>
                      <a:cxn ang="T77">
                        <a:pos x="T6" y="T7"/>
                      </a:cxn>
                      <a:cxn ang="T78">
                        <a:pos x="T8" y="T9"/>
                      </a:cxn>
                      <a:cxn ang="T79">
                        <a:pos x="T10" y="T11"/>
                      </a:cxn>
                      <a:cxn ang="T80">
                        <a:pos x="T12" y="T13"/>
                      </a:cxn>
                      <a:cxn ang="T81">
                        <a:pos x="T14" y="T15"/>
                      </a:cxn>
                      <a:cxn ang="T82">
                        <a:pos x="T16" y="T17"/>
                      </a:cxn>
                      <a:cxn ang="T83">
                        <a:pos x="T18" y="T19"/>
                      </a:cxn>
                      <a:cxn ang="T84">
                        <a:pos x="T20" y="T21"/>
                      </a:cxn>
                      <a:cxn ang="T85">
                        <a:pos x="T22" y="T23"/>
                      </a:cxn>
                      <a:cxn ang="T86">
                        <a:pos x="T24" y="T25"/>
                      </a:cxn>
                      <a:cxn ang="T87">
                        <a:pos x="T26" y="T27"/>
                      </a:cxn>
                      <a:cxn ang="T88">
                        <a:pos x="T28" y="T29"/>
                      </a:cxn>
                      <a:cxn ang="T89">
                        <a:pos x="T30" y="T31"/>
                      </a:cxn>
                      <a:cxn ang="T90">
                        <a:pos x="T32" y="T33"/>
                      </a:cxn>
                      <a:cxn ang="T91">
                        <a:pos x="T34" y="T35"/>
                      </a:cxn>
                      <a:cxn ang="T92">
                        <a:pos x="T36" y="T37"/>
                      </a:cxn>
                      <a:cxn ang="T93">
                        <a:pos x="T38" y="T39"/>
                      </a:cxn>
                      <a:cxn ang="T94">
                        <a:pos x="T40" y="T41"/>
                      </a:cxn>
                      <a:cxn ang="T95">
                        <a:pos x="T42" y="T43"/>
                      </a:cxn>
                      <a:cxn ang="T96">
                        <a:pos x="T44" y="T45"/>
                      </a:cxn>
                      <a:cxn ang="T97">
                        <a:pos x="T46" y="T47"/>
                      </a:cxn>
                      <a:cxn ang="T98">
                        <a:pos x="T48" y="T49"/>
                      </a:cxn>
                      <a:cxn ang="T99">
                        <a:pos x="T50" y="T51"/>
                      </a:cxn>
                      <a:cxn ang="T100">
                        <a:pos x="T52" y="T53"/>
                      </a:cxn>
                      <a:cxn ang="T101">
                        <a:pos x="T54" y="T55"/>
                      </a:cxn>
                      <a:cxn ang="T102">
                        <a:pos x="T56" y="T57"/>
                      </a:cxn>
                      <a:cxn ang="T103">
                        <a:pos x="T58" y="T59"/>
                      </a:cxn>
                      <a:cxn ang="T104">
                        <a:pos x="T60" y="T61"/>
                      </a:cxn>
                      <a:cxn ang="T105">
                        <a:pos x="T62" y="T63"/>
                      </a:cxn>
                      <a:cxn ang="T106">
                        <a:pos x="T64" y="T65"/>
                      </a:cxn>
                      <a:cxn ang="T107">
                        <a:pos x="T66" y="T67"/>
                      </a:cxn>
                      <a:cxn ang="T108">
                        <a:pos x="T68" y="T69"/>
                      </a:cxn>
                      <a:cxn ang="T109">
                        <a:pos x="T70" y="T71"/>
                      </a:cxn>
                      <a:cxn ang="T110">
                        <a:pos x="T72" y="T73"/>
                      </a:cxn>
                    </a:cxnLst>
                    <a:rect l="T111" t="T112" r="T113" b="T114"/>
                    <a:pathLst>
                      <a:path w="456" h="424">
                        <a:moveTo>
                          <a:pt x="228" y="0"/>
                        </a:moveTo>
                        <a:lnTo>
                          <a:pt x="228" y="0"/>
                        </a:lnTo>
                        <a:lnTo>
                          <a:pt x="275" y="5"/>
                        </a:lnTo>
                        <a:lnTo>
                          <a:pt x="317" y="17"/>
                        </a:lnTo>
                        <a:lnTo>
                          <a:pt x="357" y="37"/>
                        </a:lnTo>
                        <a:lnTo>
                          <a:pt x="391" y="61"/>
                        </a:lnTo>
                        <a:lnTo>
                          <a:pt x="417" y="93"/>
                        </a:lnTo>
                        <a:lnTo>
                          <a:pt x="438" y="129"/>
                        </a:lnTo>
                        <a:lnTo>
                          <a:pt x="451" y="168"/>
                        </a:lnTo>
                        <a:lnTo>
                          <a:pt x="456" y="212"/>
                        </a:lnTo>
                        <a:lnTo>
                          <a:pt x="451" y="256"/>
                        </a:lnTo>
                        <a:lnTo>
                          <a:pt x="438" y="295"/>
                        </a:lnTo>
                        <a:lnTo>
                          <a:pt x="417" y="332"/>
                        </a:lnTo>
                        <a:lnTo>
                          <a:pt x="391" y="361"/>
                        </a:lnTo>
                        <a:lnTo>
                          <a:pt x="357" y="388"/>
                        </a:lnTo>
                        <a:lnTo>
                          <a:pt x="317" y="407"/>
                        </a:lnTo>
                        <a:lnTo>
                          <a:pt x="275" y="419"/>
                        </a:lnTo>
                        <a:lnTo>
                          <a:pt x="228" y="424"/>
                        </a:lnTo>
                        <a:lnTo>
                          <a:pt x="181" y="419"/>
                        </a:lnTo>
                        <a:lnTo>
                          <a:pt x="139" y="407"/>
                        </a:lnTo>
                        <a:lnTo>
                          <a:pt x="100" y="388"/>
                        </a:lnTo>
                        <a:lnTo>
                          <a:pt x="68" y="361"/>
                        </a:lnTo>
                        <a:lnTo>
                          <a:pt x="39" y="332"/>
                        </a:lnTo>
                        <a:lnTo>
                          <a:pt x="18" y="295"/>
                        </a:lnTo>
                        <a:lnTo>
                          <a:pt x="5" y="256"/>
                        </a:lnTo>
                        <a:lnTo>
                          <a:pt x="0" y="212"/>
                        </a:lnTo>
                        <a:lnTo>
                          <a:pt x="5" y="168"/>
                        </a:lnTo>
                        <a:lnTo>
                          <a:pt x="18" y="129"/>
                        </a:lnTo>
                        <a:lnTo>
                          <a:pt x="39" y="93"/>
                        </a:lnTo>
                        <a:lnTo>
                          <a:pt x="68" y="61"/>
                        </a:lnTo>
                        <a:lnTo>
                          <a:pt x="100" y="37"/>
                        </a:lnTo>
                        <a:lnTo>
                          <a:pt x="139" y="17"/>
                        </a:lnTo>
                        <a:lnTo>
                          <a:pt x="181" y="5"/>
                        </a:lnTo>
                        <a:lnTo>
                          <a:pt x="228" y="0"/>
                        </a:lnTo>
                      </a:path>
                    </a:pathLst>
                  </a:custGeom>
                  <a:solidFill>
                    <a:srgbClr val="0000FF"/>
                  </a:solidFill>
                  <a:ln>
                    <a:noFill/>
                  </a:ln>
                  <a:extLst>
                    <a:ext uri="{91240B29-F687-4F45-9708-019B960494DF}">
                      <a14:hiddenLine xmlns:a14="http://schemas.microsoft.com/office/drawing/2010/main" w="0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</a:extLst>
                </xdr:spPr>
              </xdr:sp>
            </xdr:grpSp>
            <xdr:sp macro="" textlink="">
              <xdr:nvSpPr>
                <xdr:cNvPr id="11" name="Freeform 22">
                  <a:extLst>
                    <a:ext uri="{FF2B5EF4-FFF2-40B4-BE49-F238E27FC236}">
                      <a16:creationId xmlns:a16="http://schemas.microsoft.com/office/drawing/2014/main" id="{00000000-0008-0000-0100-00000B0000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93" y="13748"/>
                  <a:ext cx="268" cy="556"/>
                </a:xfrm>
                <a:custGeom>
                  <a:avLst/>
                  <a:gdLst>
                    <a:gd name="T0" fmla="*/ 90 w 268"/>
                    <a:gd name="T1" fmla="*/ 0 h 556"/>
                    <a:gd name="T2" fmla="*/ 0 w 268"/>
                    <a:gd name="T3" fmla="*/ 288 h 556"/>
                    <a:gd name="T4" fmla="*/ 113 w 268"/>
                    <a:gd name="T5" fmla="*/ 288 h 556"/>
                    <a:gd name="T6" fmla="*/ 40 w 268"/>
                    <a:gd name="T7" fmla="*/ 556 h 556"/>
                    <a:gd name="T8" fmla="*/ 247 w 268"/>
                    <a:gd name="T9" fmla="*/ 210 h 556"/>
                    <a:gd name="T10" fmla="*/ 145 w 268"/>
                    <a:gd name="T11" fmla="*/ 210 h 556"/>
                    <a:gd name="T12" fmla="*/ 268 w 268"/>
                    <a:gd name="T13" fmla="*/ 17 h 556"/>
                    <a:gd name="T14" fmla="*/ 90 w 268"/>
                    <a:gd name="T15" fmla="*/ 0 h 556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w 268"/>
                    <a:gd name="T25" fmla="*/ 0 h 556"/>
                    <a:gd name="T26" fmla="*/ 268 w 268"/>
                    <a:gd name="T27" fmla="*/ 556 h 556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68" h="556">
                      <a:moveTo>
                        <a:pt x="90" y="0"/>
                      </a:moveTo>
                      <a:lnTo>
                        <a:pt x="0" y="288"/>
                      </a:lnTo>
                      <a:lnTo>
                        <a:pt x="113" y="288"/>
                      </a:lnTo>
                      <a:lnTo>
                        <a:pt x="40" y="556"/>
                      </a:lnTo>
                      <a:lnTo>
                        <a:pt x="247" y="210"/>
                      </a:lnTo>
                      <a:lnTo>
                        <a:pt x="145" y="210"/>
                      </a:lnTo>
                      <a:lnTo>
                        <a:pt x="268" y="17"/>
                      </a:lnTo>
                      <a:lnTo>
                        <a:pt x="90" y="0"/>
                      </a:lnTo>
                      <a:close/>
                    </a:path>
                  </a:pathLst>
                </a:custGeom>
                <a:solidFill>
                  <a:srgbClr val="FFFFFF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round/>
                      <a:headEnd/>
                      <a:tailEnd/>
                    </a14:hiddenLine>
                  </a:ext>
                </a:extLst>
              </xdr:spPr>
            </xdr:sp>
          </xdr:grpSp>
          <xdr:sp macro="" textlink="">
            <xdr:nvSpPr>
              <xdr:cNvPr id="9" name="Freeform 23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3" y="13765"/>
                <a:ext cx="115" cy="86"/>
              </a:xfrm>
              <a:custGeom>
                <a:avLst/>
                <a:gdLst>
                  <a:gd name="T0" fmla="*/ 0 w 115"/>
                  <a:gd name="T1" fmla="*/ 35 h 86"/>
                  <a:gd name="T2" fmla="*/ 21 w 115"/>
                  <a:gd name="T3" fmla="*/ 0 h 86"/>
                  <a:gd name="T4" fmla="*/ 94 w 115"/>
                  <a:gd name="T5" fmla="*/ 3 h 86"/>
                  <a:gd name="T6" fmla="*/ 115 w 115"/>
                  <a:gd name="T7" fmla="*/ 86 h 86"/>
                  <a:gd name="T8" fmla="*/ 0 w 115"/>
                  <a:gd name="T9" fmla="*/ 35 h 86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  <a:gd name="T15" fmla="*/ 0 w 115"/>
                  <a:gd name="T16" fmla="*/ 0 h 86"/>
                  <a:gd name="T17" fmla="*/ 115 w 115"/>
                  <a:gd name="T18" fmla="*/ 86 h 8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T15" t="T16" r="T17" b="T18"/>
                <a:pathLst>
                  <a:path w="115" h="86">
                    <a:moveTo>
                      <a:pt x="0" y="35"/>
                    </a:moveTo>
                    <a:lnTo>
                      <a:pt x="21" y="0"/>
                    </a:lnTo>
                    <a:lnTo>
                      <a:pt x="94" y="3"/>
                    </a:lnTo>
                    <a:lnTo>
                      <a:pt x="115" y="86"/>
                    </a:lnTo>
                    <a:lnTo>
                      <a:pt x="0" y="35"/>
                    </a:lnTo>
                  </a:path>
                </a:pathLst>
              </a:custGeom>
              <a:solidFill>
                <a:srgbClr val="0000FF"/>
              </a:solidFill>
              <a:ln w="0">
                <a:solidFill>
                  <a:srgbClr val="0000FF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7" name="Freeform 2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>
              <a:spLocks/>
            </xdr:cNvSpPr>
          </xdr:nvSpPr>
          <xdr:spPr bwMode="auto">
            <a:xfrm>
              <a:off x="7593" y="3454"/>
              <a:ext cx="143" cy="249"/>
            </a:xfrm>
            <a:custGeom>
              <a:avLst/>
              <a:gdLst>
                <a:gd name="T0" fmla="*/ 2147483647 w 48"/>
                <a:gd name="T1" fmla="*/ 0 h 120"/>
                <a:gd name="T2" fmla="*/ 2147483647 w 48"/>
                <a:gd name="T3" fmla="*/ 0 h 120"/>
                <a:gd name="T4" fmla="*/ 2147483647 w 48"/>
                <a:gd name="T5" fmla="*/ 2147483647 h 120"/>
                <a:gd name="T6" fmla="*/ 0 w 48"/>
                <a:gd name="T7" fmla="*/ 2147483647 h 120"/>
                <a:gd name="T8" fmla="*/ 2147483647 w 48"/>
                <a:gd name="T9" fmla="*/ 0 h 12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48"/>
                <a:gd name="T16" fmla="*/ 0 h 120"/>
                <a:gd name="T17" fmla="*/ 48 w 48"/>
                <a:gd name="T18" fmla="*/ 120 h 12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48" h="120">
                  <a:moveTo>
                    <a:pt x="6" y="0"/>
                  </a:moveTo>
                  <a:lnTo>
                    <a:pt x="48" y="0"/>
                  </a:lnTo>
                  <a:lnTo>
                    <a:pt x="42" y="120"/>
                  </a:lnTo>
                  <a:lnTo>
                    <a:pt x="0" y="12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FF"/>
              </a:solidFill>
              <a:round/>
              <a:headEnd/>
              <a:tailEnd/>
            </a:ln>
          </xdr:spPr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100-000001040000}"/>
                  </a:ext>
                </a:extLst>
              </xdr:cNvPr>
              <xdr:cNvSpPr/>
            </xdr:nvSpPr>
            <xdr:spPr bwMode="auto">
              <a:xfrm>
                <a:off x="245844" y="100852"/>
                <a:ext cx="263157" cy="556660"/>
              </a:xfrm>
              <a:prstGeom prst="rect">
                <a:avLst/>
              </a:prstGeom>
              <a:solidFill>
                <a:srgbClr val="FFFFFF"/>
              </a:solidFill>
            </xdr:spPr>
          </xdr:sp>
        </mc:Choice>
        <mc:Fallback/>
      </mc:AlternateContent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488855" y="499725"/>
            <a:ext cx="1343451" cy="22818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i="0" u="none" strike="noStrike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PLTU JERANJANG</a:t>
            </a: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 OMU</a:t>
            </a:r>
            <a:endParaRPr lang="en-US" sz="900">
              <a:ln>
                <a:noFill/>
              </a:ln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171450</xdr:colOff>
      <xdr:row>0</xdr:row>
      <xdr:rowOff>80192</xdr:rowOff>
    </xdr:from>
    <xdr:to>
      <xdr:col>1</xdr:col>
      <xdr:colOff>1937080</xdr:colOff>
      <xdr:row>5</xdr:row>
      <xdr:rowOff>54545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80192"/>
          <a:ext cx="2077357" cy="8979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A%20JERANJANG/SUMMARY/EXSUM/2023/exsum%20vibrasi%20april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KANTOR/02.%20CONDITION%20BASE%20MAINTENANCE%20(CBM)/02.%20FORM%20PENGUKURAN/MASTER/00.%20FORM%20PENGUKURAN%20UNI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"/>
      <sheetName val="SUMMARY"/>
      <sheetName val="REKOMENDASI"/>
    </sheetNames>
    <sheetDataSet>
      <sheetData sheetId="0">
        <row r="7">
          <cell r="D7" t="str">
            <v>LEVEL VIBRASI</v>
          </cell>
        </row>
        <row r="8">
          <cell r="G8" t="str">
            <v>LEVEL D</v>
          </cell>
        </row>
        <row r="9">
          <cell r="E9">
            <v>8</v>
          </cell>
          <cell r="G9">
            <v>0</v>
          </cell>
          <cell r="H9">
            <v>4</v>
          </cell>
        </row>
        <row r="10">
          <cell r="E10">
            <v>8</v>
          </cell>
          <cell r="G10">
            <v>0</v>
          </cell>
          <cell r="H10">
            <v>2</v>
          </cell>
        </row>
        <row r="11">
          <cell r="E11">
            <v>4</v>
          </cell>
          <cell r="G11">
            <v>0</v>
          </cell>
          <cell r="H11">
            <v>11</v>
          </cell>
        </row>
        <row r="12">
          <cell r="E12">
            <v>5</v>
          </cell>
          <cell r="G12">
            <v>0</v>
          </cell>
          <cell r="H12">
            <v>7</v>
          </cell>
        </row>
        <row r="13">
          <cell r="E13">
            <v>25</v>
          </cell>
          <cell r="H13">
            <v>24</v>
          </cell>
        </row>
      </sheetData>
      <sheetData sheetId="1">
        <row r="10">
          <cell r="X10" t="str">
            <v>NORMAL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ENGESAHAN"/>
      <sheetName val="INFORMASI"/>
      <sheetName val="STANDART"/>
      <sheetName val="RESUM ALL"/>
      <sheetName val="SEKAT"/>
      <sheetName val="RESUM"/>
      <sheetName val="SUMMARY"/>
      <sheetName val="INPUT"/>
      <sheetName val="REKOMENDASI"/>
      <sheetName val="CM"/>
      <sheetName val="Sheet2"/>
      <sheetName val="Sheet1"/>
      <sheetName val="INPUT EQUIPMENT"/>
      <sheetName val="TRENDING VIBRASI"/>
      <sheetName val="PAF n"/>
      <sheetName val="WJP 2T"/>
      <sheetName val="UNIT 3"/>
      <sheetName val="SHOCK PULSE"/>
      <sheetName val="to exsum"/>
      <sheetName val="MONITORING"/>
      <sheetName val="DATA OPERASI"/>
      <sheetName val="IDF 1"/>
      <sheetName val="IDF 2"/>
      <sheetName val="PAF"/>
      <sheetName val="SAF"/>
      <sheetName val="RAF 1"/>
      <sheetName val="RAF 2"/>
      <sheetName val="COM 1"/>
      <sheetName val="COM 2"/>
      <sheetName val="T-G"/>
      <sheetName val="CEP 1"/>
      <sheetName val="CEP 2"/>
      <sheetName val="CEP 3"/>
      <sheetName val="WJP 1"/>
      <sheetName val="WJP 2"/>
      <sheetName val="BFP 1"/>
      <sheetName val="BFP 2"/>
      <sheetName val="CCWP 1"/>
      <sheetName val="CCWP 2"/>
      <sheetName val="CWP 1"/>
      <sheetName val="CWP 2"/>
      <sheetName val="BWRO 1"/>
      <sheetName val="BWRO 2"/>
      <sheetName val="SWRO 1"/>
      <sheetName val="SWRO 2"/>
      <sheetName val="JOCKEY 3A"/>
      <sheetName val="JOCKEY 3B"/>
      <sheetName val="FF MOTOR"/>
      <sheetName val="FF DIESEL"/>
      <sheetName val="CT 1"/>
      <sheetName val="CT 2"/>
      <sheetName val="T IDF 3A"/>
      <sheetName val="T IDF 3B "/>
      <sheetName val="T PAF"/>
      <sheetName val="T SAF"/>
      <sheetName val="T RAF 3A"/>
      <sheetName val="T RAF 3B"/>
      <sheetName val="T TG"/>
      <sheetName val="T CEP 3A"/>
      <sheetName val="T CEP 3B"/>
      <sheetName val="T CEP 3C"/>
      <sheetName val="T WJP 3A"/>
      <sheetName val="T WJP 3B"/>
      <sheetName val="T BFP 3A"/>
      <sheetName val="T BFP 3B"/>
      <sheetName val="T CCWP 3A"/>
      <sheetName val="T CCWP 3B"/>
      <sheetName val="T CWP 3A"/>
      <sheetName val="T CWP 3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0">
          <cell r="D50" t="str">
            <v>Motor ID Fan 1#3</v>
          </cell>
          <cell r="E50" t="str">
            <v>2H</v>
          </cell>
          <cell r="F50">
            <v>1.1100000000000001</v>
          </cell>
          <cell r="G50" t="str">
            <v>2V</v>
          </cell>
          <cell r="H50">
            <v>1.21</v>
          </cell>
          <cell r="I50" t="str">
            <v>NORMAL</v>
          </cell>
        </row>
        <row r="51">
          <cell r="D51" t="str">
            <v>Motor ID Fan 2#3</v>
          </cell>
          <cell r="E51" t="str">
            <v>2A</v>
          </cell>
          <cell r="F51">
            <v>1.1299999999999999</v>
          </cell>
          <cell r="G51" t="str">
            <v>2A</v>
          </cell>
          <cell r="H51">
            <v>1.0900000000000001</v>
          </cell>
          <cell r="I51" t="str">
            <v>NORMAL</v>
          </cell>
        </row>
        <row r="52">
          <cell r="D52" t="str">
            <v>Motor Primary Air Fan#3</v>
          </cell>
          <cell r="E52" t="str">
            <v>4H</v>
          </cell>
          <cell r="F52">
            <v>3.83</v>
          </cell>
          <cell r="G52" t="str">
            <v>4H</v>
          </cell>
          <cell r="H52">
            <v>3.64</v>
          </cell>
          <cell r="I52" t="str">
            <v>PREWARNING</v>
          </cell>
        </row>
        <row r="53">
          <cell r="D53" t="str">
            <v>Motor Secondary Air Fan#3</v>
          </cell>
          <cell r="E53" t="str">
            <v>1H</v>
          </cell>
          <cell r="F53">
            <v>1.03</v>
          </cell>
          <cell r="G53" t="str">
            <v>1H</v>
          </cell>
          <cell r="H53">
            <v>0.91</v>
          </cell>
          <cell r="I53" t="str">
            <v>NORMAL</v>
          </cell>
        </row>
        <row r="54">
          <cell r="D54" t="str">
            <v>Motor Recirculating Air Fan 1#3</v>
          </cell>
          <cell r="E54" t="str">
            <v>5V</v>
          </cell>
          <cell r="F54">
            <v>3.52</v>
          </cell>
          <cell r="G54" t="str">
            <v>5V</v>
          </cell>
          <cell r="H54">
            <v>0</v>
          </cell>
          <cell r="I54" t="str">
            <v>STAND BY</v>
          </cell>
        </row>
        <row r="55">
          <cell r="D55" t="str">
            <v>Motor Recirculating Air Fan 2#3</v>
          </cell>
          <cell r="E55" t="str">
            <v>2V</v>
          </cell>
          <cell r="F55">
            <v>3.16</v>
          </cell>
          <cell r="G55" t="str">
            <v>2V</v>
          </cell>
          <cell r="H55">
            <v>3.13</v>
          </cell>
          <cell r="I55" t="str">
            <v>PREWARNING</v>
          </cell>
        </row>
        <row r="56">
          <cell r="D56" t="str">
            <v>Turbin-Generator#3</v>
          </cell>
          <cell r="E56" t="str">
            <v>2A</v>
          </cell>
          <cell r="F56">
            <v>3.51</v>
          </cell>
          <cell r="G56" t="str">
            <v>3A</v>
          </cell>
          <cell r="H56">
            <v>3.25</v>
          </cell>
          <cell r="I56" t="str">
            <v>NORMAL</v>
          </cell>
        </row>
        <row r="57">
          <cell r="D57" t="str">
            <v>Motor Condensat Pump 1#3</v>
          </cell>
          <cell r="E57" t="str">
            <v>2H</v>
          </cell>
          <cell r="F57">
            <v>2.64</v>
          </cell>
          <cell r="G57" t="str">
            <v>2V</v>
          </cell>
          <cell r="H57">
            <v>0</v>
          </cell>
          <cell r="I57" t="str">
            <v>STAND BY</v>
          </cell>
        </row>
        <row r="58">
          <cell r="D58" t="str">
            <v>Motor Condensat Pump 2#3</v>
          </cell>
          <cell r="E58" t="str">
            <v>1H</v>
          </cell>
          <cell r="F58">
            <v>2.2000000000000002</v>
          </cell>
          <cell r="G58" t="str">
            <v>1H</v>
          </cell>
          <cell r="H58">
            <v>3.19</v>
          </cell>
          <cell r="I58" t="str">
            <v>WARNING</v>
          </cell>
        </row>
        <row r="59">
          <cell r="D59" t="str">
            <v>Motor Condensat Pump 3#3</v>
          </cell>
          <cell r="E59" t="str">
            <v>1H</v>
          </cell>
          <cell r="F59">
            <v>2.36</v>
          </cell>
          <cell r="G59" t="str">
            <v>1H</v>
          </cell>
          <cell r="H59">
            <v>2.5499999999999998</v>
          </cell>
          <cell r="I59" t="str">
            <v>PREWARNING</v>
          </cell>
        </row>
        <row r="60">
          <cell r="D60" t="str">
            <v>Motor Water jet Pump 1#3</v>
          </cell>
          <cell r="E60" t="str">
            <v>3H</v>
          </cell>
          <cell r="F60">
            <v>2.66</v>
          </cell>
          <cell r="G60" t="str">
            <v>3H</v>
          </cell>
          <cell r="H60">
            <v>2.71</v>
          </cell>
          <cell r="I60" t="str">
            <v>PREWARNING</v>
          </cell>
        </row>
        <row r="61">
          <cell r="D61" t="str">
            <v>Motor Water jet Pump 2#3</v>
          </cell>
          <cell r="E61" t="str">
            <v>3H</v>
          </cell>
          <cell r="F61">
            <v>2.61</v>
          </cell>
          <cell r="G61" t="str">
            <v>3H</v>
          </cell>
          <cell r="H61">
            <v>0</v>
          </cell>
          <cell r="I61" t="str">
            <v>STAND BY</v>
          </cell>
        </row>
        <row r="62">
          <cell r="D62" t="str">
            <v>Motor Boiler Feed Pump 1#3</v>
          </cell>
          <cell r="E62" t="str">
            <v>5H</v>
          </cell>
          <cell r="F62">
            <v>5.7</v>
          </cell>
          <cell r="G62" t="str">
            <v>5H</v>
          </cell>
          <cell r="H62">
            <v>4.8</v>
          </cell>
          <cell r="I62" t="str">
            <v>WARNING</v>
          </cell>
        </row>
        <row r="63">
          <cell r="D63" t="str">
            <v>Motor Boiler Feed Pump 2#3</v>
          </cell>
          <cell r="E63" t="str">
            <v>3V</v>
          </cell>
          <cell r="F63">
            <v>6.29</v>
          </cell>
          <cell r="G63" t="str">
            <v>3H</v>
          </cell>
          <cell r="H63">
            <v>0</v>
          </cell>
          <cell r="I63" t="str">
            <v>STAND BY</v>
          </cell>
        </row>
        <row r="64">
          <cell r="D64" t="str">
            <v>Motor CCWP 1#3</v>
          </cell>
          <cell r="E64" t="str">
            <v>3V</v>
          </cell>
          <cell r="F64">
            <v>1.08</v>
          </cell>
          <cell r="G64" t="str">
            <v>3V</v>
          </cell>
          <cell r="H64">
            <v>0.98</v>
          </cell>
          <cell r="I64" t="str">
            <v>NORMAL</v>
          </cell>
        </row>
        <row r="65">
          <cell r="D65" t="str">
            <v>Motor CCWP 2#3</v>
          </cell>
          <cell r="E65" t="str">
            <v>3H</v>
          </cell>
          <cell r="F65">
            <v>1.79</v>
          </cell>
          <cell r="G65" t="str">
            <v>3H</v>
          </cell>
          <cell r="H65">
            <v>1.68</v>
          </cell>
          <cell r="I65" t="str">
            <v>PREWARNING</v>
          </cell>
        </row>
        <row r="66">
          <cell r="D66" t="str">
            <v>Motor CWP 355 Kw 1#3</v>
          </cell>
          <cell r="E66" t="str">
            <v>1V</v>
          </cell>
          <cell r="F66">
            <v>2.5</v>
          </cell>
          <cell r="G66" t="str">
            <v>1V</v>
          </cell>
          <cell r="H66">
            <v>2.71</v>
          </cell>
          <cell r="I66" t="str">
            <v>PREWARNING</v>
          </cell>
        </row>
        <row r="67">
          <cell r="D67" t="str">
            <v>Motor CWP 355 Kw 2#3</v>
          </cell>
          <cell r="E67" t="str">
            <v>1V</v>
          </cell>
          <cell r="F67">
            <v>4.4000000000000004</v>
          </cell>
          <cell r="G67" t="str">
            <v>1V</v>
          </cell>
          <cell r="H67">
            <v>4.12</v>
          </cell>
          <cell r="I67" t="str">
            <v>PREWARNING</v>
          </cell>
        </row>
        <row r="68">
          <cell r="D68" t="str">
            <v>Motor BWRO 1#3</v>
          </cell>
          <cell r="E68" t="str">
            <v>1H</v>
          </cell>
          <cell r="F68">
            <v>1.6</v>
          </cell>
          <cell r="G68" t="str">
            <v>1H</v>
          </cell>
          <cell r="H68">
            <v>1.62</v>
          </cell>
          <cell r="I68" t="str">
            <v>PREWARNING</v>
          </cell>
        </row>
        <row r="69">
          <cell r="D69" t="str">
            <v>Motor BWRO 2#3</v>
          </cell>
          <cell r="F69">
            <v>0</v>
          </cell>
          <cell r="H69">
            <v>0</v>
          </cell>
          <cell r="I69" t="str">
            <v>STAND BY</v>
          </cell>
        </row>
        <row r="70">
          <cell r="D70" t="str">
            <v>Motor SWRO 1#3</v>
          </cell>
          <cell r="E70" t="str">
            <v>1A</v>
          </cell>
          <cell r="F70">
            <v>0</v>
          </cell>
          <cell r="G70" t="str">
            <v>1A</v>
          </cell>
          <cell r="H70">
            <v>0</v>
          </cell>
          <cell r="I70" t="str">
            <v>STAND BY</v>
          </cell>
        </row>
        <row r="71">
          <cell r="D71" t="str">
            <v>Motor SWRO 2#3</v>
          </cell>
          <cell r="E71" t="str">
            <v>2H</v>
          </cell>
          <cell r="F71">
            <v>0.73</v>
          </cell>
          <cell r="G71" t="str">
            <v>1V</v>
          </cell>
          <cell r="H71">
            <v>0.95</v>
          </cell>
          <cell r="I71" t="str">
            <v>NORMAL</v>
          </cell>
        </row>
        <row r="72">
          <cell r="D72" t="str">
            <v>Motor Cooling tower 1#3</v>
          </cell>
          <cell r="F72">
            <v>0</v>
          </cell>
          <cell r="H72" t="e">
            <v>#REF!</v>
          </cell>
          <cell r="I72" t="e">
            <v>#REF!</v>
          </cell>
        </row>
        <row r="73">
          <cell r="D73" t="str">
            <v>Motor Cooling tower 2#3</v>
          </cell>
          <cell r="E73" t="str">
            <v>1H</v>
          </cell>
          <cell r="F73">
            <v>14.04</v>
          </cell>
          <cell r="H73" t="e">
            <v>#REF!</v>
          </cell>
          <cell r="I73" t="e">
            <v>#REF!</v>
          </cell>
        </row>
        <row r="74">
          <cell r="D74" t="str">
            <v>Motor Air Compressor 1#3</v>
          </cell>
          <cell r="F74">
            <v>0</v>
          </cell>
          <cell r="H74" t="e">
            <v>#REF!</v>
          </cell>
          <cell r="I74" t="e">
            <v>#REF!</v>
          </cell>
        </row>
        <row r="75">
          <cell r="D75" t="str">
            <v>Motor Air Compressor 2#3</v>
          </cell>
          <cell r="F75">
            <v>0</v>
          </cell>
          <cell r="H75" t="e">
            <v>#REF!</v>
          </cell>
          <cell r="I75" t="e">
            <v>#REF!</v>
          </cell>
        </row>
        <row r="76">
          <cell r="D76" t="str">
            <v>COAL ASH HANDLING</v>
          </cell>
        </row>
        <row r="77">
          <cell r="D77" t="str">
            <v>BC 4.1</v>
          </cell>
          <cell r="E77" t="str">
            <v>2H</v>
          </cell>
          <cell r="F77">
            <v>3.28</v>
          </cell>
          <cell r="G77" t="str">
            <v>3A</v>
          </cell>
          <cell r="H77">
            <v>2.2200000000000002</v>
          </cell>
          <cell r="I77" t="str">
            <v>NORMAL</v>
          </cell>
        </row>
        <row r="78">
          <cell r="D78" t="str">
            <v>BC 4.2</v>
          </cell>
          <cell r="E78" t="str">
            <v>2H</v>
          </cell>
          <cell r="F78">
            <v>2.97</v>
          </cell>
          <cell r="G78" t="str">
            <v>1H</v>
          </cell>
          <cell r="H78">
            <v>2.4900000000000002</v>
          </cell>
          <cell r="I78" t="str">
            <v>PREWARNING</v>
          </cell>
        </row>
        <row r="79">
          <cell r="D79" t="str">
            <v>BC 5.1</v>
          </cell>
          <cell r="E79" t="str">
            <v>3V</v>
          </cell>
          <cell r="F79">
            <v>3.92</v>
          </cell>
          <cell r="G79" t="str">
            <v>3A</v>
          </cell>
          <cell r="H79">
            <v>4.18</v>
          </cell>
          <cell r="I79" t="str">
            <v>PREWARNING</v>
          </cell>
        </row>
        <row r="80">
          <cell r="D80" t="str">
            <v>BC 5.2</v>
          </cell>
          <cell r="E80" t="str">
            <v>4V</v>
          </cell>
          <cell r="F80">
            <v>2.0299999999999998</v>
          </cell>
          <cell r="G80" t="str">
            <v>3A</v>
          </cell>
          <cell r="H80">
            <v>2.2599999999999998</v>
          </cell>
          <cell r="I80" t="str">
            <v>NORMAL</v>
          </cell>
        </row>
        <row r="81">
          <cell r="D81" t="str">
            <v>BC 7.1</v>
          </cell>
          <cell r="E81" t="str">
            <v>3V</v>
          </cell>
          <cell r="F81">
            <v>4.17</v>
          </cell>
          <cell r="G81" t="str">
            <v>3V</v>
          </cell>
          <cell r="H81">
            <v>3.69</v>
          </cell>
          <cell r="I81" t="str">
            <v>PREWARNING</v>
          </cell>
        </row>
        <row r="82">
          <cell r="D82" t="str">
            <v>BC 7. 2</v>
          </cell>
          <cell r="E82" t="str">
            <v>3H</v>
          </cell>
          <cell r="F82">
            <v>4.47</v>
          </cell>
          <cell r="G82" t="str">
            <v>3V</v>
          </cell>
          <cell r="H82">
            <v>1.85</v>
          </cell>
          <cell r="I82" t="str">
            <v>NORMAL</v>
          </cell>
        </row>
        <row r="83">
          <cell r="D83" t="str">
            <v>BC 8.1</v>
          </cell>
          <cell r="E83" t="str">
            <v>1H</v>
          </cell>
          <cell r="F83">
            <v>2.11</v>
          </cell>
          <cell r="G83" t="str">
            <v>1V</v>
          </cell>
          <cell r="H83">
            <v>2.71</v>
          </cell>
          <cell r="I83" t="str">
            <v>PREWARNING</v>
          </cell>
        </row>
        <row r="84">
          <cell r="D84" t="str">
            <v>BC 8.2</v>
          </cell>
          <cell r="E84" t="str">
            <v>1H</v>
          </cell>
          <cell r="F84">
            <v>2.88</v>
          </cell>
          <cell r="G84" t="str">
            <v>1H</v>
          </cell>
          <cell r="H84">
            <v>2.76</v>
          </cell>
          <cell r="I84" t="str">
            <v>PREWARNING</v>
          </cell>
        </row>
        <row r="85">
          <cell r="D85" t="str">
            <v>BC 10.1</v>
          </cell>
          <cell r="E85" t="str">
            <v>1H</v>
          </cell>
          <cell r="F85">
            <v>3.89</v>
          </cell>
          <cell r="G85" t="str">
            <v>1H</v>
          </cell>
          <cell r="H85">
            <v>3.47</v>
          </cell>
          <cell r="I85" t="str">
            <v>PREWARNING</v>
          </cell>
        </row>
        <row r="86">
          <cell r="D86" t="str">
            <v>BC 10.2</v>
          </cell>
          <cell r="E86" t="str">
            <v>1V</v>
          </cell>
          <cell r="F86">
            <v>2.95</v>
          </cell>
          <cell r="G86" t="str">
            <v>1V</v>
          </cell>
          <cell r="H86">
            <v>1.87</v>
          </cell>
          <cell r="I86" t="str">
            <v>NORMAL</v>
          </cell>
        </row>
        <row r="87">
          <cell r="D87" t="str">
            <v>ROLLER SCREEN 1</v>
          </cell>
          <cell r="E87" t="str">
            <v>1V</v>
          </cell>
          <cell r="F87">
            <v>4.07</v>
          </cell>
          <cell r="G87" t="str">
            <v>1V</v>
          </cell>
          <cell r="H87">
            <v>4.3099999999999996</v>
          </cell>
          <cell r="I87" t="str">
            <v>NORMAL</v>
          </cell>
        </row>
        <row r="88">
          <cell r="D88" t="str">
            <v>ROLLER SCREEN 2</v>
          </cell>
          <cell r="E88" t="str">
            <v>1H</v>
          </cell>
          <cell r="F88">
            <v>3.57</v>
          </cell>
          <cell r="G88" t="str">
            <v>1V</v>
          </cell>
          <cell r="H88">
            <v>3.63</v>
          </cell>
          <cell r="I88" t="str">
            <v>NORMAL</v>
          </cell>
        </row>
        <row r="89">
          <cell r="D89" t="str">
            <v>VIBRATING FEEDER 1</v>
          </cell>
          <cell r="E89" t="str">
            <v>1V</v>
          </cell>
          <cell r="F89">
            <v>0</v>
          </cell>
          <cell r="G89" t="str">
            <v>1V</v>
          </cell>
          <cell r="H89" t="e">
            <v>#REF!</v>
          </cell>
          <cell r="I89" t="e">
            <v>#REF!</v>
          </cell>
        </row>
        <row r="90">
          <cell r="D90" t="str">
            <v>VIBRATING FEEDER 2</v>
          </cell>
          <cell r="F90">
            <v>0</v>
          </cell>
          <cell r="H90" t="e">
            <v>#REF!</v>
          </cell>
          <cell r="I90" t="e">
            <v>#REF!</v>
          </cell>
        </row>
        <row r="91">
          <cell r="D91" t="str">
            <v>Motor Crusser 185kW 1</v>
          </cell>
          <cell r="E91" t="str">
            <v>1H</v>
          </cell>
          <cell r="F91">
            <v>5.56</v>
          </cell>
          <cell r="G91" t="str">
            <v>1H</v>
          </cell>
          <cell r="H91">
            <v>4.68</v>
          </cell>
          <cell r="I91" t="str">
            <v>PREWARNING</v>
          </cell>
        </row>
        <row r="92">
          <cell r="D92" t="str">
            <v>Motor Crusser 185kW 2</v>
          </cell>
          <cell r="E92" t="str">
            <v>1H</v>
          </cell>
          <cell r="F92">
            <v>3.76</v>
          </cell>
          <cell r="G92" t="str">
            <v>1H</v>
          </cell>
          <cell r="H92">
            <v>3.85</v>
          </cell>
          <cell r="I92" t="str">
            <v>NORMAL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view="pageBreakPreview" zoomScale="55" zoomScaleNormal="40" zoomScaleSheetLayoutView="55" workbookViewId="0">
      <selection activeCell="D4" sqref="D4:S4"/>
    </sheetView>
  </sheetViews>
  <sheetFormatPr defaultColWidth="9.1796875" defaultRowHeight="14" x14ac:dyDescent="0.35"/>
  <cols>
    <col min="1" max="3" width="10.7265625" style="55" customWidth="1"/>
    <col min="4" max="6" width="11.90625" style="55" bestFit="1" customWidth="1"/>
    <col min="7" max="22" width="10.7265625" style="55" customWidth="1"/>
    <col min="23" max="16384" width="9.1796875" style="55"/>
  </cols>
  <sheetData>
    <row r="1" spans="1:22" s="54" customFormat="1" ht="20.149999999999999" customHeight="1" x14ac:dyDescent="0.35">
      <c r="A1" s="85"/>
      <c r="B1" s="86"/>
      <c r="C1" s="87"/>
      <c r="D1" s="94" t="s">
        <v>103</v>
      </c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  <c r="T1" s="51" t="s">
        <v>65</v>
      </c>
      <c r="U1" s="52" t="s">
        <v>66</v>
      </c>
      <c r="V1" s="53"/>
    </row>
    <row r="2" spans="1:22" s="54" customFormat="1" ht="20.149999999999999" customHeight="1" x14ac:dyDescent="0.35">
      <c r="A2" s="88"/>
      <c r="B2" s="89"/>
      <c r="C2" s="90"/>
      <c r="D2" s="94" t="s">
        <v>105</v>
      </c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6"/>
      <c r="T2" s="51" t="s">
        <v>67</v>
      </c>
      <c r="U2" s="52" t="s">
        <v>68</v>
      </c>
      <c r="V2" s="53"/>
    </row>
    <row r="3" spans="1:22" s="54" customFormat="1" ht="20.149999999999999" customHeight="1" x14ac:dyDescent="0.35">
      <c r="A3" s="88"/>
      <c r="B3" s="89"/>
      <c r="C3" s="90"/>
      <c r="D3" s="94" t="s">
        <v>104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6"/>
      <c r="T3" s="51" t="s">
        <v>69</v>
      </c>
      <c r="U3" s="52" t="s">
        <v>70</v>
      </c>
      <c r="V3" s="53"/>
    </row>
    <row r="4" spans="1:22" s="54" customFormat="1" ht="20.149999999999999" customHeight="1" x14ac:dyDescent="0.35">
      <c r="A4" s="91"/>
      <c r="B4" s="92"/>
      <c r="C4" s="93"/>
      <c r="D4" s="94" t="s">
        <v>87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6"/>
      <c r="T4" s="51" t="s">
        <v>71</v>
      </c>
      <c r="U4" s="52" t="s">
        <v>72</v>
      </c>
      <c r="V4" s="53"/>
    </row>
    <row r="5" spans="1:22" s="54" customFormat="1" ht="20" x14ac:dyDescent="0.35">
      <c r="A5" s="82" t="s">
        <v>102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/>
    </row>
    <row r="6" spans="1:22" ht="14.5" thickBot="1" x14ac:dyDescent="0.4"/>
    <row r="7" spans="1:22" ht="14.5" thickBot="1" x14ac:dyDescent="0.4">
      <c r="B7" s="97" t="s">
        <v>73</v>
      </c>
      <c r="C7" s="98"/>
      <c r="D7" s="104" t="s">
        <v>86</v>
      </c>
      <c r="E7" s="105"/>
      <c r="F7" s="105"/>
      <c r="G7" s="106"/>
      <c r="I7" s="56"/>
      <c r="J7" s="56"/>
      <c r="K7" s="56"/>
      <c r="L7" s="56"/>
    </row>
    <row r="8" spans="1:22" ht="14.5" thickBot="1" x14ac:dyDescent="0.4">
      <c r="B8" s="97"/>
      <c r="C8" s="99"/>
      <c r="D8" s="75" t="s">
        <v>74</v>
      </c>
      <c r="E8" s="76" t="s">
        <v>75</v>
      </c>
      <c r="F8" s="74" t="s">
        <v>76</v>
      </c>
      <c r="G8" s="74" t="s">
        <v>77</v>
      </c>
      <c r="I8" s="55" t="s">
        <v>78</v>
      </c>
    </row>
    <row r="9" spans="1:22" ht="14.5" thickBot="1" x14ac:dyDescent="0.4">
      <c r="B9" s="97" t="s">
        <v>31</v>
      </c>
      <c r="C9" s="99"/>
      <c r="D9" s="57">
        <v>2</v>
      </c>
      <c r="E9" s="77">
        <v>0</v>
      </c>
      <c r="F9" s="58">
        <v>0</v>
      </c>
      <c r="G9" s="59">
        <v>5</v>
      </c>
      <c r="I9" s="60" t="s">
        <v>79</v>
      </c>
      <c r="J9" s="100" t="s">
        <v>88</v>
      </c>
      <c r="K9" s="101"/>
      <c r="L9" s="101"/>
      <c r="M9" s="101"/>
      <c r="N9" s="101"/>
      <c r="O9" s="101"/>
      <c r="P9" s="101"/>
      <c r="Q9" s="101"/>
      <c r="R9" s="101"/>
      <c r="S9" s="101"/>
      <c r="T9" s="101"/>
    </row>
    <row r="10" spans="1:22" ht="14.5" thickBot="1" x14ac:dyDescent="0.4">
      <c r="B10" s="97" t="s">
        <v>41</v>
      </c>
      <c r="C10" s="99"/>
      <c r="D10" s="57">
        <v>2</v>
      </c>
      <c r="E10" s="77">
        <v>0</v>
      </c>
      <c r="F10" s="58">
        <v>0</v>
      </c>
      <c r="G10" s="59">
        <v>3</v>
      </c>
      <c r="I10" s="73" t="s">
        <v>80</v>
      </c>
      <c r="J10" s="102" t="s">
        <v>16</v>
      </c>
      <c r="K10" s="103"/>
      <c r="L10" s="103"/>
      <c r="M10" s="103"/>
      <c r="N10" s="103"/>
      <c r="O10" s="103"/>
      <c r="P10" s="103"/>
      <c r="Q10" s="103"/>
      <c r="R10" s="103"/>
      <c r="S10" s="103"/>
      <c r="T10" s="103"/>
    </row>
    <row r="11" spans="1:22" ht="14.5" thickBot="1" x14ac:dyDescent="0.4">
      <c r="B11" s="97" t="s">
        <v>52</v>
      </c>
      <c r="C11" s="99"/>
      <c r="D11" s="57">
        <v>6</v>
      </c>
      <c r="E11" s="78">
        <v>0</v>
      </c>
      <c r="F11" s="61">
        <v>0</v>
      </c>
      <c r="G11" s="62">
        <v>1</v>
      </c>
      <c r="I11" s="63" t="s">
        <v>81</v>
      </c>
      <c r="J11" s="102" t="s">
        <v>17</v>
      </c>
      <c r="K11" s="103"/>
      <c r="L11" s="103"/>
      <c r="M11" s="103"/>
      <c r="N11" s="103"/>
      <c r="O11" s="103"/>
      <c r="P11" s="103"/>
      <c r="Q11" s="103"/>
      <c r="R11" s="103"/>
      <c r="S11" s="103"/>
      <c r="T11" s="103"/>
    </row>
    <row r="12" spans="1:22" ht="18.5" thickBot="1" x14ac:dyDescent="0.4">
      <c r="B12" s="107" t="s">
        <v>83</v>
      </c>
      <c r="C12" s="108"/>
      <c r="D12" s="64">
        <f>SUM(D9:D11)</f>
        <v>10</v>
      </c>
      <c r="E12" s="79">
        <f>SUM(E9:E11)</f>
        <v>0</v>
      </c>
      <c r="F12" s="65">
        <v>0</v>
      </c>
      <c r="G12" s="66">
        <f>SUM(G9:G11)</f>
        <v>9</v>
      </c>
      <c r="I12" s="67" t="s">
        <v>82</v>
      </c>
      <c r="J12" s="100" t="s">
        <v>84</v>
      </c>
      <c r="K12" s="101"/>
      <c r="L12" s="101"/>
      <c r="M12" s="101"/>
      <c r="N12" s="101"/>
      <c r="O12" s="101"/>
      <c r="P12" s="101"/>
      <c r="Q12" s="101"/>
      <c r="R12" s="101"/>
      <c r="S12" s="101"/>
      <c r="T12" s="101"/>
    </row>
    <row r="13" spans="1:22" ht="18.5" thickBot="1" x14ac:dyDescent="0.4">
      <c r="B13" s="97" t="s">
        <v>85</v>
      </c>
      <c r="C13" s="99"/>
      <c r="D13" s="68">
        <f>(D12/SUM(D12:G12))</f>
        <v>0.52631578947368418</v>
      </c>
      <c r="E13" s="80">
        <f>(E12/SUM(D12:G12))</f>
        <v>0</v>
      </c>
      <c r="F13" s="69">
        <f>(F12/SUM(D12:G12))</f>
        <v>0</v>
      </c>
      <c r="G13" s="70">
        <f>(G12/SUM(D12:G12))</f>
        <v>0.47368421052631576</v>
      </c>
    </row>
    <row r="15" spans="1:22" x14ac:dyDescent="0.35">
      <c r="B15" s="71"/>
      <c r="C15" s="71" t="e">
        <f>SUM(#REF!)</f>
        <v>#REF!</v>
      </c>
      <c r="D15" s="71"/>
      <c r="E15" s="71"/>
      <c r="F15" s="72"/>
      <c r="G15" s="72"/>
      <c r="H15" s="72"/>
      <c r="I15" s="72"/>
      <c r="J15" s="72"/>
      <c r="K15" s="72"/>
      <c r="L15" s="72"/>
    </row>
    <row r="16" spans="1:22" x14ac:dyDescent="0.35">
      <c r="A16" s="71"/>
      <c r="B16" s="71"/>
      <c r="C16" s="71"/>
      <c r="D16" s="71"/>
      <c r="E16" s="71"/>
      <c r="F16" s="72"/>
      <c r="G16" s="72"/>
      <c r="H16" s="72"/>
      <c r="I16" s="72"/>
      <c r="J16" s="72"/>
      <c r="K16" s="72"/>
      <c r="L16" s="72"/>
    </row>
    <row r="17" spans="1:12" x14ac:dyDescent="0.3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spans="1:12" x14ac:dyDescent="0.3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</row>
    <row r="19" spans="1:12" x14ac:dyDescent="0.3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</row>
    <row r="20" spans="1:12" x14ac:dyDescent="0.3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</row>
    <row r="21" spans="1:12" x14ac:dyDescent="0.35"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1:12" x14ac:dyDescent="0.35"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x14ac:dyDescent="0.35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</row>
    <row r="24" spans="1:12" x14ac:dyDescent="0.35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</row>
    <row r="25" spans="1:12" x14ac:dyDescent="0.35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</row>
    <row r="26" spans="1:12" x14ac:dyDescent="0.35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</row>
  </sheetData>
  <mergeCells count="17">
    <mergeCell ref="B13:C13"/>
    <mergeCell ref="B11:C11"/>
    <mergeCell ref="J11:T11"/>
    <mergeCell ref="B12:C12"/>
    <mergeCell ref="J12:T12"/>
    <mergeCell ref="B7:C8"/>
    <mergeCell ref="B9:C9"/>
    <mergeCell ref="J9:T9"/>
    <mergeCell ref="B10:C10"/>
    <mergeCell ref="J10:T10"/>
    <mergeCell ref="D7:G7"/>
    <mergeCell ref="A5:V5"/>
    <mergeCell ref="A1:C4"/>
    <mergeCell ref="D1:S1"/>
    <mergeCell ref="D2:S2"/>
    <mergeCell ref="D3:S3"/>
    <mergeCell ref="D4:S4"/>
  </mergeCells>
  <pageMargins left="0.7" right="0.7" top="0.75" bottom="0.75" header="0.3" footer="0.3"/>
  <pageSetup paperSize="9" scale="3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Q145"/>
  <sheetViews>
    <sheetView tabSelected="1" view="pageBreakPreview" zoomScale="55" zoomScaleNormal="100" zoomScaleSheetLayoutView="55" workbookViewId="0">
      <selection activeCell="I8" sqref="I8"/>
    </sheetView>
  </sheetViews>
  <sheetFormatPr defaultColWidth="9.1796875" defaultRowHeight="14.5" x14ac:dyDescent="0.35"/>
  <cols>
    <col min="1" max="1" width="4.453125" style="2" bestFit="1" customWidth="1"/>
    <col min="2" max="2" width="30.453125" style="38" customWidth="1"/>
    <col min="3" max="3" width="14.54296875" style="2" hidden="1" customWidth="1"/>
    <col min="4" max="4" width="9.26953125" style="2" hidden="1" customWidth="1"/>
    <col min="5" max="5" width="0" style="2" hidden="1" customWidth="1"/>
    <col min="6" max="6" width="14.453125" style="2" hidden="1" customWidth="1"/>
    <col min="7" max="7" width="0.26953125" style="2" customWidth="1"/>
    <col min="8" max="8" width="46.1796875" style="2" customWidth="1"/>
    <col min="9" max="9" width="137.81640625" style="39" customWidth="1"/>
    <col min="10" max="10" width="157.36328125" style="39" customWidth="1"/>
    <col min="11" max="14" width="9.1796875" style="2" hidden="1" customWidth="1"/>
    <col min="15" max="15" width="53.6328125" style="2" hidden="1" customWidth="1"/>
    <col min="16" max="16" width="3.26953125" style="2" hidden="1" customWidth="1"/>
    <col min="17" max="43" width="9.1796875" style="2" hidden="1" customWidth="1"/>
    <col min="44" max="16384" width="9.1796875" style="2"/>
  </cols>
  <sheetData>
    <row r="1" spans="1:10" x14ac:dyDescent="0.35">
      <c r="A1" s="110"/>
      <c r="B1" s="110"/>
      <c r="C1" s="111" t="s">
        <v>103</v>
      </c>
      <c r="D1" s="111"/>
      <c r="E1" s="111"/>
      <c r="F1" s="111"/>
      <c r="G1" s="111"/>
      <c r="H1" s="111"/>
      <c r="I1" s="111"/>
      <c r="J1" s="1" t="s">
        <v>0</v>
      </c>
    </row>
    <row r="2" spans="1:10" x14ac:dyDescent="0.35">
      <c r="A2" s="110"/>
      <c r="B2" s="110"/>
      <c r="C2" s="111" t="s">
        <v>105</v>
      </c>
      <c r="D2" s="111"/>
      <c r="E2" s="111"/>
      <c r="F2" s="111"/>
      <c r="G2" s="111"/>
      <c r="H2" s="111"/>
      <c r="I2" s="111"/>
      <c r="J2" s="1" t="s">
        <v>1</v>
      </c>
    </row>
    <row r="3" spans="1:10" x14ac:dyDescent="0.35">
      <c r="A3" s="110"/>
      <c r="B3" s="110"/>
      <c r="C3" s="111" t="s">
        <v>104</v>
      </c>
      <c r="D3" s="111"/>
      <c r="E3" s="111"/>
      <c r="F3" s="111"/>
      <c r="G3" s="111"/>
      <c r="H3" s="111"/>
      <c r="I3" s="111"/>
      <c r="J3" s="1" t="s">
        <v>2</v>
      </c>
    </row>
    <row r="4" spans="1:10" x14ac:dyDescent="0.35">
      <c r="A4" s="110"/>
      <c r="B4" s="110"/>
      <c r="C4" s="111" t="s">
        <v>87</v>
      </c>
      <c r="D4" s="111"/>
      <c r="E4" s="111"/>
      <c r="F4" s="111"/>
      <c r="G4" s="111"/>
      <c r="H4" s="111"/>
      <c r="I4" s="111"/>
      <c r="J4" s="1" t="s">
        <v>3</v>
      </c>
    </row>
    <row r="5" spans="1:10" x14ac:dyDescent="0.35">
      <c r="A5" s="3"/>
      <c r="B5" s="4"/>
      <c r="C5" s="5"/>
      <c r="D5" s="5"/>
      <c r="E5" s="5"/>
      <c r="F5" s="5"/>
      <c r="G5" s="5"/>
      <c r="H5" s="5"/>
      <c r="I5" s="5"/>
      <c r="J5" s="6"/>
    </row>
    <row r="6" spans="1:10" x14ac:dyDescent="0.35">
      <c r="A6" s="7"/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64</v>
      </c>
      <c r="I6" s="10"/>
      <c r="J6" s="11"/>
    </row>
    <row r="7" spans="1:10" x14ac:dyDescent="0.35">
      <c r="A7" s="7"/>
      <c r="B7" s="12"/>
      <c r="C7" s="13" t="s">
        <v>10</v>
      </c>
      <c r="D7" s="14" t="s">
        <v>10</v>
      </c>
      <c r="E7" s="13" t="s">
        <v>10</v>
      </c>
      <c r="F7" s="14" t="s">
        <v>11</v>
      </c>
      <c r="G7" s="13" t="s">
        <v>10</v>
      </c>
      <c r="H7" s="13" t="s">
        <v>10</v>
      </c>
      <c r="I7" s="10"/>
      <c r="J7" s="11"/>
    </row>
    <row r="8" spans="1:10" s="17" customFormat="1" x14ac:dyDescent="0.35">
      <c r="A8" s="7"/>
      <c r="B8" s="12"/>
      <c r="C8" s="14" t="s">
        <v>12</v>
      </c>
      <c r="D8" s="13" t="s">
        <v>13</v>
      </c>
      <c r="E8" s="15" t="s">
        <v>14</v>
      </c>
      <c r="F8" s="16" t="s">
        <v>13</v>
      </c>
      <c r="G8" s="14" t="s">
        <v>13</v>
      </c>
      <c r="H8" s="15" t="s">
        <v>15</v>
      </c>
      <c r="I8" s="10"/>
      <c r="J8" s="11"/>
    </row>
    <row r="9" spans="1:10" x14ac:dyDescent="0.35">
      <c r="A9" s="7"/>
      <c r="B9" s="12"/>
      <c r="C9" s="18" t="s">
        <v>15</v>
      </c>
      <c r="D9" s="15" t="s">
        <v>16</v>
      </c>
      <c r="E9" s="19" t="s">
        <v>17</v>
      </c>
      <c r="F9" s="13" t="s">
        <v>18</v>
      </c>
      <c r="G9" s="15" t="s">
        <v>14</v>
      </c>
      <c r="H9" s="19" t="s">
        <v>14</v>
      </c>
      <c r="I9" s="10"/>
      <c r="J9" s="11"/>
    </row>
    <row r="10" spans="1:10" s="17" customFormat="1" x14ac:dyDescent="0.35">
      <c r="A10" s="7"/>
      <c r="B10" s="12"/>
      <c r="C10" s="19" t="s">
        <v>14</v>
      </c>
      <c r="D10" s="19" t="s">
        <v>17</v>
      </c>
      <c r="E10" s="20"/>
      <c r="F10" s="19" t="s">
        <v>19</v>
      </c>
      <c r="G10" s="19" t="s">
        <v>17</v>
      </c>
      <c r="H10" s="20"/>
      <c r="I10" s="10"/>
      <c r="J10" s="11"/>
    </row>
    <row r="11" spans="1:10" x14ac:dyDescent="0.35">
      <c r="A11" s="7"/>
      <c r="B11" s="12"/>
      <c r="C11" s="21"/>
      <c r="D11" s="22" t="s">
        <v>20</v>
      </c>
      <c r="E11" s="20"/>
      <c r="F11" s="23" t="s">
        <v>17</v>
      </c>
      <c r="G11" s="20"/>
      <c r="H11" s="49"/>
      <c r="I11" s="10"/>
      <c r="J11" s="11"/>
    </row>
    <row r="12" spans="1:10" x14ac:dyDescent="0.35">
      <c r="A12" s="24"/>
      <c r="B12" s="25"/>
      <c r="C12" s="26"/>
      <c r="D12" s="27"/>
      <c r="E12" s="26"/>
      <c r="F12" s="26"/>
      <c r="G12" s="26"/>
      <c r="H12" s="48"/>
      <c r="I12" s="28"/>
      <c r="J12" s="29"/>
    </row>
    <row r="13" spans="1:10" ht="14.5" customHeight="1" x14ac:dyDescent="0.35">
      <c r="A13" s="112" t="s">
        <v>21</v>
      </c>
      <c r="B13" s="112" t="s">
        <v>22</v>
      </c>
      <c r="C13" s="112" t="s">
        <v>23</v>
      </c>
      <c r="D13" s="112"/>
      <c r="E13" s="112"/>
      <c r="F13" s="112"/>
      <c r="G13" s="112"/>
      <c r="H13" s="112"/>
      <c r="I13" s="113" t="s">
        <v>24</v>
      </c>
      <c r="J13" s="109" t="s">
        <v>25</v>
      </c>
    </row>
    <row r="14" spans="1:10" x14ac:dyDescent="0.35">
      <c r="A14" s="112"/>
      <c r="B14" s="112"/>
      <c r="C14" s="30" t="s">
        <v>26</v>
      </c>
      <c r="D14" s="30" t="s">
        <v>27</v>
      </c>
      <c r="E14" s="30" t="s">
        <v>28</v>
      </c>
      <c r="F14" s="30" t="s">
        <v>29</v>
      </c>
      <c r="G14" s="30" t="s">
        <v>30</v>
      </c>
      <c r="H14" s="30" t="s">
        <v>64</v>
      </c>
      <c r="I14" s="113"/>
      <c r="J14" s="109"/>
    </row>
    <row r="15" spans="1:10" s="17" customFormat="1" x14ac:dyDescent="0.35">
      <c r="A15" s="31"/>
      <c r="B15" s="31" t="s">
        <v>31</v>
      </c>
      <c r="C15" s="31"/>
      <c r="D15" s="31"/>
      <c r="E15" s="31"/>
      <c r="F15" s="31"/>
      <c r="G15" s="31"/>
      <c r="H15" s="31"/>
      <c r="I15" s="32"/>
      <c r="J15" s="32"/>
    </row>
    <row r="16" spans="1:10" ht="58" x14ac:dyDescent="0.35">
      <c r="A16" s="33">
        <v>1</v>
      </c>
      <c r="B16" s="34" t="s">
        <v>32</v>
      </c>
      <c r="C16" s="41" t="s">
        <v>10</v>
      </c>
      <c r="D16" s="45" t="s">
        <v>10</v>
      </c>
      <c r="E16" s="33" t="s">
        <v>10</v>
      </c>
      <c r="F16" s="33"/>
      <c r="G16" s="33"/>
      <c r="H16" s="33" t="s">
        <v>89</v>
      </c>
      <c r="I16" s="36" t="s">
        <v>91</v>
      </c>
      <c r="J16" s="36" t="s">
        <v>63</v>
      </c>
    </row>
    <row r="17" spans="1:10" ht="87" x14ac:dyDescent="0.35">
      <c r="A17" s="33">
        <v>2</v>
      </c>
      <c r="B17" s="34" t="s">
        <v>33</v>
      </c>
      <c r="C17" s="41" t="s">
        <v>12</v>
      </c>
      <c r="D17" s="45" t="s">
        <v>10</v>
      </c>
      <c r="E17" s="33" t="s">
        <v>62</v>
      </c>
      <c r="F17" s="33"/>
      <c r="G17" s="33"/>
      <c r="H17" s="33" t="s">
        <v>89</v>
      </c>
      <c r="I17" s="36" t="s">
        <v>90</v>
      </c>
      <c r="J17" s="36" t="s">
        <v>63</v>
      </c>
    </row>
    <row r="18" spans="1:10" ht="101.5" x14ac:dyDescent="0.35">
      <c r="A18" s="33">
        <v>3</v>
      </c>
      <c r="B18" s="34" t="s">
        <v>34</v>
      </c>
      <c r="C18" s="41" t="s">
        <v>10</v>
      </c>
      <c r="D18" s="45" t="s">
        <v>13</v>
      </c>
      <c r="E18" s="33" t="s">
        <v>10</v>
      </c>
      <c r="F18" s="33"/>
      <c r="G18" s="33"/>
      <c r="H18" s="33" t="s">
        <v>89</v>
      </c>
      <c r="I18" s="36" t="s">
        <v>97</v>
      </c>
      <c r="J18" s="36" t="s">
        <v>63</v>
      </c>
    </row>
    <row r="19" spans="1:10" ht="75.5" x14ac:dyDescent="0.35">
      <c r="A19" s="33">
        <v>4</v>
      </c>
      <c r="B19" s="34" t="s">
        <v>35</v>
      </c>
      <c r="C19" s="41" t="s">
        <v>10</v>
      </c>
      <c r="D19" s="33" t="s">
        <v>10</v>
      </c>
      <c r="E19" s="33" t="s">
        <v>14</v>
      </c>
      <c r="F19" s="33"/>
      <c r="G19" s="33"/>
      <c r="H19" s="33" t="s">
        <v>15</v>
      </c>
      <c r="I19" s="43" t="s">
        <v>108</v>
      </c>
      <c r="J19" s="36" t="s">
        <v>63</v>
      </c>
    </row>
    <row r="20" spans="1:10" ht="75" x14ac:dyDescent="0.35">
      <c r="A20" s="33">
        <v>5</v>
      </c>
      <c r="B20" s="34" t="s">
        <v>36</v>
      </c>
      <c r="C20" s="41" t="s">
        <v>10</v>
      </c>
      <c r="D20" s="44" t="s">
        <v>13</v>
      </c>
      <c r="E20" s="33" t="s">
        <v>62</v>
      </c>
      <c r="F20" s="33"/>
      <c r="G20" s="33"/>
      <c r="H20" s="33" t="s">
        <v>89</v>
      </c>
      <c r="I20" s="43" t="s">
        <v>107</v>
      </c>
      <c r="J20" s="36" t="s">
        <v>63</v>
      </c>
    </row>
    <row r="21" spans="1:10" ht="50.5" x14ac:dyDescent="0.35">
      <c r="A21" s="33">
        <v>6</v>
      </c>
      <c r="B21" s="34" t="s">
        <v>37</v>
      </c>
      <c r="C21" s="41" t="s">
        <v>12</v>
      </c>
      <c r="D21" s="33" t="s">
        <v>10</v>
      </c>
      <c r="E21" s="33" t="s">
        <v>10</v>
      </c>
      <c r="F21" s="33"/>
      <c r="G21" s="33"/>
      <c r="H21" s="33" t="s">
        <v>15</v>
      </c>
      <c r="I21" s="43" t="s">
        <v>109</v>
      </c>
      <c r="J21" s="36" t="s">
        <v>63</v>
      </c>
    </row>
    <row r="22" spans="1:10" ht="62.5" x14ac:dyDescent="0.35">
      <c r="A22" s="33">
        <v>7</v>
      </c>
      <c r="B22" s="34" t="s">
        <v>38</v>
      </c>
      <c r="C22" s="41" t="s">
        <v>12</v>
      </c>
      <c r="D22" s="33" t="s">
        <v>62</v>
      </c>
      <c r="E22" s="33" t="s">
        <v>62</v>
      </c>
      <c r="F22" s="33"/>
      <c r="G22" s="33"/>
      <c r="H22" s="33" t="s">
        <v>89</v>
      </c>
      <c r="I22" s="43" t="s">
        <v>92</v>
      </c>
      <c r="J22" s="36" t="s">
        <v>63</v>
      </c>
    </row>
    <row r="23" spans="1:10" ht="75" x14ac:dyDescent="0.35">
      <c r="A23" s="33">
        <v>8</v>
      </c>
      <c r="B23" s="34" t="s">
        <v>39</v>
      </c>
      <c r="C23" s="41" t="s">
        <v>62</v>
      </c>
      <c r="D23" s="33" t="s">
        <v>13</v>
      </c>
      <c r="E23" s="33" t="s">
        <v>10</v>
      </c>
      <c r="F23" s="33"/>
      <c r="G23" s="33"/>
      <c r="H23" s="33" t="s">
        <v>89</v>
      </c>
      <c r="I23" s="43" t="s">
        <v>106</v>
      </c>
      <c r="J23" s="36" t="s">
        <v>117</v>
      </c>
    </row>
    <row r="24" spans="1:10" ht="72.5" x14ac:dyDescent="0.35">
      <c r="A24" s="33">
        <v>9</v>
      </c>
      <c r="B24" s="34" t="s">
        <v>40</v>
      </c>
      <c r="C24" s="42"/>
      <c r="D24" s="33"/>
      <c r="E24" s="33"/>
      <c r="F24" s="33"/>
      <c r="G24" s="33"/>
      <c r="H24" s="33" t="s">
        <v>15</v>
      </c>
      <c r="I24" s="36" t="s">
        <v>110</v>
      </c>
      <c r="J24" s="36" t="s">
        <v>63</v>
      </c>
    </row>
    <row r="25" spans="1:10" x14ac:dyDescent="0.35">
      <c r="A25" s="33">
        <v>10</v>
      </c>
      <c r="B25" s="31" t="s">
        <v>41</v>
      </c>
      <c r="C25" s="31"/>
      <c r="D25" s="31"/>
      <c r="E25" s="31"/>
      <c r="F25" s="31"/>
      <c r="G25" s="31"/>
      <c r="H25" s="31"/>
      <c r="I25" s="32"/>
      <c r="J25" s="32"/>
    </row>
    <row r="26" spans="1:10" ht="50" x14ac:dyDescent="0.35">
      <c r="A26" s="33">
        <v>11</v>
      </c>
      <c r="B26" s="34" t="s">
        <v>42</v>
      </c>
      <c r="C26" s="42" t="s">
        <v>12</v>
      </c>
      <c r="D26" s="45" t="s">
        <v>10</v>
      </c>
      <c r="E26" s="33"/>
      <c r="F26" s="33"/>
      <c r="G26" s="33"/>
      <c r="H26" s="33" t="s">
        <v>89</v>
      </c>
      <c r="I26" s="43" t="s">
        <v>96</v>
      </c>
      <c r="J26" s="36" t="s">
        <v>63</v>
      </c>
    </row>
    <row r="27" spans="1:10" ht="50" x14ac:dyDescent="0.35">
      <c r="A27" s="33">
        <v>12</v>
      </c>
      <c r="B27" s="34" t="s">
        <v>43</v>
      </c>
      <c r="C27" s="42" t="s">
        <v>12</v>
      </c>
      <c r="D27" s="45" t="s">
        <v>10</v>
      </c>
      <c r="E27" s="33"/>
      <c r="F27" s="33"/>
      <c r="G27" s="33"/>
      <c r="H27" s="33" t="s">
        <v>89</v>
      </c>
      <c r="I27" s="43" t="s">
        <v>91</v>
      </c>
      <c r="J27" s="36" t="s">
        <v>63</v>
      </c>
    </row>
    <row r="28" spans="1:10" ht="88" x14ac:dyDescent="0.35">
      <c r="A28" s="33">
        <v>13</v>
      </c>
      <c r="B28" s="34" t="s">
        <v>44</v>
      </c>
      <c r="C28" s="42" t="s">
        <v>12</v>
      </c>
      <c r="D28" s="44" t="s">
        <v>16</v>
      </c>
      <c r="E28" s="33"/>
      <c r="F28" s="33"/>
      <c r="G28" s="33"/>
      <c r="H28" s="33" t="s">
        <v>89</v>
      </c>
      <c r="I28" s="43" t="s">
        <v>98</v>
      </c>
      <c r="J28" s="36" t="s">
        <v>63</v>
      </c>
    </row>
    <row r="29" spans="1:10" ht="88" x14ac:dyDescent="0.35">
      <c r="A29" s="33">
        <v>14</v>
      </c>
      <c r="B29" s="34" t="s">
        <v>45</v>
      </c>
      <c r="C29" s="42" t="s">
        <v>15</v>
      </c>
      <c r="D29" s="46" t="s">
        <v>13</v>
      </c>
      <c r="E29" s="33"/>
      <c r="F29" s="33"/>
      <c r="G29" s="33"/>
      <c r="H29" s="33" t="s">
        <v>89</v>
      </c>
      <c r="I29" s="43" t="s">
        <v>99</v>
      </c>
      <c r="J29" s="36" t="s">
        <v>118</v>
      </c>
    </row>
    <row r="30" spans="1:10" ht="50.5" x14ac:dyDescent="0.35">
      <c r="A30" s="33">
        <v>15</v>
      </c>
      <c r="B30" s="34" t="s">
        <v>46</v>
      </c>
      <c r="C30" s="42" t="s">
        <v>10</v>
      </c>
      <c r="D30" s="44" t="s">
        <v>13</v>
      </c>
      <c r="E30" s="33"/>
      <c r="F30" s="33"/>
      <c r="G30" s="33"/>
      <c r="H30" s="33" t="s">
        <v>89</v>
      </c>
      <c r="I30" s="43" t="s">
        <v>100</v>
      </c>
      <c r="J30" s="36" t="s">
        <v>63</v>
      </c>
    </row>
    <row r="31" spans="1:10" ht="63" x14ac:dyDescent="0.35">
      <c r="A31" s="33">
        <v>16</v>
      </c>
      <c r="B31" s="34" t="s">
        <v>47</v>
      </c>
      <c r="C31" s="42" t="s">
        <v>10</v>
      </c>
      <c r="D31" s="44" t="s">
        <v>10</v>
      </c>
      <c r="E31" s="33"/>
      <c r="F31" s="33"/>
      <c r="G31" s="33"/>
      <c r="H31" s="33" t="s">
        <v>89</v>
      </c>
      <c r="I31" s="43" t="s">
        <v>101</v>
      </c>
      <c r="J31" s="36" t="s">
        <v>63</v>
      </c>
    </row>
    <row r="32" spans="1:10" ht="75" x14ac:dyDescent="0.35">
      <c r="A32" s="33">
        <v>23</v>
      </c>
      <c r="B32" s="34" t="s">
        <v>48</v>
      </c>
      <c r="C32" s="40" t="s">
        <v>12</v>
      </c>
      <c r="D32" s="33" t="s">
        <v>16</v>
      </c>
      <c r="E32" s="46" t="s">
        <v>62</v>
      </c>
      <c r="F32" s="33"/>
      <c r="G32" s="33"/>
      <c r="H32" s="33" t="s">
        <v>89</v>
      </c>
      <c r="I32" s="43" t="s">
        <v>90</v>
      </c>
      <c r="J32" s="36" t="s">
        <v>63</v>
      </c>
    </row>
    <row r="33" spans="1:10" ht="62.5" x14ac:dyDescent="0.35">
      <c r="A33" s="33">
        <v>24</v>
      </c>
      <c r="B33" s="34" t="s">
        <v>49</v>
      </c>
      <c r="C33" s="42" t="s">
        <v>62</v>
      </c>
      <c r="D33" s="33" t="s">
        <v>62</v>
      </c>
      <c r="E33" s="33"/>
      <c r="F33" s="33"/>
      <c r="G33" s="33"/>
      <c r="H33" s="33" t="s">
        <v>89</v>
      </c>
      <c r="I33" s="43" t="s">
        <v>93</v>
      </c>
      <c r="J33" s="36" t="s">
        <v>63</v>
      </c>
    </row>
    <row r="34" spans="1:10" ht="72.5" x14ac:dyDescent="0.35">
      <c r="A34" s="33">
        <v>25</v>
      </c>
      <c r="B34" s="34" t="s">
        <v>50</v>
      </c>
      <c r="C34" s="35"/>
      <c r="D34" s="45" t="s">
        <v>13</v>
      </c>
      <c r="E34" s="33"/>
      <c r="F34" s="33"/>
      <c r="G34" s="81" t="s">
        <v>10</v>
      </c>
      <c r="H34" s="33" t="s">
        <v>89</v>
      </c>
      <c r="I34" s="47" t="s">
        <v>93</v>
      </c>
      <c r="J34" s="36" t="s">
        <v>63</v>
      </c>
    </row>
    <row r="35" spans="1:10" ht="101.5" x14ac:dyDescent="0.35">
      <c r="A35" s="33">
        <v>26</v>
      </c>
      <c r="B35" s="34" t="s">
        <v>51</v>
      </c>
      <c r="C35" s="35"/>
      <c r="D35" s="33"/>
      <c r="E35" s="33"/>
      <c r="F35" s="33"/>
      <c r="G35" s="33"/>
      <c r="H35" s="33" t="s">
        <v>15</v>
      </c>
      <c r="I35" s="36" t="s">
        <v>112</v>
      </c>
      <c r="J35" s="36" t="s">
        <v>63</v>
      </c>
    </row>
    <row r="36" spans="1:10" x14ac:dyDescent="0.35">
      <c r="A36" s="33">
        <v>27</v>
      </c>
      <c r="B36" s="31" t="s">
        <v>52</v>
      </c>
      <c r="C36" s="31"/>
      <c r="D36" s="31"/>
      <c r="E36" s="31"/>
      <c r="F36" s="31"/>
      <c r="G36" s="31"/>
      <c r="H36" s="50"/>
      <c r="I36" s="32"/>
      <c r="J36" s="32"/>
    </row>
    <row r="37" spans="1:10" ht="50" x14ac:dyDescent="0.35">
      <c r="A37" s="33">
        <v>28</v>
      </c>
      <c r="B37" s="34" t="s">
        <v>53</v>
      </c>
      <c r="C37" s="42" t="s">
        <v>10</v>
      </c>
      <c r="D37" s="45" t="s">
        <v>10</v>
      </c>
      <c r="E37" s="33"/>
      <c r="F37" s="33"/>
      <c r="G37" s="33"/>
      <c r="H37" s="33" t="s">
        <v>89</v>
      </c>
      <c r="I37" s="43" t="s">
        <v>113</v>
      </c>
      <c r="J37" s="36" t="s">
        <v>63</v>
      </c>
    </row>
    <row r="38" spans="1:10" ht="63" x14ac:dyDescent="0.35">
      <c r="A38" s="33">
        <v>29</v>
      </c>
      <c r="B38" s="34" t="s">
        <v>54</v>
      </c>
      <c r="C38" s="42" t="s">
        <v>62</v>
      </c>
      <c r="D38" s="44" t="s">
        <v>62</v>
      </c>
      <c r="E38" s="33"/>
      <c r="F38" s="33"/>
      <c r="G38" s="33"/>
      <c r="H38" s="33" t="s">
        <v>94</v>
      </c>
      <c r="I38" s="43" t="s">
        <v>114</v>
      </c>
      <c r="J38" s="36" t="s">
        <v>63</v>
      </c>
    </row>
    <row r="39" spans="1:10" ht="50.5" x14ac:dyDescent="0.35">
      <c r="A39" s="33">
        <v>30</v>
      </c>
      <c r="B39" s="34" t="s">
        <v>55</v>
      </c>
      <c r="C39" s="42" t="s">
        <v>62</v>
      </c>
      <c r="D39" s="45" t="s">
        <v>62</v>
      </c>
      <c r="E39" s="33"/>
      <c r="F39" s="33"/>
      <c r="G39" s="33"/>
      <c r="H39" s="33" t="s">
        <v>94</v>
      </c>
      <c r="I39" s="43" t="s">
        <v>115</v>
      </c>
      <c r="J39" s="36" t="s">
        <v>63</v>
      </c>
    </row>
    <row r="40" spans="1:10" ht="50.5" x14ac:dyDescent="0.35">
      <c r="A40" s="31"/>
      <c r="B40" s="34" t="s">
        <v>56</v>
      </c>
      <c r="C40" s="42" t="s">
        <v>10</v>
      </c>
      <c r="D40" s="44" t="s">
        <v>13</v>
      </c>
      <c r="E40" s="33"/>
      <c r="F40" s="33"/>
      <c r="G40" s="33"/>
      <c r="H40" s="33" t="s">
        <v>94</v>
      </c>
      <c r="I40" s="43" t="s">
        <v>116</v>
      </c>
      <c r="J40" s="36" t="s">
        <v>63</v>
      </c>
    </row>
    <row r="41" spans="1:10" ht="50" x14ac:dyDescent="0.35">
      <c r="A41" s="33">
        <v>1</v>
      </c>
      <c r="B41" s="34" t="s">
        <v>57</v>
      </c>
      <c r="C41" s="42" t="s">
        <v>15</v>
      </c>
      <c r="D41" s="33" t="s">
        <v>16</v>
      </c>
      <c r="E41" s="46" t="s">
        <v>62</v>
      </c>
      <c r="F41" s="33"/>
      <c r="G41" s="33"/>
      <c r="H41" s="33" t="s">
        <v>89</v>
      </c>
      <c r="I41" s="43" t="s">
        <v>95</v>
      </c>
      <c r="J41" s="36"/>
    </row>
    <row r="42" spans="1:10" ht="50" x14ac:dyDescent="0.35">
      <c r="A42" s="33">
        <v>2</v>
      </c>
      <c r="B42" s="34" t="s">
        <v>58</v>
      </c>
      <c r="C42" s="42" t="s">
        <v>62</v>
      </c>
      <c r="D42" s="46" t="s">
        <v>62</v>
      </c>
      <c r="E42" s="46" t="s">
        <v>62</v>
      </c>
      <c r="F42" s="33"/>
      <c r="G42" s="33"/>
      <c r="H42" s="33" t="s">
        <v>89</v>
      </c>
      <c r="I42" s="43" t="s">
        <v>95</v>
      </c>
      <c r="J42" s="36"/>
    </row>
    <row r="43" spans="1:10" ht="50" x14ac:dyDescent="0.35">
      <c r="A43" s="33">
        <v>10</v>
      </c>
      <c r="B43" s="34" t="s">
        <v>59</v>
      </c>
      <c r="C43" s="40" t="s">
        <v>12</v>
      </c>
      <c r="D43" s="45" t="s">
        <v>10</v>
      </c>
      <c r="E43" s="33"/>
      <c r="F43" s="33"/>
      <c r="G43" s="33"/>
      <c r="H43" s="33" t="s">
        <v>89</v>
      </c>
      <c r="I43" s="43" t="s">
        <v>95</v>
      </c>
      <c r="J43" s="36" t="s">
        <v>63</v>
      </c>
    </row>
    <row r="44" spans="1:10" ht="50" x14ac:dyDescent="0.35">
      <c r="A44" s="33">
        <v>11</v>
      </c>
      <c r="B44" s="34" t="s">
        <v>60</v>
      </c>
      <c r="C44" s="42" t="s">
        <v>62</v>
      </c>
      <c r="D44" s="33" t="s">
        <v>62</v>
      </c>
      <c r="E44" s="33"/>
      <c r="F44" s="33"/>
      <c r="G44" s="33"/>
      <c r="H44" s="33" t="s">
        <v>89</v>
      </c>
      <c r="I44" s="43" t="s">
        <v>95</v>
      </c>
      <c r="J44" s="36"/>
    </row>
    <row r="45" spans="1:10" ht="58" x14ac:dyDescent="0.35">
      <c r="A45" s="33">
        <v>1</v>
      </c>
      <c r="B45" s="34" t="s">
        <v>61</v>
      </c>
      <c r="C45" s="37" t="e">
        <f>VLOOKUP(B45,[2]REKOMENDASI!$D$50:$I$92,6,FALSE)</f>
        <v>#N/A</v>
      </c>
      <c r="D45" s="33"/>
      <c r="E45" s="33"/>
      <c r="F45" s="33"/>
      <c r="G45" s="33"/>
      <c r="H45" s="33" t="s">
        <v>10</v>
      </c>
      <c r="I45" s="36" t="s">
        <v>111</v>
      </c>
      <c r="J45" s="36" t="s">
        <v>117</v>
      </c>
    </row>
    <row r="46" spans="1:10" s="17" customFormat="1" x14ac:dyDescent="0.35"/>
    <row r="47" spans="1:10" x14ac:dyDescent="0.35">
      <c r="B47" s="2"/>
      <c r="I47" s="2"/>
      <c r="J47" s="2"/>
    </row>
    <row r="48" spans="1:10" x14ac:dyDescent="0.35">
      <c r="B48" s="2"/>
      <c r="I48" s="2"/>
      <c r="J48" s="2"/>
    </row>
    <row r="49" spans="2:10" x14ac:dyDescent="0.35">
      <c r="B49" s="2"/>
      <c r="I49" s="2"/>
      <c r="J49" s="2"/>
    </row>
    <row r="50" spans="2:10" x14ac:dyDescent="0.35">
      <c r="B50" s="2"/>
      <c r="I50" s="2"/>
      <c r="J50" s="2"/>
    </row>
    <row r="51" spans="2:10" x14ac:dyDescent="0.35">
      <c r="B51" s="2"/>
      <c r="I51" s="2"/>
      <c r="J51" s="2"/>
    </row>
    <row r="52" spans="2:10" x14ac:dyDescent="0.35">
      <c r="B52" s="2"/>
      <c r="I52" s="2"/>
      <c r="J52" s="2"/>
    </row>
    <row r="53" spans="2:10" x14ac:dyDescent="0.35">
      <c r="B53" s="2"/>
      <c r="I53" s="2"/>
      <c r="J53" s="2"/>
    </row>
    <row r="54" spans="2:10" x14ac:dyDescent="0.35">
      <c r="B54" s="2"/>
      <c r="I54" s="2"/>
      <c r="J54" s="2"/>
    </row>
    <row r="55" spans="2:10" x14ac:dyDescent="0.35">
      <c r="B55" s="2"/>
      <c r="I55" s="2"/>
      <c r="J55" s="2"/>
    </row>
    <row r="56" spans="2:10" x14ac:dyDescent="0.35">
      <c r="B56" s="2"/>
      <c r="I56" s="2"/>
      <c r="J56" s="2"/>
    </row>
    <row r="57" spans="2:10" x14ac:dyDescent="0.35">
      <c r="B57" s="2"/>
      <c r="I57" s="2"/>
      <c r="J57" s="2"/>
    </row>
    <row r="58" spans="2:10" x14ac:dyDescent="0.35">
      <c r="B58" s="2"/>
      <c r="I58" s="2"/>
      <c r="J58" s="2"/>
    </row>
    <row r="59" spans="2:10" x14ac:dyDescent="0.35">
      <c r="B59" s="2"/>
      <c r="I59" s="2"/>
      <c r="J59" s="2"/>
    </row>
    <row r="60" spans="2:10" x14ac:dyDescent="0.35">
      <c r="B60" s="2"/>
      <c r="I60" s="2"/>
      <c r="J60" s="2"/>
    </row>
    <row r="61" spans="2:10" x14ac:dyDescent="0.35">
      <c r="B61" s="2"/>
      <c r="I61" s="2"/>
      <c r="J61" s="2"/>
    </row>
    <row r="62" spans="2:10" x14ac:dyDescent="0.35">
      <c r="B62" s="2"/>
      <c r="I62" s="2"/>
      <c r="J62" s="2"/>
    </row>
    <row r="63" spans="2:10" x14ac:dyDescent="0.35">
      <c r="B63" s="2"/>
      <c r="I63" s="2"/>
      <c r="J63" s="2"/>
    </row>
    <row r="64" spans="2:10" x14ac:dyDescent="0.35">
      <c r="B64" s="2"/>
      <c r="I64" s="2"/>
      <c r="J64" s="2"/>
    </row>
    <row r="65" spans="2:10" x14ac:dyDescent="0.35">
      <c r="B65" s="2"/>
      <c r="I65" s="2"/>
      <c r="J65" s="2"/>
    </row>
    <row r="66" spans="2:10" x14ac:dyDescent="0.35">
      <c r="B66" s="2"/>
      <c r="I66" s="2"/>
      <c r="J66" s="2"/>
    </row>
    <row r="67" spans="2:10" x14ac:dyDescent="0.35">
      <c r="B67" s="2"/>
      <c r="I67" s="2"/>
      <c r="J67" s="2"/>
    </row>
    <row r="68" spans="2:10" x14ac:dyDescent="0.35">
      <c r="B68" s="2"/>
      <c r="I68" s="2"/>
      <c r="J68" s="2"/>
    </row>
    <row r="69" spans="2:10" x14ac:dyDescent="0.35">
      <c r="B69" s="2"/>
      <c r="I69" s="2"/>
      <c r="J69" s="2"/>
    </row>
    <row r="70" spans="2:10" x14ac:dyDescent="0.35">
      <c r="B70" s="2"/>
      <c r="I70" s="2"/>
      <c r="J70" s="2"/>
    </row>
    <row r="71" spans="2:10" s="17" customFormat="1" x14ac:dyDescent="0.35"/>
    <row r="72" spans="2:10" x14ac:dyDescent="0.35">
      <c r="B72" s="2"/>
      <c r="I72" s="2"/>
      <c r="J72" s="2"/>
    </row>
    <row r="73" spans="2:10" x14ac:dyDescent="0.35">
      <c r="B73" s="2"/>
      <c r="I73" s="2"/>
      <c r="J73" s="2"/>
    </row>
    <row r="74" spans="2:10" x14ac:dyDescent="0.35">
      <c r="B74" s="2"/>
      <c r="I74" s="2"/>
      <c r="J74" s="2"/>
    </row>
    <row r="75" spans="2:10" x14ac:dyDescent="0.35">
      <c r="B75" s="2"/>
      <c r="I75" s="2"/>
      <c r="J75" s="2"/>
    </row>
    <row r="76" spans="2:10" x14ac:dyDescent="0.35">
      <c r="B76" s="2"/>
      <c r="I76" s="2"/>
      <c r="J76" s="2"/>
    </row>
    <row r="77" spans="2:10" x14ac:dyDescent="0.35">
      <c r="B77" s="2"/>
      <c r="I77" s="2"/>
      <c r="J77" s="2"/>
    </row>
    <row r="78" spans="2:10" x14ac:dyDescent="0.35">
      <c r="B78" s="2"/>
      <c r="I78" s="2"/>
      <c r="J78" s="2"/>
    </row>
    <row r="79" spans="2:10" x14ac:dyDescent="0.35">
      <c r="B79" s="2"/>
      <c r="I79" s="2"/>
      <c r="J79" s="2"/>
    </row>
    <row r="80" spans="2:10" x14ac:dyDescent="0.35">
      <c r="B80" s="2"/>
      <c r="I80" s="2"/>
      <c r="J80" s="2"/>
    </row>
    <row r="81" spans="2:10" x14ac:dyDescent="0.35">
      <c r="B81" s="2"/>
      <c r="I81" s="2"/>
      <c r="J81" s="2"/>
    </row>
    <row r="82" spans="2:10" x14ac:dyDescent="0.35">
      <c r="B82" s="2"/>
      <c r="I82" s="2"/>
      <c r="J82" s="2"/>
    </row>
    <row r="83" spans="2:10" x14ac:dyDescent="0.35">
      <c r="B83" s="2"/>
      <c r="I83" s="2"/>
      <c r="J83" s="2"/>
    </row>
    <row r="84" spans="2:10" x14ac:dyDescent="0.35">
      <c r="B84" s="2"/>
      <c r="I84" s="2"/>
      <c r="J84" s="2"/>
    </row>
    <row r="85" spans="2:10" x14ac:dyDescent="0.35">
      <c r="B85" s="2"/>
      <c r="I85" s="2"/>
      <c r="J85" s="2"/>
    </row>
    <row r="86" spans="2:10" x14ac:dyDescent="0.35">
      <c r="B86" s="2"/>
      <c r="I86" s="2"/>
      <c r="J86" s="2"/>
    </row>
    <row r="87" spans="2:10" x14ac:dyDescent="0.35">
      <c r="B87" s="2"/>
      <c r="I87" s="2"/>
      <c r="J87" s="2"/>
    </row>
    <row r="88" spans="2:10" x14ac:dyDescent="0.35">
      <c r="B88" s="2"/>
      <c r="I88" s="2"/>
      <c r="J88" s="2"/>
    </row>
    <row r="89" spans="2:10" x14ac:dyDescent="0.35">
      <c r="B89" s="2"/>
      <c r="I89" s="2"/>
      <c r="J89" s="2"/>
    </row>
    <row r="90" spans="2:10" x14ac:dyDescent="0.35">
      <c r="B90" s="2"/>
      <c r="I90" s="2"/>
      <c r="J90" s="2"/>
    </row>
    <row r="91" spans="2:10" x14ac:dyDescent="0.35">
      <c r="B91" s="2"/>
      <c r="I91" s="2"/>
      <c r="J91" s="2"/>
    </row>
    <row r="92" spans="2:10" x14ac:dyDescent="0.35">
      <c r="B92" s="2"/>
      <c r="I92" s="2"/>
      <c r="J92" s="2"/>
    </row>
    <row r="93" spans="2:10" x14ac:dyDescent="0.35">
      <c r="B93" s="2"/>
      <c r="I93" s="2"/>
      <c r="J93" s="2"/>
    </row>
    <row r="94" spans="2:10" x14ac:dyDescent="0.35">
      <c r="B94" s="2"/>
      <c r="I94" s="2"/>
      <c r="J94" s="2"/>
    </row>
    <row r="95" spans="2:10" x14ac:dyDescent="0.35">
      <c r="B95" s="2"/>
      <c r="I95" s="2"/>
      <c r="J95" s="2"/>
    </row>
    <row r="96" spans="2:10" x14ac:dyDescent="0.35">
      <c r="B96" s="2"/>
      <c r="I96" s="2"/>
      <c r="J96" s="2"/>
    </row>
    <row r="97" spans="2:10" x14ac:dyDescent="0.35">
      <c r="B97" s="2"/>
      <c r="I97" s="2"/>
      <c r="J97" s="2"/>
    </row>
    <row r="98" spans="2:10" x14ac:dyDescent="0.35">
      <c r="B98" s="2"/>
      <c r="I98" s="2"/>
      <c r="J98" s="2"/>
    </row>
    <row r="99" spans="2:10" x14ac:dyDescent="0.35">
      <c r="B99" s="2"/>
      <c r="I99" s="2"/>
      <c r="J99" s="2"/>
    </row>
    <row r="100" spans="2:10" x14ac:dyDescent="0.35">
      <c r="B100" s="2"/>
      <c r="I100" s="2"/>
      <c r="J100" s="2"/>
    </row>
    <row r="101" spans="2:10" x14ac:dyDescent="0.35">
      <c r="B101" s="2"/>
      <c r="I101" s="2"/>
      <c r="J101" s="2"/>
    </row>
    <row r="102" spans="2:10" x14ac:dyDescent="0.35">
      <c r="B102" s="2"/>
      <c r="I102" s="2"/>
      <c r="J102" s="2"/>
    </row>
    <row r="103" spans="2:10" x14ac:dyDescent="0.35">
      <c r="B103" s="2"/>
      <c r="I103" s="2"/>
      <c r="J103" s="2"/>
    </row>
    <row r="104" spans="2:10" x14ac:dyDescent="0.35">
      <c r="B104" s="2"/>
      <c r="I104" s="2"/>
      <c r="J104" s="2"/>
    </row>
    <row r="105" spans="2:10" x14ac:dyDescent="0.35">
      <c r="B105" s="2"/>
      <c r="I105" s="2"/>
      <c r="J105" s="2"/>
    </row>
    <row r="106" spans="2:10" x14ac:dyDescent="0.35">
      <c r="B106" s="2"/>
      <c r="I106" s="2"/>
      <c r="J106" s="2"/>
    </row>
    <row r="107" spans="2:10" x14ac:dyDescent="0.35">
      <c r="B107" s="2"/>
      <c r="I107" s="2"/>
      <c r="J107" s="2"/>
    </row>
    <row r="108" spans="2:10" x14ac:dyDescent="0.35">
      <c r="B108" s="2"/>
      <c r="I108" s="2"/>
      <c r="J108" s="2"/>
    </row>
    <row r="109" spans="2:10" x14ac:dyDescent="0.35">
      <c r="B109" s="2"/>
      <c r="I109" s="2"/>
      <c r="J109" s="2"/>
    </row>
    <row r="110" spans="2:10" x14ac:dyDescent="0.35">
      <c r="B110" s="2"/>
      <c r="I110" s="2"/>
      <c r="J110" s="2"/>
    </row>
    <row r="111" spans="2:10" x14ac:dyDescent="0.35">
      <c r="B111" s="2"/>
      <c r="I111" s="2"/>
      <c r="J111" s="2"/>
    </row>
    <row r="112" spans="2:10" s="17" customFormat="1" x14ac:dyDescent="0.35"/>
    <row r="113" spans="2:10" x14ac:dyDescent="0.35">
      <c r="B113" s="2"/>
      <c r="I113" s="2"/>
      <c r="J113" s="2"/>
    </row>
    <row r="114" spans="2:10" x14ac:dyDescent="0.35">
      <c r="B114" s="2"/>
      <c r="I114" s="2"/>
      <c r="J114" s="2"/>
    </row>
    <row r="115" spans="2:10" x14ac:dyDescent="0.35">
      <c r="B115" s="2"/>
      <c r="I115" s="2"/>
      <c r="J115" s="2"/>
    </row>
    <row r="116" spans="2:10" x14ac:dyDescent="0.35">
      <c r="B116" s="2"/>
      <c r="I116" s="2"/>
      <c r="J116" s="2"/>
    </row>
    <row r="117" spans="2:10" x14ac:dyDescent="0.35">
      <c r="B117" s="2"/>
      <c r="I117" s="2"/>
      <c r="J117" s="2"/>
    </row>
    <row r="118" spans="2:10" x14ac:dyDescent="0.35">
      <c r="B118" s="2"/>
      <c r="I118" s="2"/>
      <c r="J118" s="2"/>
    </row>
    <row r="119" spans="2:10" x14ac:dyDescent="0.35">
      <c r="B119" s="2"/>
      <c r="I119" s="2"/>
      <c r="J119" s="2"/>
    </row>
    <row r="120" spans="2:10" x14ac:dyDescent="0.35">
      <c r="B120" s="2"/>
      <c r="I120" s="2"/>
      <c r="J120" s="2"/>
    </row>
    <row r="121" spans="2:10" x14ac:dyDescent="0.35">
      <c r="B121" s="2"/>
      <c r="I121" s="2"/>
      <c r="J121" s="2"/>
    </row>
    <row r="122" spans="2:10" x14ac:dyDescent="0.35">
      <c r="B122" s="2"/>
      <c r="I122" s="2"/>
      <c r="J122" s="2"/>
    </row>
    <row r="123" spans="2:10" x14ac:dyDescent="0.35">
      <c r="B123" s="2"/>
      <c r="I123" s="2"/>
      <c r="J123" s="2"/>
    </row>
    <row r="124" spans="2:10" x14ac:dyDescent="0.35">
      <c r="B124" s="2"/>
      <c r="I124" s="2"/>
      <c r="J124" s="2"/>
    </row>
    <row r="125" spans="2:10" x14ac:dyDescent="0.35">
      <c r="B125" s="2"/>
      <c r="I125" s="2"/>
      <c r="J125" s="2"/>
    </row>
    <row r="126" spans="2:10" x14ac:dyDescent="0.35">
      <c r="B126" s="2"/>
      <c r="I126" s="2"/>
      <c r="J126" s="2"/>
    </row>
    <row r="127" spans="2:10" x14ac:dyDescent="0.35">
      <c r="B127" s="2"/>
      <c r="I127" s="2"/>
      <c r="J127" s="2"/>
    </row>
    <row r="128" spans="2:10" x14ac:dyDescent="0.35">
      <c r="B128" s="2"/>
      <c r="I128" s="2"/>
      <c r="J128" s="2"/>
    </row>
    <row r="129" spans="2:10" x14ac:dyDescent="0.35">
      <c r="B129" s="2"/>
      <c r="I129" s="2"/>
      <c r="J129" s="2"/>
    </row>
    <row r="130" spans="2:10" x14ac:dyDescent="0.35">
      <c r="B130" s="2"/>
      <c r="I130" s="2"/>
      <c r="J130" s="2"/>
    </row>
    <row r="131" spans="2:10" x14ac:dyDescent="0.35">
      <c r="B131" s="2"/>
      <c r="I131" s="2"/>
      <c r="J131" s="2"/>
    </row>
    <row r="132" spans="2:10" x14ac:dyDescent="0.35">
      <c r="B132" s="2"/>
      <c r="I132" s="2"/>
      <c r="J132" s="2"/>
    </row>
    <row r="133" spans="2:10" x14ac:dyDescent="0.35">
      <c r="B133" s="2"/>
      <c r="I133" s="2"/>
      <c r="J133" s="2"/>
    </row>
    <row r="134" spans="2:10" x14ac:dyDescent="0.35">
      <c r="B134" s="2"/>
      <c r="I134" s="2"/>
      <c r="J134" s="2"/>
    </row>
    <row r="135" spans="2:10" x14ac:dyDescent="0.35">
      <c r="B135" s="2"/>
      <c r="I135" s="2"/>
      <c r="J135" s="2"/>
    </row>
    <row r="136" spans="2:10" x14ac:dyDescent="0.35">
      <c r="B136" s="2"/>
      <c r="I136" s="2"/>
      <c r="J136" s="2"/>
    </row>
    <row r="137" spans="2:10" x14ac:dyDescent="0.35">
      <c r="B137" s="2"/>
      <c r="I137" s="2"/>
      <c r="J137" s="2"/>
    </row>
    <row r="138" spans="2:10" x14ac:dyDescent="0.35">
      <c r="B138" s="2"/>
      <c r="I138" s="2"/>
      <c r="J138" s="2"/>
    </row>
    <row r="139" spans="2:10" x14ac:dyDescent="0.35">
      <c r="B139" s="2"/>
      <c r="I139" s="2"/>
      <c r="J139" s="2"/>
    </row>
    <row r="140" spans="2:10" x14ac:dyDescent="0.35">
      <c r="B140" s="2"/>
      <c r="I140" s="2"/>
      <c r="J140" s="2"/>
    </row>
    <row r="141" spans="2:10" x14ac:dyDescent="0.35">
      <c r="B141" s="2"/>
      <c r="I141" s="2"/>
      <c r="J141" s="2"/>
    </row>
    <row r="142" spans="2:10" x14ac:dyDescent="0.35">
      <c r="B142" s="2"/>
      <c r="I142" s="2"/>
      <c r="J142" s="2"/>
    </row>
    <row r="143" spans="2:10" x14ac:dyDescent="0.35">
      <c r="B143" s="2"/>
      <c r="I143" s="2"/>
      <c r="J143" s="2"/>
    </row>
    <row r="144" spans="2:10" x14ac:dyDescent="0.35">
      <c r="B144" s="2"/>
      <c r="I144" s="2"/>
      <c r="J144" s="2"/>
    </row>
    <row r="145" spans="2:10" x14ac:dyDescent="0.35">
      <c r="B145" s="2"/>
      <c r="I145" s="2"/>
      <c r="J145" s="2"/>
    </row>
  </sheetData>
  <mergeCells count="10">
    <mergeCell ref="J13:J14"/>
    <mergeCell ref="A1:B4"/>
    <mergeCell ref="C1:I1"/>
    <mergeCell ref="C2:I2"/>
    <mergeCell ref="C3:I3"/>
    <mergeCell ref="C4:I4"/>
    <mergeCell ref="A13:A14"/>
    <mergeCell ref="B13:B14"/>
    <mergeCell ref="I13:I14"/>
    <mergeCell ref="C13:H13"/>
  </mergeCells>
  <phoneticPr fontId="6" type="noConversion"/>
  <conditionalFormatting sqref="I22 C45">
    <cfRule type="cellIs" dxfId="128" priority="435" operator="equal">
      <formula>"ALARM"</formula>
    </cfRule>
    <cfRule type="cellIs" dxfId="127" priority="436" operator="equal">
      <formula>"WARNING"</formula>
    </cfRule>
    <cfRule type="cellIs" dxfId="126" priority="437" operator="equal">
      <formula>"PREWARNING"</formula>
    </cfRule>
    <cfRule type="cellIs" dxfId="125" priority="438" operator="equal">
      <formula>"NORMAL"</formula>
    </cfRule>
  </conditionalFormatting>
  <conditionalFormatting sqref="C16:C24 C26:C33 C37:C44">
    <cfRule type="cellIs" dxfId="124" priority="424" operator="between">
      <formula>"PREWARNING"</formula>
      <formula>"PREWARNING"</formula>
    </cfRule>
    <cfRule type="cellIs" dxfId="123" priority="425" operator="between">
      <formula>"STAND BY"</formula>
      <formula>"STAND BY"</formula>
    </cfRule>
    <cfRule type="cellIs" dxfId="122" priority="426" operator="between">
      <formula>"NORMAL"</formula>
      <formula>"NORMAL"</formula>
    </cfRule>
  </conditionalFormatting>
  <conditionalFormatting sqref="I19:I21">
    <cfRule type="cellIs" dxfId="121" priority="410" operator="equal">
      <formula>"ALARM"</formula>
    </cfRule>
    <cfRule type="cellIs" dxfId="120" priority="411" operator="equal">
      <formula>"WARNING"</formula>
    </cfRule>
    <cfRule type="cellIs" dxfId="119" priority="412" operator="equal">
      <formula>"PREWARNING"</formula>
    </cfRule>
    <cfRule type="cellIs" dxfId="118" priority="413" operator="equal">
      <formula>"NORMAL"</formula>
    </cfRule>
  </conditionalFormatting>
  <conditionalFormatting sqref="I23 S23:T23 AC23:AD23 AM23:AN23 AW23:AX23">
    <cfRule type="cellIs" dxfId="117" priority="398" operator="equal">
      <formula>"ALARM"</formula>
    </cfRule>
    <cfRule type="cellIs" dxfId="116" priority="399" operator="equal">
      <formula>"WARNING"</formula>
    </cfRule>
    <cfRule type="cellIs" dxfId="115" priority="400" operator="equal">
      <formula>"PREWARNING"</formula>
    </cfRule>
    <cfRule type="cellIs" dxfId="114" priority="401" operator="equal">
      <formula>"NORMAL"</formula>
    </cfRule>
  </conditionalFormatting>
  <conditionalFormatting sqref="S26:T31 AC26:AD31 AM26:AN31 AW26:AX31 I26:I31">
    <cfRule type="cellIs" dxfId="113" priority="386" operator="equal">
      <formula>"ALARM"</formula>
    </cfRule>
    <cfRule type="cellIs" dxfId="112" priority="387" operator="equal">
      <formula>"WARNING"</formula>
    </cfRule>
    <cfRule type="cellIs" dxfId="111" priority="388" operator="equal">
      <formula>"PREWARNING"</formula>
    </cfRule>
    <cfRule type="cellIs" dxfId="110" priority="389" operator="equal">
      <formula>"NORMAL"</formula>
    </cfRule>
  </conditionalFormatting>
  <conditionalFormatting sqref="S32:T33 AC32:AD33 AM32:AN33 AW32:AX33 I32:I33">
    <cfRule type="cellIs" dxfId="109" priority="358" operator="equal">
      <formula>"ALARM"</formula>
    </cfRule>
    <cfRule type="cellIs" dxfId="108" priority="359" operator="equal">
      <formula>"WARNING"</formula>
    </cfRule>
    <cfRule type="cellIs" dxfId="107" priority="360" operator="equal">
      <formula>"PREWARNING"</formula>
    </cfRule>
    <cfRule type="cellIs" dxfId="106" priority="361" operator="equal">
      <formula>"NORMAL"</formula>
    </cfRule>
  </conditionalFormatting>
  <conditionalFormatting sqref="S37:T40 AC37:AD40 AM37:AN40 AW37:AX40 I37:I40">
    <cfRule type="cellIs" dxfId="105" priority="354" operator="equal">
      <formula>"ALARM"</formula>
    </cfRule>
    <cfRule type="cellIs" dxfId="104" priority="355" operator="equal">
      <formula>"WARNING"</formula>
    </cfRule>
    <cfRule type="cellIs" dxfId="103" priority="356" operator="equal">
      <formula>"PREWARNING"</formula>
    </cfRule>
    <cfRule type="cellIs" dxfId="102" priority="357" operator="equal">
      <formula>"NORMAL"</formula>
    </cfRule>
  </conditionalFormatting>
  <conditionalFormatting sqref="S41:T42 AC41:AD42 AM41:AN42 AW41:AX42">
    <cfRule type="cellIs" dxfId="101" priority="350" operator="equal">
      <formula>"ALARM"</formula>
    </cfRule>
    <cfRule type="cellIs" dxfId="100" priority="351" operator="equal">
      <formula>"WARNING"</formula>
    </cfRule>
    <cfRule type="cellIs" dxfId="99" priority="352" operator="equal">
      <formula>"PREWARNING"</formula>
    </cfRule>
    <cfRule type="cellIs" dxfId="98" priority="353" operator="equal">
      <formula>"NORMAL"</formula>
    </cfRule>
  </conditionalFormatting>
  <conditionalFormatting sqref="S43:T44 AC43:AD44 AM43:AN44 AW43:AX44 I43:I44">
    <cfRule type="cellIs" dxfId="97" priority="330" operator="equal">
      <formula>"ALARM"</formula>
    </cfRule>
    <cfRule type="cellIs" dxfId="96" priority="331" operator="equal">
      <formula>"WARNING"</formula>
    </cfRule>
    <cfRule type="cellIs" dxfId="95" priority="332" operator="equal">
      <formula>"PREWARNING"</formula>
    </cfRule>
    <cfRule type="cellIs" dxfId="94" priority="333" operator="equal">
      <formula>"NORMAL"</formula>
    </cfRule>
  </conditionalFormatting>
  <conditionalFormatting sqref="C16:C45">
    <cfRule type="cellIs" dxfId="93" priority="298" operator="between">
      <formula>"ALARM"</formula>
      <formula>"ALARM"</formula>
    </cfRule>
    <cfRule type="cellIs" dxfId="92" priority="299" operator="between">
      <formula>"WARNING"</formula>
      <formula>"WARNING"</formula>
    </cfRule>
  </conditionalFormatting>
  <conditionalFormatting sqref="D16:D45">
    <cfRule type="cellIs" priority="293" operator="between">
      <formula>"CRITICAL"</formula>
      <formula>"CRITICAL"</formula>
    </cfRule>
    <cfRule type="cellIs" dxfId="91" priority="294" operator="between">
      <formula>"HIGH"</formula>
      <formula>"HIGH"</formula>
    </cfRule>
    <cfRule type="cellIs" dxfId="90" priority="295" operator="between">
      <formula>"MEDIUM"</formula>
      <formula>"MEDIUM"</formula>
    </cfRule>
    <cfRule type="cellIs" dxfId="89" priority="296" operator="between">
      <formula>"LOW"</formula>
      <formula>"LOW"</formula>
    </cfRule>
    <cfRule type="cellIs" dxfId="88" priority="297" operator="between">
      <formula>"NORMAL"</formula>
      <formula>"NORMAL"</formula>
    </cfRule>
  </conditionalFormatting>
  <conditionalFormatting sqref="E16:E45">
    <cfRule type="cellIs" dxfId="87" priority="290" operator="between">
      <formula>"HIGH"</formula>
      <formula>"HIGH"</formula>
    </cfRule>
    <cfRule type="cellIs" dxfId="86" priority="291" operator="between">
      <formula>"ALARM"</formula>
      <formula>"ALARM"</formula>
    </cfRule>
    <cfRule type="cellIs" dxfId="85" priority="292" operator="between">
      <formula>"NORMAL"</formula>
      <formula>"NORMAL"</formula>
    </cfRule>
  </conditionalFormatting>
  <conditionalFormatting sqref="F16:F45">
    <cfRule type="cellIs" dxfId="84" priority="285" operator="between">
      <formula>"HIGH"</formula>
      <formula>"HIGH"</formula>
    </cfRule>
    <cfRule type="cellIs" dxfId="83" priority="286" operator="between">
      <formula>"MODERATE"</formula>
      <formula>"MODERATE"</formula>
    </cfRule>
    <cfRule type="cellIs" dxfId="82" priority="287" operator="between">
      <formula>"TYPICAL"</formula>
      <formula>"TYPICAL"</formula>
    </cfRule>
    <cfRule type="cellIs" dxfId="81" priority="288" operator="between">
      <formula>"LOW"</formula>
      <formula>"LOW"</formula>
    </cfRule>
    <cfRule type="cellIs" dxfId="80" priority="289" operator="between">
      <formula>"NEGLIGIBLE"</formula>
      <formula>"NEGLIGIBLE"</formula>
    </cfRule>
  </conditionalFormatting>
  <conditionalFormatting sqref="G16:G45">
    <cfRule type="cellIs" dxfId="79" priority="281" operator="between">
      <formula>"HIGH"</formula>
      <formula>"HIGH"</formula>
    </cfRule>
    <cfRule type="cellIs" dxfId="78" priority="282" operator="between">
      <formula>"ALARM"</formula>
      <formula>"ALARM"</formula>
    </cfRule>
    <cfRule type="cellIs" dxfId="77" priority="283" operator="between">
      <formula>"LOW"</formula>
      <formula>"LOW"</formula>
    </cfRule>
    <cfRule type="cellIs" dxfId="76" priority="284" operator="between">
      <formula>"NORMAL"</formula>
      <formula>"NORMAL"</formula>
    </cfRule>
  </conditionalFormatting>
  <conditionalFormatting sqref="H22 H16:H17 H25:H27 H32:H34 H41:H44 H36">
    <cfRule type="cellIs" dxfId="75" priority="278" operator="between">
      <formula>"ALARM"</formula>
      <formula>"ALARM"</formula>
    </cfRule>
    <cfRule type="cellIs" dxfId="74" priority="279" operator="between">
      <formula>"WARNING"</formula>
      <formula>"WARNING"</formula>
    </cfRule>
    <cfRule type="cellIs" dxfId="73" priority="280" operator="between">
      <formula>"NORMAL"</formula>
      <formula>"NORMAL"</formula>
    </cfRule>
  </conditionalFormatting>
  <conditionalFormatting sqref="C23:G24 C22:H22 C16:H17 C18:G21 C25:H27 C28:G31 C32:H34 C41:H44 C36:H36 C35:G35 C45:G45 C37:G40">
    <cfRule type="cellIs" dxfId="72" priority="277" operator="between">
      <formula>"STAND BY"</formula>
      <formula>"STAND BY"</formula>
    </cfRule>
  </conditionalFormatting>
  <conditionalFormatting sqref="I41">
    <cfRule type="cellIs" dxfId="71" priority="77" operator="equal">
      <formula>"ALARM"</formula>
    </cfRule>
    <cfRule type="cellIs" dxfId="70" priority="78" operator="equal">
      <formula>"WARNING"</formula>
    </cfRule>
    <cfRule type="cellIs" dxfId="69" priority="79" operator="equal">
      <formula>"PREWARNING"</formula>
    </cfRule>
    <cfRule type="cellIs" dxfId="68" priority="80" operator="equal">
      <formula>"NORMAL"</formula>
    </cfRule>
  </conditionalFormatting>
  <conditionalFormatting sqref="I42">
    <cfRule type="cellIs" dxfId="67" priority="73" operator="equal">
      <formula>"ALARM"</formula>
    </cfRule>
    <cfRule type="cellIs" dxfId="66" priority="74" operator="equal">
      <formula>"WARNING"</formula>
    </cfRule>
    <cfRule type="cellIs" dxfId="65" priority="75" operator="equal">
      <formula>"PREWARNING"</formula>
    </cfRule>
    <cfRule type="cellIs" dxfId="64" priority="76" operator="equal">
      <formula>"NORMAL"</formula>
    </cfRule>
  </conditionalFormatting>
  <conditionalFormatting sqref="H23">
    <cfRule type="cellIs" dxfId="63" priority="70" operator="between">
      <formula>"ALARM"</formula>
      <formula>"ALARM"</formula>
    </cfRule>
    <cfRule type="cellIs" dxfId="62" priority="71" operator="between">
      <formula>"WARNING"</formula>
      <formula>"WARNING"</formula>
    </cfRule>
    <cfRule type="cellIs" dxfId="61" priority="72" operator="between">
      <formula>"NORMAL"</formula>
      <formula>"NORMAL"</formula>
    </cfRule>
  </conditionalFormatting>
  <conditionalFormatting sqref="H23">
    <cfRule type="cellIs" dxfId="60" priority="69" operator="between">
      <formula>"STAND BY"</formula>
      <formula>"STAND BY"</formula>
    </cfRule>
  </conditionalFormatting>
  <conditionalFormatting sqref="H19">
    <cfRule type="cellIs" dxfId="59" priority="66" operator="between">
      <formula>"ALARM"</formula>
      <formula>"ALARM"</formula>
    </cfRule>
    <cfRule type="cellIs" dxfId="58" priority="67" operator="between">
      <formula>"WARNING"</formula>
      <formula>"WARNING"</formula>
    </cfRule>
    <cfRule type="cellIs" dxfId="57" priority="68" operator="between">
      <formula>"NORMAL"</formula>
      <formula>"NORMAL"</formula>
    </cfRule>
  </conditionalFormatting>
  <conditionalFormatting sqref="H19">
    <cfRule type="cellIs" dxfId="56" priority="65" operator="between">
      <formula>"STAND BY"</formula>
      <formula>"STAND BY"</formula>
    </cfRule>
  </conditionalFormatting>
  <conditionalFormatting sqref="H21">
    <cfRule type="cellIs" dxfId="55" priority="62" operator="between">
      <formula>"ALARM"</formula>
      <formula>"ALARM"</formula>
    </cfRule>
    <cfRule type="cellIs" dxfId="54" priority="63" operator="between">
      <formula>"WARNING"</formula>
      <formula>"WARNING"</formula>
    </cfRule>
    <cfRule type="cellIs" dxfId="53" priority="64" operator="between">
      <formula>"NORMAL"</formula>
      <formula>"NORMAL"</formula>
    </cfRule>
  </conditionalFormatting>
  <conditionalFormatting sqref="H21">
    <cfRule type="cellIs" dxfId="52" priority="61" operator="between">
      <formula>"STAND BY"</formula>
      <formula>"STAND BY"</formula>
    </cfRule>
  </conditionalFormatting>
  <conditionalFormatting sqref="H20">
    <cfRule type="cellIs" dxfId="51" priority="54" operator="between">
      <formula>"ALARM"</formula>
      <formula>"ALARM"</formula>
    </cfRule>
    <cfRule type="cellIs" dxfId="50" priority="55" operator="between">
      <formula>"WARNING"</formula>
      <formula>"WARNING"</formula>
    </cfRule>
    <cfRule type="cellIs" dxfId="49" priority="56" operator="between">
      <formula>"NORMAL"</formula>
      <formula>"NORMAL"</formula>
    </cfRule>
  </conditionalFormatting>
  <conditionalFormatting sqref="H20">
    <cfRule type="cellIs" dxfId="48" priority="53" operator="between">
      <formula>"STAND BY"</formula>
      <formula>"STAND BY"</formula>
    </cfRule>
  </conditionalFormatting>
  <conditionalFormatting sqref="H18">
    <cfRule type="cellIs" dxfId="47" priority="50" operator="between">
      <formula>"ALARM"</formula>
      <formula>"ALARM"</formula>
    </cfRule>
    <cfRule type="cellIs" dxfId="46" priority="51" operator="between">
      <formula>"WARNING"</formula>
      <formula>"WARNING"</formula>
    </cfRule>
    <cfRule type="cellIs" dxfId="45" priority="52" operator="between">
      <formula>"NORMAL"</formula>
      <formula>"NORMAL"</formula>
    </cfRule>
  </conditionalFormatting>
  <conditionalFormatting sqref="H18">
    <cfRule type="cellIs" dxfId="44" priority="49" operator="between">
      <formula>"STAND BY"</formula>
      <formula>"STAND BY"</formula>
    </cfRule>
  </conditionalFormatting>
  <conditionalFormatting sqref="H31">
    <cfRule type="cellIs" dxfId="43" priority="46" operator="between">
      <formula>"ALARM"</formula>
      <formula>"ALARM"</formula>
    </cfRule>
    <cfRule type="cellIs" dxfId="42" priority="47" operator="between">
      <formula>"WARNING"</formula>
      <formula>"WARNING"</formula>
    </cfRule>
    <cfRule type="cellIs" dxfId="41" priority="48" operator="between">
      <formula>"NORMAL"</formula>
      <formula>"NORMAL"</formula>
    </cfRule>
  </conditionalFormatting>
  <conditionalFormatting sqref="H31">
    <cfRule type="cellIs" dxfId="40" priority="45" operator="between">
      <formula>"STAND BY"</formula>
      <formula>"STAND BY"</formula>
    </cfRule>
  </conditionalFormatting>
  <conditionalFormatting sqref="H30">
    <cfRule type="cellIs" dxfId="39" priority="42" operator="between">
      <formula>"ALARM"</formula>
      <formula>"ALARM"</formula>
    </cfRule>
    <cfRule type="cellIs" dxfId="38" priority="43" operator="between">
      <formula>"WARNING"</formula>
      <formula>"WARNING"</formula>
    </cfRule>
    <cfRule type="cellIs" dxfId="37" priority="44" operator="between">
      <formula>"NORMAL"</formula>
      <formula>"NORMAL"</formula>
    </cfRule>
  </conditionalFormatting>
  <conditionalFormatting sqref="H30">
    <cfRule type="cellIs" dxfId="36" priority="41" operator="between">
      <formula>"STAND BY"</formula>
      <formula>"STAND BY"</formula>
    </cfRule>
  </conditionalFormatting>
  <conditionalFormatting sqref="H29">
    <cfRule type="cellIs" dxfId="35" priority="38" operator="between">
      <formula>"ALARM"</formula>
      <formula>"ALARM"</formula>
    </cfRule>
    <cfRule type="cellIs" dxfId="34" priority="39" operator="between">
      <formula>"WARNING"</formula>
      <formula>"WARNING"</formula>
    </cfRule>
    <cfRule type="cellIs" dxfId="33" priority="40" operator="between">
      <formula>"NORMAL"</formula>
      <formula>"NORMAL"</formula>
    </cfRule>
  </conditionalFormatting>
  <conditionalFormatting sqref="H29">
    <cfRule type="cellIs" dxfId="32" priority="37" operator="between">
      <formula>"STAND BY"</formula>
      <formula>"STAND BY"</formula>
    </cfRule>
  </conditionalFormatting>
  <conditionalFormatting sqref="H28">
    <cfRule type="cellIs" dxfId="31" priority="34" operator="between">
      <formula>"ALARM"</formula>
      <formula>"ALARM"</formula>
    </cfRule>
    <cfRule type="cellIs" dxfId="30" priority="35" operator="between">
      <formula>"WARNING"</formula>
      <formula>"WARNING"</formula>
    </cfRule>
    <cfRule type="cellIs" dxfId="29" priority="36" operator="between">
      <formula>"NORMAL"</formula>
      <formula>"NORMAL"</formula>
    </cfRule>
  </conditionalFormatting>
  <conditionalFormatting sqref="H28">
    <cfRule type="cellIs" dxfId="28" priority="33" operator="between">
      <formula>"STAND BY"</formula>
      <formula>"STAND BY"</formula>
    </cfRule>
  </conditionalFormatting>
  <conditionalFormatting sqref="H24">
    <cfRule type="cellIs" dxfId="27" priority="30" operator="between">
      <formula>"ALARM"</formula>
      <formula>"ALARM"</formula>
    </cfRule>
    <cfRule type="cellIs" dxfId="26" priority="31" operator="between">
      <formula>"WARNING"</formula>
      <formula>"WARNING"</formula>
    </cfRule>
    <cfRule type="cellIs" dxfId="25" priority="32" operator="between">
      <formula>"NORMAL"</formula>
      <formula>"NORMAL"</formula>
    </cfRule>
  </conditionalFormatting>
  <conditionalFormatting sqref="H24">
    <cfRule type="cellIs" dxfId="24" priority="29" operator="between">
      <formula>"STAND BY"</formula>
      <formula>"STAND BY"</formula>
    </cfRule>
  </conditionalFormatting>
  <conditionalFormatting sqref="H35">
    <cfRule type="cellIs" dxfId="23" priority="26" operator="between">
      <formula>"ALARM"</formula>
      <formula>"ALARM"</formula>
    </cfRule>
    <cfRule type="cellIs" dxfId="22" priority="27" operator="between">
      <formula>"WARNING"</formula>
      <formula>"WARNING"</formula>
    </cfRule>
    <cfRule type="cellIs" dxfId="21" priority="28" operator="between">
      <formula>"NORMAL"</formula>
      <formula>"NORMAL"</formula>
    </cfRule>
  </conditionalFormatting>
  <conditionalFormatting sqref="H35">
    <cfRule type="cellIs" dxfId="20" priority="25" operator="between">
      <formula>"STAND BY"</formula>
      <formula>"STAND BY"</formula>
    </cfRule>
  </conditionalFormatting>
  <conditionalFormatting sqref="H45">
    <cfRule type="cellIs" dxfId="19" priority="18" operator="between">
      <formula>"ALARM"</formula>
      <formula>"ALARM"</formula>
    </cfRule>
    <cfRule type="cellIs" dxfId="18" priority="19" operator="between">
      <formula>"WARNING"</formula>
      <formula>"WARNING"</formula>
    </cfRule>
    <cfRule type="cellIs" dxfId="17" priority="20" operator="between">
      <formula>"NORMAL"</formula>
      <formula>"NORMAL"</formula>
    </cfRule>
  </conditionalFormatting>
  <conditionalFormatting sqref="H45">
    <cfRule type="cellIs" dxfId="16" priority="17" operator="between">
      <formula>"STAND BY"</formula>
      <formula>"STAND BY"</formula>
    </cfRule>
  </conditionalFormatting>
  <conditionalFormatting sqref="H38">
    <cfRule type="cellIs" dxfId="15" priority="14" operator="between">
      <formula>"ALARM"</formula>
      <formula>"ALARM"</formula>
    </cfRule>
    <cfRule type="cellIs" dxfId="14" priority="15" operator="between">
      <formula>"WARNING"</formula>
      <formula>"WARNING"</formula>
    </cfRule>
    <cfRule type="cellIs" dxfId="13" priority="16" operator="between">
      <formula>"NORMAL"</formula>
      <formula>"NORMAL"</formula>
    </cfRule>
  </conditionalFormatting>
  <conditionalFormatting sqref="H38">
    <cfRule type="cellIs" dxfId="12" priority="13" operator="between">
      <formula>"STAND BY"</formula>
      <formula>"STAND BY"</formula>
    </cfRule>
  </conditionalFormatting>
  <conditionalFormatting sqref="H37">
    <cfRule type="cellIs" dxfId="11" priority="10" operator="between">
      <formula>"ALARM"</formula>
      <formula>"ALARM"</formula>
    </cfRule>
    <cfRule type="cellIs" dxfId="10" priority="11" operator="between">
      <formula>"WARNING"</formula>
      <formula>"WARNING"</formula>
    </cfRule>
    <cfRule type="cellIs" dxfId="9" priority="12" operator="between">
      <formula>"NORMAL"</formula>
      <formula>"NORMAL"</formula>
    </cfRule>
  </conditionalFormatting>
  <conditionalFormatting sqref="H37">
    <cfRule type="cellIs" dxfId="8" priority="9" operator="between">
      <formula>"STAND BY"</formula>
      <formula>"STAND BY"</formula>
    </cfRule>
  </conditionalFormatting>
  <conditionalFormatting sqref="H39">
    <cfRule type="cellIs" dxfId="7" priority="6" operator="between">
      <formula>"ALARM"</formula>
      <formula>"ALARM"</formula>
    </cfRule>
    <cfRule type="cellIs" dxfId="6" priority="7" operator="between">
      <formula>"WARNING"</formula>
      <formula>"WARNING"</formula>
    </cfRule>
    <cfRule type="cellIs" dxfId="5" priority="8" operator="between">
      <formula>"NORMAL"</formula>
      <formula>"NORMAL"</formula>
    </cfRule>
  </conditionalFormatting>
  <conditionalFormatting sqref="H39">
    <cfRule type="cellIs" dxfId="4" priority="5" operator="between">
      <formula>"STAND BY"</formula>
      <formula>"STAND BY"</formula>
    </cfRule>
  </conditionalFormatting>
  <conditionalFormatting sqref="H40">
    <cfRule type="cellIs" dxfId="3" priority="2" operator="between">
      <formula>"ALARM"</formula>
      <formula>"ALARM"</formula>
    </cfRule>
    <cfRule type="cellIs" dxfId="2" priority="3" operator="between">
      <formula>"WARNING"</formula>
      <formula>"WARNING"</formula>
    </cfRule>
    <cfRule type="cellIs" dxfId="1" priority="4" operator="between">
      <formula>"NORMAL"</formula>
      <formula>"NORMAL"</formula>
    </cfRule>
  </conditionalFormatting>
  <conditionalFormatting sqref="H40">
    <cfRule type="cellIs" dxfId="0" priority="1" operator="between">
      <formula>"STAND BY"</formula>
      <formula>"STAND BY"</formula>
    </cfRule>
  </conditionalFormatting>
  <pageMargins left="0.23622047244094491" right="0.23622047244094491" top="0.74803149606299213" bottom="0.74803149606299213" header="0.31496062992125984" footer="0.31496062992125984"/>
  <pageSetup paperSize="66" scale="54" orientation="portrait" r:id="rId1"/>
  <headerFooter>
    <oddFooter>&amp;L&amp;K00-049PT. Indonesia Power UJP PLTU Jeranjang
Jl. Raya PLTU Jeranjang, Desa Taman Ayu – Kec. Gerung
Lombok Barat – Mataram - NTB</oddFooter>
  </headerFooter>
  <rowBreaks count="2" manualBreakCount="2">
    <brk id="122" max="16383" man="1"/>
    <brk id="126" max="16383" man="1"/>
  </rowBreaks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171450</xdr:colOff>
                <xdr:row>0</xdr:row>
                <xdr:rowOff>82550</xdr:rowOff>
              </from>
              <to>
                <xdr:col>1</xdr:col>
                <xdr:colOff>234950</xdr:colOff>
                <xdr:row>3</xdr:row>
                <xdr:rowOff>38100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RESUM</vt:lpstr>
      <vt:lpstr>RESUM ALL</vt:lpstr>
      <vt:lpstr>MmExcelLinker_B1C46DB6_B3FA_4596_9823_BA4C78A743AA</vt:lpstr>
      <vt:lpstr>'RESUM ALL'!Print_Area</vt:lpstr>
      <vt:lpstr>'RESUM 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HERMAWAN</dc:creator>
  <cp:lastModifiedBy>Agus Suharsono</cp:lastModifiedBy>
  <cp:lastPrinted>2026-06-05T02:23:02Z</cp:lastPrinted>
  <dcterms:created xsi:type="dcterms:W3CDTF">2022-01-31T03:52:57Z</dcterms:created>
  <dcterms:modified xsi:type="dcterms:W3CDTF">2026-08-05T03:49:52Z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ExcelLinker_B1C46DB6_B3FA_4596_9823_BA4C78A743AA">
    <vt:lpwstr>0</vt:lpwstr>
  </property>
</Properties>
</file>