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M\DGA JERANJANG\SUMMARY\EXSUM\2026\JULI\"/>
    </mc:Choice>
  </mc:AlternateContent>
  <xr:revisionPtr revIDLastSave="0" documentId="13_ncr:1_{C1935A27-99D5-4DA4-9C5A-AEF995DD4B95}" xr6:coauthVersionLast="47" xr6:coauthVersionMax="47" xr10:uidLastSave="{00000000-0000-0000-0000-000000000000}"/>
  <bookViews>
    <workbookView xWindow="2280" yWindow="2280" windowWidth="14400" windowHeight="7270" xr2:uid="{00000000-000D-0000-FFFF-FFFF00000000}"/>
  </bookViews>
  <sheets>
    <sheet name="RESUME" sheetId="4" r:id="rId1"/>
    <sheet name="SUMMARY" sheetId="3" r:id="rId2"/>
    <sheet name="REKOMENDASI" sheetId="1" r:id="rId3"/>
    <sheet name="Sheet1" sheetId="5" r:id="rId4"/>
  </sheets>
  <definedNames>
    <definedName name="_xlnm._FilterDatabase" localSheetId="2" hidden="1">REKOMENDASI!$A$5:$S$834</definedName>
    <definedName name="_xlnm._FilterDatabase" localSheetId="1" hidden="1">SUMMARY!$A$2:$J$112</definedName>
    <definedName name="_xlnm.Print_Area" localSheetId="2">REKOMENDASI!$A$1:$N$812</definedName>
    <definedName name="_xlnm.Print_Area" localSheetId="1">SUMMARY!$A$1:$F$112</definedName>
    <definedName name="_xlnm.Print_Titles" localSheetId="2">REKOMENDASI!$1:$5</definedName>
    <definedName name="_xlnm.Print_Titles" localSheetId="1">SUMMARY!$1:$2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86" i="1" l="1"/>
  <c r="J19" i="1" l="1"/>
  <c r="H486" i="1" l="1"/>
  <c r="J18" i="1" l="1"/>
  <c r="H181" i="1" l="1"/>
  <c r="J185" i="1" l="1"/>
  <c r="E165" i="1" l="1"/>
  <c r="E166" i="1"/>
  <c r="E167" i="1"/>
  <c r="E168" i="1"/>
  <c r="E169" i="1"/>
  <c r="E170" i="1"/>
  <c r="E171" i="1"/>
  <c r="E172" i="1"/>
  <c r="E157" i="1"/>
  <c r="E158" i="1"/>
  <c r="E159" i="1"/>
  <c r="E160" i="1"/>
  <c r="E161" i="1"/>
  <c r="E162" i="1"/>
  <c r="E163" i="1"/>
  <c r="E164" i="1"/>
  <c r="E150" i="1"/>
  <c r="E151" i="1"/>
  <c r="E152" i="1"/>
  <c r="E153" i="1"/>
  <c r="E154" i="1"/>
  <c r="E155" i="1"/>
  <c r="E156" i="1"/>
  <c r="E149" i="1"/>
  <c r="E347" i="1" l="1"/>
  <c r="E348" i="1"/>
  <c r="E349" i="1"/>
  <c r="E350" i="1"/>
  <c r="E351" i="1"/>
  <c r="E352" i="1"/>
  <c r="E353" i="1"/>
  <c r="E346" i="1"/>
  <c r="J648" i="1" l="1"/>
  <c r="H648" i="1" s="1"/>
  <c r="E648" i="1"/>
  <c r="F648" i="1" s="1"/>
  <c r="J647" i="1"/>
  <c r="H647" i="1" s="1"/>
  <c r="E647" i="1"/>
  <c r="F647" i="1" s="1"/>
  <c r="J646" i="1"/>
  <c r="H646" i="1" s="1"/>
  <c r="E646" i="1"/>
  <c r="F646" i="1" s="1"/>
  <c r="J645" i="1"/>
  <c r="H645" i="1" s="1"/>
  <c r="E645" i="1"/>
  <c r="F645" i="1" s="1"/>
  <c r="J644" i="1"/>
  <c r="H644" i="1" s="1"/>
  <c r="E644" i="1"/>
  <c r="F644" i="1" s="1"/>
  <c r="J643" i="1"/>
  <c r="H643" i="1" s="1"/>
  <c r="E643" i="1"/>
  <c r="F643" i="1" s="1"/>
  <c r="J658" i="1"/>
  <c r="H658" i="1" s="1"/>
  <c r="E658" i="1"/>
  <c r="F658" i="1" s="1"/>
  <c r="J657" i="1"/>
  <c r="H657" i="1" s="1"/>
  <c r="E657" i="1"/>
  <c r="F657" i="1" s="1"/>
  <c r="J656" i="1"/>
  <c r="H656" i="1" s="1"/>
  <c r="E656" i="1"/>
  <c r="F656" i="1" s="1"/>
  <c r="J655" i="1"/>
  <c r="H655" i="1" s="1"/>
  <c r="E655" i="1"/>
  <c r="F655" i="1" s="1"/>
  <c r="J654" i="1"/>
  <c r="H654" i="1" s="1"/>
  <c r="E654" i="1"/>
  <c r="F654" i="1" s="1"/>
  <c r="J653" i="1"/>
  <c r="H653" i="1" s="1"/>
  <c r="E653" i="1"/>
  <c r="F653" i="1" s="1"/>
  <c r="J652" i="1"/>
  <c r="H652" i="1" s="1"/>
  <c r="E652" i="1"/>
  <c r="F652" i="1" s="1"/>
  <c r="J651" i="1"/>
  <c r="H651" i="1" s="1"/>
  <c r="E651" i="1"/>
  <c r="F651" i="1" s="1"/>
  <c r="J650" i="1"/>
  <c r="H650" i="1" s="1"/>
  <c r="E650" i="1"/>
  <c r="F650" i="1" s="1"/>
  <c r="J649" i="1"/>
  <c r="H649" i="1" s="1"/>
  <c r="E649" i="1"/>
  <c r="F649" i="1" s="1"/>
  <c r="J379" i="1"/>
  <c r="H379" i="1" s="1"/>
  <c r="E379" i="1"/>
  <c r="F379" i="1" s="1"/>
  <c r="J378" i="1"/>
  <c r="H378" i="1" s="1"/>
  <c r="E378" i="1"/>
  <c r="F378" i="1" s="1"/>
  <c r="J377" i="1"/>
  <c r="H377" i="1" s="1"/>
  <c r="E377" i="1"/>
  <c r="F377" i="1" s="1"/>
  <c r="J376" i="1"/>
  <c r="H376" i="1" s="1"/>
  <c r="E376" i="1"/>
  <c r="F376" i="1" s="1"/>
  <c r="J375" i="1"/>
  <c r="H375" i="1" s="1"/>
  <c r="E375" i="1"/>
  <c r="F375" i="1" s="1"/>
  <c r="J374" i="1"/>
  <c r="H374" i="1" s="1"/>
  <c r="E374" i="1"/>
  <c r="F374" i="1" s="1"/>
  <c r="J373" i="1"/>
  <c r="H373" i="1" s="1"/>
  <c r="E373" i="1"/>
  <c r="F373" i="1" s="1"/>
  <c r="J372" i="1"/>
  <c r="H372" i="1" s="1"/>
  <c r="E372" i="1"/>
  <c r="F372" i="1" s="1"/>
  <c r="J371" i="1"/>
  <c r="H371" i="1" s="1"/>
  <c r="E371" i="1"/>
  <c r="F371" i="1" s="1"/>
  <c r="J370" i="1"/>
  <c r="H370" i="1" s="1"/>
  <c r="E370" i="1"/>
  <c r="F370" i="1" s="1"/>
  <c r="J369" i="1"/>
  <c r="H369" i="1" s="1"/>
  <c r="E369" i="1"/>
  <c r="F369" i="1" s="1"/>
  <c r="J368" i="1"/>
  <c r="H368" i="1" s="1"/>
  <c r="E368" i="1"/>
  <c r="F368" i="1" s="1"/>
  <c r="J367" i="1"/>
  <c r="H367" i="1" s="1"/>
  <c r="E367" i="1"/>
  <c r="F367" i="1" s="1"/>
  <c r="J366" i="1"/>
  <c r="H366" i="1" s="1"/>
  <c r="E366" i="1"/>
  <c r="F366" i="1" s="1"/>
  <c r="J365" i="1"/>
  <c r="H365" i="1" s="1"/>
  <c r="E365" i="1"/>
  <c r="F365" i="1" s="1"/>
  <c r="J364" i="1"/>
  <c r="H364" i="1" s="1"/>
  <c r="E364" i="1"/>
  <c r="F364" i="1" s="1"/>
  <c r="J363" i="1"/>
  <c r="H363" i="1" s="1"/>
  <c r="E363" i="1"/>
  <c r="F363" i="1" s="1"/>
  <c r="J362" i="1"/>
  <c r="H362" i="1" s="1"/>
  <c r="E362" i="1"/>
  <c r="F362" i="1" s="1"/>
  <c r="J361" i="1"/>
  <c r="H361" i="1" s="1"/>
  <c r="E361" i="1"/>
  <c r="F361" i="1" s="1"/>
  <c r="J360" i="1"/>
  <c r="H360" i="1" s="1"/>
  <c r="E360" i="1"/>
  <c r="F360" i="1" s="1"/>
  <c r="J359" i="1"/>
  <c r="H359" i="1" s="1"/>
  <c r="E359" i="1"/>
  <c r="F359" i="1" s="1"/>
  <c r="J358" i="1"/>
  <c r="H358" i="1" s="1"/>
  <c r="F358" i="1"/>
  <c r="J357" i="1"/>
  <c r="H357" i="1" s="1"/>
  <c r="F357" i="1"/>
  <c r="J356" i="1"/>
  <c r="H356" i="1" s="1"/>
  <c r="E356" i="1"/>
  <c r="F356" i="1" s="1"/>
  <c r="J355" i="1"/>
  <c r="H355" i="1" s="1"/>
  <c r="E355" i="1"/>
  <c r="F355" i="1" s="1"/>
  <c r="J354" i="1"/>
  <c r="H354" i="1" s="1"/>
  <c r="E354" i="1"/>
  <c r="F354" i="1" s="1"/>
  <c r="J353" i="1"/>
  <c r="H353" i="1" s="1"/>
  <c r="F353" i="1"/>
  <c r="J352" i="1"/>
  <c r="H352" i="1" s="1"/>
  <c r="F352" i="1"/>
  <c r="J351" i="1"/>
  <c r="H351" i="1" s="1"/>
  <c r="F351" i="1"/>
  <c r="J350" i="1"/>
  <c r="H350" i="1" s="1"/>
  <c r="F350" i="1"/>
  <c r="J349" i="1"/>
  <c r="H349" i="1" s="1"/>
  <c r="F349" i="1"/>
  <c r="J348" i="1"/>
  <c r="H348" i="1" s="1"/>
  <c r="F348" i="1"/>
  <c r="J347" i="1"/>
  <c r="H347" i="1" s="1"/>
  <c r="F347" i="1"/>
  <c r="J346" i="1"/>
  <c r="H346" i="1" s="1"/>
  <c r="F346" i="1"/>
  <c r="J182" i="1"/>
  <c r="H182" i="1" s="1"/>
  <c r="E182" i="1"/>
  <c r="F182" i="1" s="1"/>
  <c r="E181" i="1"/>
  <c r="F181" i="1" s="1"/>
  <c r="J180" i="1"/>
  <c r="H180" i="1" s="1"/>
  <c r="E180" i="1"/>
  <c r="F180" i="1" s="1"/>
  <c r="J179" i="1"/>
  <c r="H179" i="1" s="1"/>
  <c r="E179" i="1"/>
  <c r="F179" i="1" s="1"/>
  <c r="J178" i="1"/>
  <c r="H178" i="1" s="1"/>
  <c r="E178" i="1"/>
  <c r="F178" i="1" s="1"/>
  <c r="J177" i="1"/>
  <c r="H177" i="1" s="1"/>
  <c r="E177" i="1"/>
  <c r="F177" i="1" s="1"/>
  <c r="J176" i="1"/>
  <c r="H176" i="1" s="1"/>
  <c r="E176" i="1"/>
  <c r="F176" i="1" s="1"/>
  <c r="J175" i="1"/>
  <c r="H175" i="1" s="1"/>
  <c r="E175" i="1"/>
  <c r="F175" i="1" s="1"/>
  <c r="J174" i="1"/>
  <c r="H174" i="1" s="1"/>
  <c r="E174" i="1"/>
  <c r="F174" i="1" s="1"/>
  <c r="J173" i="1"/>
  <c r="H173" i="1" s="1"/>
  <c r="E173" i="1"/>
  <c r="F173" i="1" s="1"/>
  <c r="F166" i="1"/>
  <c r="F167" i="1"/>
  <c r="F168" i="1"/>
  <c r="F169" i="1"/>
  <c r="F170" i="1"/>
  <c r="F171" i="1"/>
  <c r="F172" i="1"/>
  <c r="F165" i="1"/>
  <c r="J172" i="1"/>
  <c r="H172" i="1" s="1"/>
  <c r="J171" i="1"/>
  <c r="H171" i="1" s="1"/>
  <c r="J170" i="1"/>
  <c r="H170" i="1" s="1"/>
  <c r="J169" i="1"/>
  <c r="H169" i="1" s="1"/>
  <c r="J168" i="1"/>
  <c r="H168" i="1" s="1"/>
  <c r="J167" i="1"/>
  <c r="H167" i="1" s="1"/>
  <c r="J166" i="1"/>
  <c r="H166" i="1" s="1"/>
  <c r="J165" i="1"/>
  <c r="H165" i="1" s="1"/>
  <c r="J164" i="1"/>
  <c r="H164" i="1" s="1"/>
  <c r="F164" i="1"/>
  <c r="J163" i="1"/>
  <c r="H163" i="1" s="1"/>
  <c r="F163" i="1"/>
  <c r="J162" i="1"/>
  <c r="H162" i="1" s="1"/>
  <c r="F162" i="1"/>
  <c r="J161" i="1"/>
  <c r="H161" i="1" s="1"/>
  <c r="F161" i="1"/>
  <c r="J160" i="1"/>
  <c r="H160" i="1" s="1"/>
  <c r="F160" i="1"/>
  <c r="J159" i="1"/>
  <c r="H159" i="1" s="1"/>
  <c r="F159" i="1"/>
  <c r="J158" i="1"/>
  <c r="H158" i="1" s="1"/>
  <c r="F158" i="1"/>
  <c r="J157" i="1"/>
  <c r="H157" i="1" s="1"/>
  <c r="F157" i="1"/>
  <c r="J156" i="1"/>
  <c r="H156" i="1" s="1"/>
  <c r="J155" i="1"/>
  <c r="H155" i="1" s="1"/>
  <c r="J154" i="1"/>
  <c r="H154" i="1" s="1"/>
  <c r="J153" i="1"/>
  <c r="H153" i="1" s="1"/>
  <c r="J152" i="1"/>
  <c r="H152" i="1" s="1"/>
  <c r="J151" i="1"/>
  <c r="H151" i="1" s="1"/>
  <c r="J150" i="1"/>
  <c r="H150" i="1" s="1"/>
  <c r="J149" i="1"/>
  <c r="H149" i="1" s="1"/>
  <c r="F156" i="1"/>
  <c r="F155" i="1"/>
  <c r="F154" i="1"/>
  <c r="F153" i="1"/>
  <c r="F152" i="1"/>
  <c r="F151" i="1"/>
  <c r="F150" i="1"/>
  <c r="F149" i="1"/>
  <c r="E215" i="1"/>
  <c r="F215" i="1" s="1"/>
  <c r="J215" i="1"/>
  <c r="H215" i="1" s="1"/>
  <c r="I643" i="1" l="1"/>
  <c r="E91" i="3" s="1"/>
  <c r="I646" i="1"/>
  <c r="E92" i="3" s="1"/>
  <c r="I649" i="1"/>
  <c r="E93" i="3" s="1"/>
  <c r="I654" i="1"/>
  <c r="E94" i="3" s="1"/>
  <c r="I370" i="1"/>
  <c r="E54" i="3" s="1"/>
  <c r="I362" i="1"/>
  <c r="E53" i="3" s="1"/>
  <c r="I354" i="1"/>
  <c r="E52" i="3" s="1"/>
  <c r="I346" i="1"/>
  <c r="E51" i="3" s="1"/>
  <c r="I375" i="1"/>
  <c r="E55" i="3" s="1"/>
  <c r="I178" i="1"/>
  <c r="E29" i="3" s="1"/>
  <c r="I173" i="1"/>
  <c r="E28" i="3" s="1"/>
  <c r="I165" i="1"/>
  <c r="E27" i="3" s="1"/>
  <c r="I157" i="1"/>
  <c r="E26" i="3" s="1"/>
  <c r="I149" i="1"/>
  <c r="E25" i="3" s="1"/>
  <c r="J603" i="1"/>
  <c r="H603" i="1" s="1"/>
  <c r="J604" i="1"/>
  <c r="H604" i="1" s="1"/>
  <c r="J605" i="1"/>
  <c r="H605" i="1" s="1"/>
  <c r="J606" i="1"/>
  <c r="H606" i="1" s="1"/>
  <c r="J607" i="1"/>
  <c r="H607" i="1" s="1"/>
  <c r="J608" i="1"/>
  <c r="H608" i="1" s="1"/>
  <c r="J609" i="1"/>
  <c r="H609" i="1" s="1"/>
  <c r="J610" i="1"/>
  <c r="H610" i="1" s="1"/>
  <c r="J611" i="1"/>
  <c r="H611" i="1" s="1"/>
  <c r="J612" i="1"/>
  <c r="H612" i="1" s="1"/>
  <c r="J613" i="1"/>
  <c r="H613" i="1" s="1"/>
  <c r="J614" i="1"/>
  <c r="H614" i="1" s="1"/>
  <c r="J615" i="1"/>
  <c r="H615" i="1" s="1"/>
  <c r="J616" i="1"/>
  <c r="H616" i="1" s="1"/>
  <c r="J617" i="1"/>
  <c r="H617" i="1" s="1"/>
  <c r="J618" i="1"/>
  <c r="H618" i="1" s="1"/>
  <c r="E614" i="1"/>
  <c r="F614" i="1" s="1"/>
  <c r="E615" i="1"/>
  <c r="F615" i="1" s="1"/>
  <c r="E616" i="1"/>
  <c r="F616" i="1" s="1"/>
  <c r="E617" i="1"/>
  <c r="F617" i="1" s="1"/>
  <c r="E618" i="1"/>
  <c r="F618" i="1" s="1"/>
  <c r="E603" i="1"/>
  <c r="F603" i="1" s="1"/>
  <c r="E604" i="1"/>
  <c r="F604" i="1" s="1"/>
  <c r="E605" i="1"/>
  <c r="F605" i="1" s="1"/>
  <c r="E606" i="1"/>
  <c r="F606" i="1" s="1"/>
  <c r="E607" i="1"/>
  <c r="F607" i="1" s="1"/>
  <c r="E608" i="1"/>
  <c r="F608" i="1" s="1"/>
  <c r="E609" i="1"/>
  <c r="F609" i="1" s="1"/>
  <c r="E610" i="1"/>
  <c r="F610" i="1" s="1"/>
  <c r="E611" i="1"/>
  <c r="F611" i="1" s="1"/>
  <c r="E612" i="1"/>
  <c r="F612" i="1" s="1"/>
  <c r="E613" i="1"/>
  <c r="F613" i="1" s="1"/>
  <c r="E214" i="1"/>
  <c r="I614" i="1" l="1"/>
  <c r="E87" i="3" s="1"/>
  <c r="I606" i="1"/>
  <c r="E85" i="3" s="1"/>
  <c r="I609" i="1"/>
  <c r="E86" i="3" s="1"/>
  <c r="I603" i="1"/>
  <c r="E84" i="3" s="1"/>
  <c r="E636" i="1" l="1"/>
  <c r="F636" i="1" s="1"/>
  <c r="E637" i="1"/>
  <c r="F637" i="1" s="1"/>
  <c r="E638" i="1"/>
  <c r="F638" i="1" s="1"/>
  <c r="E639" i="1"/>
  <c r="F639" i="1" s="1"/>
  <c r="E640" i="1"/>
  <c r="F640" i="1" s="1"/>
  <c r="E641" i="1"/>
  <c r="F641" i="1" s="1"/>
  <c r="E642" i="1"/>
  <c r="F642" i="1" s="1"/>
  <c r="E635" i="1"/>
  <c r="F635" i="1" s="1"/>
  <c r="J642" i="1"/>
  <c r="H642" i="1" s="1"/>
  <c r="J641" i="1"/>
  <c r="H641" i="1" s="1"/>
  <c r="J640" i="1"/>
  <c r="H640" i="1" s="1"/>
  <c r="J639" i="1"/>
  <c r="H639" i="1" s="1"/>
  <c r="J638" i="1"/>
  <c r="H638" i="1" s="1"/>
  <c r="J637" i="1"/>
  <c r="H637" i="1" s="1"/>
  <c r="J636" i="1"/>
  <c r="H636" i="1" s="1"/>
  <c r="J635" i="1"/>
  <c r="H635" i="1" s="1"/>
  <c r="E628" i="1"/>
  <c r="F628" i="1" s="1"/>
  <c r="E629" i="1"/>
  <c r="F629" i="1" s="1"/>
  <c r="E630" i="1"/>
  <c r="F630" i="1" s="1"/>
  <c r="E631" i="1"/>
  <c r="F631" i="1" s="1"/>
  <c r="E632" i="1"/>
  <c r="F632" i="1" s="1"/>
  <c r="E633" i="1"/>
  <c r="F633" i="1" s="1"/>
  <c r="E634" i="1"/>
  <c r="F634" i="1" s="1"/>
  <c r="E627" i="1"/>
  <c r="F627" i="1" s="1"/>
  <c r="J634" i="1"/>
  <c r="H634" i="1" s="1"/>
  <c r="J633" i="1"/>
  <c r="H633" i="1" s="1"/>
  <c r="J632" i="1"/>
  <c r="H632" i="1" s="1"/>
  <c r="J631" i="1"/>
  <c r="H631" i="1" s="1"/>
  <c r="J630" i="1"/>
  <c r="H630" i="1" s="1"/>
  <c r="J629" i="1"/>
  <c r="H629" i="1" s="1"/>
  <c r="J628" i="1"/>
  <c r="H628" i="1" s="1"/>
  <c r="J627" i="1"/>
  <c r="H627" i="1" s="1"/>
  <c r="E620" i="1"/>
  <c r="F620" i="1" s="1"/>
  <c r="E621" i="1"/>
  <c r="F621" i="1" s="1"/>
  <c r="E622" i="1"/>
  <c r="F622" i="1" s="1"/>
  <c r="E623" i="1"/>
  <c r="F623" i="1" s="1"/>
  <c r="E624" i="1"/>
  <c r="F624" i="1" s="1"/>
  <c r="E625" i="1"/>
  <c r="F625" i="1" s="1"/>
  <c r="E626" i="1"/>
  <c r="F626" i="1" s="1"/>
  <c r="E619" i="1"/>
  <c r="F619" i="1" s="1"/>
  <c r="J626" i="1"/>
  <c r="H626" i="1" s="1"/>
  <c r="J625" i="1"/>
  <c r="H625" i="1" s="1"/>
  <c r="J624" i="1"/>
  <c r="H624" i="1" s="1"/>
  <c r="J623" i="1"/>
  <c r="H623" i="1" s="1"/>
  <c r="J622" i="1"/>
  <c r="H622" i="1" s="1"/>
  <c r="J621" i="1"/>
  <c r="H621" i="1" s="1"/>
  <c r="J620" i="1"/>
  <c r="H620" i="1" s="1"/>
  <c r="J619" i="1"/>
  <c r="H619" i="1" s="1"/>
  <c r="J214" i="1"/>
  <c r="H214" i="1" s="1"/>
  <c r="F214" i="1"/>
  <c r="J213" i="1"/>
  <c r="H213" i="1" s="1"/>
  <c r="E213" i="1"/>
  <c r="F213" i="1" s="1"/>
  <c r="J212" i="1"/>
  <c r="H212" i="1" s="1"/>
  <c r="E212" i="1"/>
  <c r="F212" i="1" s="1"/>
  <c r="J211" i="1"/>
  <c r="H211" i="1" s="1"/>
  <c r="E211" i="1"/>
  <c r="F211" i="1" s="1"/>
  <c r="J210" i="1"/>
  <c r="H210" i="1" s="1"/>
  <c r="E210" i="1"/>
  <c r="F210" i="1" s="1"/>
  <c r="J209" i="1"/>
  <c r="H209" i="1" s="1"/>
  <c r="E209" i="1"/>
  <c r="F209" i="1" s="1"/>
  <c r="J208" i="1"/>
  <c r="H208" i="1" s="1"/>
  <c r="E208" i="1"/>
  <c r="F208" i="1" s="1"/>
  <c r="J207" i="1"/>
  <c r="H207" i="1" s="1"/>
  <c r="E207" i="1"/>
  <c r="F207" i="1" s="1"/>
  <c r="J206" i="1"/>
  <c r="H206" i="1" s="1"/>
  <c r="E206" i="1"/>
  <c r="F206" i="1" s="1"/>
  <c r="J205" i="1"/>
  <c r="H205" i="1" s="1"/>
  <c r="E205" i="1"/>
  <c r="F205" i="1" s="1"/>
  <c r="J204" i="1"/>
  <c r="H204" i="1" s="1"/>
  <c r="E204" i="1"/>
  <c r="F204" i="1" s="1"/>
  <c r="J203" i="1"/>
  <c r="H203" i="1" s="1"/>
  <c r="E203" i="1"/>
  <c r="F203" i="1" s="1"/>
  <c r="J202" i="1"/>
  <c r="H202" i="1" s="1"/>
  <c r="E202" i="1"/>
  <c r="F202" i="1" s="1"/>
  <c r="J201" i="1"/>
  <c r="H201" i="1" s="1"/>
  <c r="E201" i="1"/>
  <c r="F201" i="1" s="1"/>
  <c r="J200" i="1"/>
  <c r="H200" i="1" s="1"/>
  <c r="E200" i="1"/>
  <c r="F200" i="1" s="1"/>
  <c r="J199" i="1"/>
  <c r="H199" i="1" s="1"/>
  <c r="E199" i="1"/>
  <c r="F199" i="1" s="1"/>
  <c r="J198" i="1"/>
  <c r="H198" i="1" s="1"/>
  <c r="E198" i="1"/>
  <c r="F198" i="1" s="1"/>
  <c r="J197" i="1"/>
  <c r="H197" i="1" s="1"/>
  <c r="E197" i="1"/>
  <c r="F197" i="1" s="1"/>
  <c r="J196" i="1"/>
  <c r="H196" i="1" s="1"/>
  <c r="E196" i="1"/>
  <c r="F196" i="1" s="1"/>
  <c r="J195" i="1"/>
  <c r="H195" i="1" s="1"/>
  <c r="E195" i="1"/>
  <c r="F195" i="1" s="1"/>
  <c r="J194" i="1"/>
  <c r="H194" i="1" s="1"/>
  <c r="E194" i="1"/>
  <c r="F194" i="1" s="1"/>
  <c r="J193" i="1"/>
  <c r="H193" i="1" s="1"/>
  <c r="E193" i="1"/>
  <c r="F193" i="1" s="1"/>
  <c r="I627" i="1" l="1"/>
  <c r="E89" i="3" s="1"/>
  <c r="I619" i="1"/>
  <c r="E88" i="3" s="1"/>
  <c r="I635" i="1"/>
  <c r="E90" i="3" s="1"/>
  <c r="I204" i="1"/>
  <c r="E32" i="3" s="1"/>
  <c r="I193" i="1"/>
  <c r="E31" i="3" s="1"/>
  <c r="J389" i="1" l="1"/>
  <c r="H389" i="1" s="1"/>
  <c r="E389" i="1"/>
  <c r="F389" i="1" s="1"/>
  <c r="J388" i="1"/>
  <c r="H388" i="1" s="1"/>
  <c r="E388" i="1"/>
  <c r="F388" i="1" s="1"/>
  <c r="J387" i="1"/>
  <c r="H387" i="1" s="1"/>
  <c r="E387" i="1"/>
  <c r="F387" i="1" s="1"/>
  <c r="J386" i="1"/>
  <c r="H386" i="1" s="1"/>
  <c r="E386" i="1"/>
  <c r="F386" i="1" s="1"/>
  <c r="J385" i="1"/>
  <c r="H385" i="1" s="1"/>
  <c r="E385" i="1"/>
  <c r="F385" i="1" s="1"/>
  <c r="J384" i="1"/>
  <c r="H384" i="1" s="1"/>
  <c r="E384" i="1"/>
  <c r="F384" i="1" s="1"/>
  <c r="J383" i="1"/>
  <c r="H383" i="1" s="1"/>
  <c r="E383" i="1"/>
  <c r="F383" i="1" s="1"/>
  <c r="J382" i="1"/>
  <c r="H382" i="1" s="1"/>
  <c r="E382" i="1"/>
  <c r="F382" i="1" s="1"/>
  <c r="J381" i="1"/>
  <c r="H381" i="1" s="1"/>
  <c r="E381" i="1"/>
  <c r="F381" i="1" s="1"/>
  <c r="J380" i="1"/>
  <c r="H380" i="1" s="1"/>
  <c r="E380" i="1"/>
  <c r="F380" i="1" s="1"/>
  <c r="J345" i="1"/>
  <c r="H345" i="1" s="1"/>
  <c r="E345" i="1"/>
  <c r="F345" i="1" s="1"/>
  <c r="J344" i="1"/>
  <c r="H344" i="1" s="1"/>
  <c r="E344" i="1"/>
  <c r="F344" i="1" s="1"/>
  <c r="J343" i="1"/>
  <c r="H343" i="1" s="1"/>
  <c r="E343" i="1"/>
  <c r="F343" i="1" s="1"/>
  <c r="J342" i="1"/>
  <c r="H342" i="1" s="1"/>
  <c r="E342" i="1"/>
  <c r="F342" i="1" s="1"/>
  <c r="J341" i="1"/>
  <c r="H341" i="1" s="1"/>
  <c r="E341" i="1"/>
  <c r="F341" i="1" s="1"/>
  <c r="J340" i="1"/>
  <c r="H340" i="1" s="1"/>
  <c r="E340" i="1"/>
  <c r="F340" i="1" s="1"/>
  <c r="J339" i="1"/>
  <c r="H339" i="1" s="1"/>
  <c r="E339" i="1"/>
  <c r="F339" i="1" s="1"/>
  <c r="J338" i="1"/>
  <c r="H338" i="1" s="1"/>
  <c r="E338" i="1"/>
  <c r="F338" i="1" s="1"/>
  <c r="J337" i="1"/>
  <c r="H337" i="1" s="1"/>
  <c r="E337" i="1"/>
  <c r="F337" i="1" s="1"/>
  <c r="J336" i="1"/>
  <c r="H336" i="1" s="1"/>
  <c r="E336" i="1"/>
  <c r="F336" i="1" s="1"/>
  <c r="J335" i="1"/>
  <c r="H335" i="1" s="1"/>
  <c r="E335" i="1"/>
  <c r="F335" i="1" s="1"/>
  <c r="J334" i="1"/>
  <c r="H334" i="1" s="1"/>
  <c r="E334" i="1"/>
  <c r="F334" i="1" s="1"/>
  <c r="J333" i="1"/>
  <c r="H333" i="1" s="1"/>
  <c r="E333" i="1"/>
  <c r="F333" i="1" s="1"/>
  <c r="J332" i="1"/>
  <c r="H332" i="1" s="1"/>
  <c r="E332" i="1"/>
  <c r="F332" i="1" s="1"/>
  <c r="J331" i="1"/>
  <c r="H331" i="1" s="1"/>
  <c r="E331" i="1"/>
  <c r="F331" i="1" s="1"/>
  <c r="J330" i="1"/>
  <c r="H330" i="1" s="1"/>
  <c r="E330" i="1"/>
  <c r="F330" i="1" s="1"/>
  <c r="J329" i="1"/>
  <c r="H329" i="1" s="1"/>
  <c r="E329" i="1"/>
  <c r="F329" i="1" s="1"/>
  <c r="J328" i="1"/>
  <c r="H328" i="1" s="1"/>
  <c r="E328" i="1"/>
  <c r="F328" i="1" s="1"/>
  <c r="J327" i="1"/>
  <c r="H327" i="1" s="1"/>
  <c r="E327" i="1"/>
  <c r="F327" i="1" s="1"/>
  <c r="J326" i="1"/>
  <c r="H326" i="1" s="1"/>
  <c r="E326" i="1"/>
  <c r="F326" i="1" s="1"/>
  <c r="J325" i="1"/>
  <c r="H325" i="1" s="1"/>
  <c r="E325" i="1"/>
  <c r="F325" i="1" s="1"/>
  <c r="J324" i="1"/>
  <c r="H324" i="1" s="1"/>
  <c r="E324" i="1"/>
  <c r="F324" i="1" s="1"/>
  <c r="J323" i="1"/>
  <c r="H323" i="1" s="1"/>
  <c r="E323" i="1"/>
  <c r="F323" i="1" s="1"/>
  <c r="J322" i="1"/>
  <c r="H322" i="1" s="1"/>
  <c r="E322" i="1"/>
  <c r="F322" i="1" s="1"/>
  <c r="J321" i="1"/>
  <c r="H321" i="1" s="1"/>
  <c r="E321" i="1"/>
  <c r="F321" i="1" s="1"/>
  <c r="J320" i="1"/>
  <c r="H320" i="1" s="1"/>
  <c r="E320" i="1"/>
  <c r="F320" i="1" s="1"/>
  <c r="J319" i="1"/>
  <c r="H319" i="1" s="1"/>
  <c r="E319" i="1"/>
  <c r="F319" i="1" s="1"/>
  <c r="J318" i="1"/>
  <c r="H318" i="1" s="1"/>
  <c r="E318" i="1"/>
  <c r="F318" i="1" s="1"/>
  <c r="J317" i="1"/>
  <c r="H317" i="1" s="1"/>
  <c r="E317" i="1"/>
  <c r="F317" i="1" s="1"/>
  <c r="J316" i="1"/>
  <c r="H316" i="1" s="1"/>
  <c r="E316" i="1"/>
  <c r="F316" i="1" s="1"/>
  <c r="J315" i="1"/>
  <c r="H315" i="1" s="1"/>
  <c r="E315" i="1"/>
  <c r="F315" i="1" s="1"/>
  <c r="J314" i="1"/>
  <c r="H314" i="1" s="1"/>
  <c r="E314" i="1"/>
  <c r="F314" i="1" s="1"/>
  <c r="J313" i="1"/>
  <c r="H313" i="1" s="1"/>
  <c r="E313" i="1"/>
  <c r="F313" i="1" s="1"/>
  <c r="J312" i="1"/>
  <c r="H312" i="1" s="1"/>
  <c r="E312" i="1"/>
  <c r="F312" i="1" s="1"/>
  <c r="J311" i="1"/>
  <c r="H311" i="1" s="1"/>
  <c r="E311" i="1"/>
  <c r="F311" i="1" s="1"/>
  <c r="J310" i="1"/>
  <c r="H310" i="1" s="1"/>
  <c r="E310" i="1"/>
  <c r="F310" i="1" s="1"/>
  <c r="J309" i="1"/>
  <c r="H309" i="1" s="1"/>
  <c r="E309" i="1"/>
  <c r="F309" i="1" s="1"/>
  <c r="J308" i="1"/>
  <c r="H308" i="1" s="1"/>
  <c r="E308" i="1"/>
  <c r="F308" i="1" s="1"/>
  <c r="J307" i="1"/>
  <c r="H307" i="1" s="1"/>
  <c r="E307" i="1"/>
  <c r="F307" i="1" s="1"/>
  <c r="J306" i="1"/>
  <c r="H306" i="1" s="1"/>
  <c r="E306" i="1"/>
  <c r="F306" i="1" s="1"/>
  <c r="J305" i="1"/>
  <c r="H305" i="1" s="1"/>
  <c r="E305" i="1"/>
  <c r="F305" i="1" s="1"/>
  <c r="J304" i="1"/>
  <c r="H304" i="1" s="1"/>
  <c r="E304" i="1"/>
  <c r="F304" i="1" s="1"/>
  <c r="J303" i="1"/>
  <c r="H303" i="1" s="1"/>
  <c r="E303" i="1"/>
  <c r="F303" i="1" s="1"/>
  <c r="J302" i="1"/>
  <c r="H302" i="1" s="1"/>
  <c r="E302" i="1"/>
  <c r="F302" i="1" s="1"/>
  <c r="J301" i="1"/>
  <c r="H301" i="1" s="1"/>
  <c r="E301" i="1"/>
  <c r="F301" i="1" s="1"/>
  <c r="J300" i="1"/>
  <c r="H300" i="1" s="1"/>
  <c r="E300" i="1"/>
  <c r="F300" i="1" s="1"/>
  <c r="J299" i="1"/>
  <c r="H299" i="1" s="1"/>
  <c r="E299" i="1"/>
  <c r="F299" i="1" s="1"/>
  <c r="J298" i="1"/>
  <c r="H298" i="1" s="1"/>
  <c r="E298" i="1"/>
  <c r="F298" i="1" s="1"/>
  <c r="J297" i="1"/>
  <c r="H297" i="1" s="1"/>
  <c r="E297" i="1"/>
  <c r="F297" i="1" s="1"/>
  <c r="J296" i="1"/>
  <c r="H296" i="1" s="1"/>
  <c r="E296" i="1"/>
  <c r="F296" i="1" s="1"/>
  <c r="J295" i="1"/>
  <c r="H295" i="1" s="1"/>
  <c r="E295" i="1"/>
  <c r="F295" i="1" s="1"/>
  <c r="J294" i="1"/>
  <c r="H294" i="1" s="1"/>
  <c r="E294" i="1"/>
  <c r="F294" i="1" s="1"/>
  <c r="J293" i="1"/>
  <c r="H293" i="1" s="1"/>
  <c r="E293" i="1"/>
  <c r="F293" i="1" s="1"/>
  <c r="J292" i="1"/>
  <c r="H292" i="1" s="1"/>
  <c r="E292" i="1"/>
  <c r="F292" i="1" s="1"/>
  <c r="J291" i="1"/>
  <c r="H291" i="1" s="1"/>
  <c r="E291" i="1"/>
  <c r="F291" i="1" s="1"/>
  <c r="J290" i="1"/>
  <c r="H290" i="1" s="1"/>
  <c r="E290" i="1"/>
  <c r="F290" i="1" s="1"/>
  <c r="J289" i="1"/>
  <c r="H289" i="1" s="1"/>
  <c r="E289" i="1"/>
  <c r="F289" i="1" s="1"/>
  <c r="J288" i="1"/>
  <c r="H288" i="1" s="1"/>
  <c r="E288" i="1"/>
  <c r="F288" i="1" s="1"/>
  <c r="J287" i="1"/>
  <c r="H287" i="1" s="1"/>
  <c r="E287" i="1"/>
  <c r="F287" i="1" s="1"/>
  <c r="J286" i="1"/>
  <c r="H286" i="1" s="1"/>
  <c r="E286" i="1"/>
  <c r="F286" i="1" s="1"/>
  <c r="J285" i="1"/>
  <c r="H285" i="1" s="1"/>
  <c r="E285" i="1"/>
  <c r="F285" i="1" s="1"/>
  <c r="J284" i="1"/>
  <c r="H284" i="1" s="1"/>
  <c r="E284" i="1"/>
  <c r="F284" i="1" s="1"/>
  <c r="J283" i="1"/>
  <c r="H283" i="1" s="1"/>
  <c r="E283" i="1"/>
  <c r="F283" i="1" s="1"/>
  <c r="J282" i="1"/>
  <c r="H282" i="1" s="1"/>
  <c r="E282" i="1"/>
  <c r="F282" i="1" s="1"/>
  <c r="J281" i="1"/>
  <c r="H281" i="1" s="1"/>
  <c r="E281" i="1"/>
  <c r="F281" i="1" s="1"/>
  <c r="J280" i="1"/>
  <c r="H280" i="1" s="1"/>
  <c r="E280" i="1"/>
  <c r="F280" i="1" s="1"/>
  <c r="J279" i="1"/>
  <c r="H279" i="1" s="1"/>
  <c r="E279" i="1"/>
  <c r="F279" i="1" s="1"/>
  <c r="J278" i="1"/>
  <c r="H278" i="1" s="1"/>
  <c r="E278" i="1"/>
  <c r="F278" i="1" s="1"/>
  <c r="J277" i="1"/>
  <c r="H277" i="1" s="1"/>
  <c r="E277" i="1"/>
  <c r="F277" i="1" s="1"/>
  <c r="J276" i="1"/>
  <c r="H276" i="1" s="1"/>
  <c r="E276" i="1"/>
  <c r="F276" i="1" s="1"/>
  <c r="J275" i="1"/>
  <c r="H275" i="1" s="1"/>
  <c r="E275" i="1"/>
  <c r="F275" i="1" s="1"/>
  <c r="J274" i="1"/>
  <c r="H274" i="1" s="1"/>
  <c r="E274" i="1"/>
  <c r="F274" i="1" s="1"/>
  <c r="J273" i="1"/>
  <c r="H273" i="1" s="1"/>
  <c r="E273" i="1"/>
  <c r="F273" i="1" s="1"/>
  <c r="J272" i="1"/>
  <c r="H272" i="1" s="1"/>
  <c r="E272" i="1"/>
  <c r="F272" i="1" s="1"/>
  <c r="J271" i="1"/>
  <c r="H271" i="1" s="1"/>
  <c r="E271" i="1"/>
  <c r="F271" i="1" s="1"/>
  <c r="J270" i="1"/>
  <c r="H270" i="1" s="1"/>
  <c r="E270" i="1"/>
  <c r="F270" i="1" s="1"/>
  <c r="J269" i="1"/>
  <c r="H269" i="1" s="1"/>
  <c r="E269" i="1"/>
  <c r="F269" i="1" s="1"/>
  <c r="J268" i="1"/>
  <c r="H268" i="1" s="1"/>
  <c r="E268" i="1"/>
  <c r="F268" i="1" s="1"/>
  <c r="J267" i="1"/>
  <c r="H267" i="1" s="1"/>
  <c r="E267" i="1"/>
  <c r="F267" i="1" s="1"/>
  <c r="J266" i="1"/>
  <c r="H266" i="1" s="1"/>
  <c r="E266" i="1"/>
  <c r="F266" i="1" s="1"/>
  <c r="J265" i="1"/>
  <c r="H265" i="1" s="1"/>
  <c r="E265" i="1"/>
  <c r="F265" i="1" s="1"/>
  <c r="J264" i="1"/>
  <c r="H264" i="1" s="1"/>
  <c r="E264" i="1"/>
  <c r="F264" i="1" s="1"/>
  <c r="J263" i="1"/>
  <c r="H263" i="1" s="1"/>
  <c r="E263" i="1"/>
  <c r="F263" i="1" s="1"/>
  <c r="J262" i="1"/>
  <c r="H262" i="1" s="1"/>
  <c r="E262" i="1"/>
  <c r="F262" i="1" s="1"/>
  <c r="J261" i="1"/>
  <c r="H261" i="1" s="1"/>
  <c r="E261" i="1"/>
  <c r="F261" i="1" s="1"/>
  <c r="H260" i="1"/>
  <c r="E260" i="1"/>
  <c r="F260" i="1" s="1"/>
  <c r="J259" i="1"/>
  <c r="H259" i="1" s="1"/>
  <c r="E259" i="1"/>
  <c r="F259" i="1" s="1"/>
  <c r="J258" i="1"/>
  <c r="H258" i="1" s="1"/>
  <c r="E258" i="1"/>
  <c r="F258" i="1" s="1"/>
  <c r="J257" i="1"/>
  <c r="H257" i="1" s="1"/>
  <c r="E257" i="1"/>
  <c r="F257" i="1" s="1"/>
  <c r="J256" i="1"/>
  <c r="H256" i="1" s="1"/>
  <c r="E256" i="1"/>
  <c r="F256" i="1" s="1"/>
  <c r="J255" i="1"/>
  <c r="H255" i="1" s="1"/>
  <c r="E255" i="1"/>
  <c r="F255" i="1" s="1"/>
  <c r="J254" i="1"/>
  <c r="H254" i="1" s="1"/>
  <c r="E254" i="1"/>
  <c r="F254" i="1" s="1"/>
  <c r="J253" i="1"/>
  <c r="H253" i="1" s="1"/>
  <c r="E253" i="1"/>
  <c r="F253" i="1" s="1"/>
  <c r="J252" i="1"/>
  <c r="H252" i="1" s="1"/>
  <c r="E252" i="1"/>
  <c r="F252" i="1" s="1"/>
  <c r="J251" i="1"/>
  <c r="H251" i="1" s="1"/>
  <c r="E251" i="1"/>
  <c r="F251" i="1" s="1"/>
  <c r="J250" i="1"/>
  <c r="H250" i="1" s="1"/>
  <c r="E250" i="1"/>
  <c r="F250" i="1" s="1"/>
  <c r="J249" i="1"/>
  <c r="H249" i="1" s="1"/>
  <c r="E249" i="1"/>
  <c r="F249" i="1" s="1"/>
  <c r="J248" i="1"/>
  <c r="H248" i="1" s="1"/>
  <c r="E248" i="1"/>
  <c r="F248" i="1" s="1"/>
  <c r="J247" i="1"/>
  <c r="H247" i="1" s="1"/>
  <c r="E247" i="1"/>
  <c r="F247" i="1" s="1"/>
  <c r="J246" i="1"/>
  <c r="H246" i="1" s="1"/>
  <c r="E246" i="1"/>
  <c r="F246" i="1" s="1"/>
  <c r="J245" i="1"/>
  <c r="H245" i="1" s="1"/>
  <c r="E245" i="1"/>
  <c r="F245" i="1" s="1"/>
  <c r="J244" i="1"/>
  <c r="H244" i="1" s="1"/>
  <c r="E244" i="1"/>
  <c r="F244" i="1" s="1"/>
  <c r="J243" i="1"/>
  <c r="H243" i="1" s="1"/>
  <c r="E243" i="1"/>
  <c r="F243" i="1" s="1"/>
  <c r="J242" i="1"/>
  <c r="H242" i="1" s="1"/>
  <c r="E242" i="1"/>
  <c r="F242" i="1" s="1"/>
  <c r="J241" i="1"/>
  <c r="H241" i="1" s="1"/>
  <c r="E241" i="1"/>
  <c r="F241" i="1" s="1"/>
  <c r="J240" i="1"/>
  <c r="H240" i="1" s="1"/>
  <c r="E240" i="1"/>
  <c r="F240" i="1" s="1"/>
  <c r="J239" i="1"/>
  <c r="H239" i="1" s="1"/>
  <c r="E239" i="1"/>
  <c r="F239" i="1" s="1"/>
  <c r="J238" i="1"/>
  <c r="H238" i="1" s="1"/>
  <c r="E238" i="1"/>
  <c r="F238" i="1" s="1"/>
  <c r="J237" i="1"/>
  <c r="H237" i="1" s="1"/>
  <c r="E237" i="1"/>
  <c r="F237" i="1" s="1"/>
  <c r="J236" i="1"/>
  <c r="H236" i="1" s="1"/>
  <c r="E236" i="1"/>
  <c r="F236" i="1" s="1"/>
  <c r="J235" i="1"/>
  <c r="H235" i="1" s="1"/>
  <c r="E235" i="1"/>
  <c r="F235" i="1" s="1"/>
  <c r="J234" i="1"/>
  <c r="H234" i="1" s="1"/>
  <c r="E234" i="1"/>
  <c r="F234" i="1" s="1"/>
  <c r="J233" i="1"/>
  <c r="H233" i="1" s="1"/>
  <c r="E233" i="1"/>
  <c r="F233" i="1" s="1"/>
  <c r="J232" i="1"/>
  <c r="H232" i="1" s="1"/>
  <c r="E232" i="1"/>
  <c r="F232" i="1" s="1"/>
  <c r="J231" i="1"/>
  <c r="H231" i="1" s="1"/>
  <c r="E231" i="1"/>
  <c r="F231" i="1" s="1"/>
  <c r="J230" i="1"/>
  <c r="H230" i="1" s="1"/>
  <c r="E230" i="1"/>
  <c r="F230" i="1" s="1"/>
  <c r="J229" i="1"/>
  <c r="H229" i="1" s="1"/>
  <c r="E229" i="1"/>
  <c r="F229" i="1" s="1"/>
  <c r="J228" i="1"/>
  <c r="H228" i="1" s="1"/>
  <c r="E228" i="1"/>
  <c r="F228" i="1" s="1"/>
  <c r="J227" i="1"/>
  <c r="H227" i="1" s="1"/>
  <c r="E227" i="1"/>
  <c r="F227" i="1" s="1"/>
  <c r="J226" i="1"/>
  <c r="H226" i="1" s="1"/>
  <c r="E226" i="1"/>
  <c r="F226" i="1" s="1"/>
  <c r="J225" i="1"/>
  <c r="H225" i="1" s="1"/>
  <c r="E225" i="1"/>
  <c r="F225" i="1" s="1"/>
  <c r="J224" i="1"/>
  <c r="H224" i="1" s="1"/>
  <c r="E224" i="1"/>
  <c r="F224" i="1" s="1"/>
  <c r="J223" i="1"/>
  <c r="H223" i="1" s="1"/>
  <c r="E223" i="1"/>
  <c r="F223" i="1" s="1"/>
  <c r="J222" i="1"/>
  <c r="H222" i="1" s="1"/>
  <c r="E222" i="1"/>
  <c r="F222" i="1" s="1"/>
  <c r="J221" i="1"/>
  <c r="H221" i="1" s="1"/>
  <c r="E221" i="1"/>
  <c r="F221" i="1" s="1"/>
  <c r="J220" i="1"/>
  <c r="H220" i="1" s="1"/>
  <c r="E220" i="1"/>
  <c r="F220" i="1" s="1"/>
  <c r="J219" i="1"/>
  <c r="H219" i="1" s="1"/>
  <c r="E219" i="1"/>
  <c r="F219" i="1" s="1"/>
  <c r="J218" i="1"/>
  <c r="H218" i="1" s="1"/>
  <c r="E218" i="1"/>
  <c r="F218" i="1" s="1"/>
  <c r="J217" i="1"/>
  <c r="H217" i="1" s="1"/>
  <c r="E217" i="1"/>
  <c r="F217" i="1" s="1"/>
  <c r="J216" i="1"/>
  <c r="H216" i="1" s="1"/>
  <c r="E216" i="1"/>
  <c r="F216" i="1" s="1"/>
  <c r="E665" i="1"/>
  <c r="J780" i="1"/>
  <c r="H780" i="1" s="1"/>
  <c r="J779" i="1"/>
  <c r="H779" i="1" s="1"/>
  <c r="J778" i="1"/>
  <c r="H778" i="1" s="1"/>
  <c r="J777" i="1"/>
  <c r="H777" i="1" s="1"/>
  <c r="J772" i="1"/>
  <c r="H772" i="1" s="1"/>
  <c r="J771" i="1"/>
  <c r="H771" i="1" s="1"/>
  <c r="J770" i="1"/>
  <c r="H770" i="1" s="1"/>
  <c r="J769" i="1"/>
  <c r="H769" i="1" s="1"/>
  <c r="J768" i="1"/>
  <c r="H768" i="1" s="1"/>
  <c r="J767" i="1"/>
  <c r="H767" i="1" s="1"/>
  <c r="J766" i="1"/>
  <c r="H766" i="1" s="1"/>
  <c r="J765" i="1"/>
  <c r="H765" i="1" s="1"/>
  <c r="J756" i="1"/>
  <c r="H756" i="1" s="1"/>
  <c r="J755" i="1"/>
  <c r="H755" i="1" s="1"/>
  <c r="J754" i="1"/>
  <c r="H754" i="1" s="1"/>
  <c r="J753" i="1"/>
  <c r="H753" i="1" s="1"/>
  <c r="J752" i="1"/>
  <c r="H752" i="1" s="1"/>
  <c r="J751" i="1"/>
  <c r="H751" i="1" s="1"/>
  <c r="J750" i="1"/>
  <c r="H750" i="1" s="1"/>
  <c r="J749" i="1"/>
  <c r="H749" i="1" s="1"/>
  <c r="J748" i="1"/>
  <c r="H748" i="1" s="1"/>
  <c r="J738" i="1"/>
  <c r="H738" i="1" s="1"/>
  <c r="J737" i="1"/>
  <c r="H737" i="1" s="1"/>
  <c r="J736" i="1"/>
  <c r="H736" i="1" s="1"/>
  <c r="J735" i="1"/>
  <c r="H735" i="1" s="1"/>
  <c r="J734" i="1"/>
  <c r="H734" i="1" s="1"/>
  <c r="J733" i="1"/>
  <c r="H733" i="1" s="1"/>
  <c r="J732" i="1"/>
  <c r="H732" i="1" s="1"/>
  <c r="J731" i="1"/>
  <c r="H731" i="1" s="1"/>
  <c r="J730" i="1"/>
  <c r="H730" i="1" s="1"/>
  <c r="J729" i="1"/>
  <c r="H729" i="1" s="1"/>
  <c r="J718" i="1"/>
  <c r="H718" i="1" s="1"/>
  <c r="J717" i="1"/>
  <c r="H717" i="1" s="1"/>
  <c r="J716" i="1"/>
  <c r="H716" i="1" s="1"/>
  <c r="J715" i="1"/>
  <c r="H715" i="1" s="1"/>
  <c r="J714" i="1"/>
  <c r="H714" i="1" s="1"/>
  <c r="J713" i="1"/>
  <c r="H713" i="1" s="1"/>
  <c r="J712" i="1"/>
  <c r="H712" i="1" s="1"/>
  <c r="J711" i="1"/>
  <c r="H711" i="1" s="1"/>
  <c r="J710" i="1"/>
  <c r="H710" i="1" s="1"/>
  <c r="J709" i="1"/>
  <c r="H709" i="1" s="1"/>
  <c r="J708" i="1"/>
  <c r="H708" i="1" s="1"/>
  <c r="J707" i="1"/>
  <c r="H707" i="1" s="1"/>
  <c r="J706" i="1"/>
  <c r="H706" i="1" s="1"/>
  <c r="J705" i="1"/>
  <c r="H705" i="1" s="1"/>
  <c r="J704" i="1"/>
  <c r="H704" i="1" s="1"/>
  <c r="J703" i="1"/>
  <c r="H703" i="1" s="1"/>
  <c r="J702" i="1"/>
  <c r="H702" i="1" s="1"/>
  <c r="J701" i="1"/>
  <c r="H701" i="1" s="1"/>
  <c r="J700" i="1"/>
  <c r="H700" i="1" s="1"/>
  <c r="J699" i="1"/>
  <c r="H699" i="1" s="1"/>
  <c r="J698" i="1"/>
  <c r="H698" i="1" s="1"/>
  <c r="J697" i="1"/>
  <c r="H697" i="1" s="1"/>
  <c r="J696" i="1"/>
  <c r="H696" i="1" s="1"/>
  <c r="J695" i="1"/>
  <c r="H695" i="1" s="1"/>
  <c r="J694" i="1"/>
  <c r="H694" i="1" s="1"/>
  <c r="J693" i="1"/>
  <c r="H693" i="1" s="1"/>
  <c r="J692" i="1"/>
  <c r="H692" i="1" s="1"/>
  <c r="J691" i="1"/>
  <c r="H691" i="1" s="1"/>
  <c r="J690" i="1"/>
  <c r="H690" i="1" s="1"/>
  <c r="J689" i="1"/>
  <c r="H689" i="1" s="1"/>
  <c r="J688" i="1"/>
  <c r="H688" i="1" s="1"/>
  <c r="J687" i="1"/>
  <c r="H687" i="1" s="1"/>
  <c r="J686" i="1"/>
  <c r="H686" i="1" s="1"/>
  <c r="J685" i="1"/>
  <c r="H685" i="1" s="1"/>
  <c r="J684" i="1"/>
  <c r="H684" i="1" s="1"/>
  <c r="J683" i="1"/>
  <c r="H683" i="1" s="1"/>
  <c r="J682" i="1"/>
  <c r="H682" i="1" s="1"/>
  <c r="J681" i="1"/>
  <c r="H681" i="1" s="1"/>
  <c r="J680" i="1"/>
  <c r="H680" i="1" s="1"/>
  <c r="J679" i="1"/>
  <c r="H679" i="1" s="1"/>
  <c r="J668" i="1"/>
  <c r="H668" i="1" s="1"/>
  <c r="J667" i="1"/>
  <c r="H667" i="1" s="1"/>
  <c r="J666" i="1"/>
  <c r="H666" i="1" s="1"/>
  <c r="J665" i="1"/>
  <c r="H665" i="1" s="1"/>
  <c r="J664" i="1"/>
  <c r="H664" i="1" s="1"/>
  <c r="J663" i="1"/>
  <c r="H663" i="1" s="1"/>
  <c r="J662" i="1"/>
  <c r="H662" i="1" s="1"/>
  <c r="J661" i="1"/>
  <c r="H661" i="1" s="1"/>
  <c r="J660" i="1"/>
  <c r="H660" i="1" s="1"/>
  <c r="J659" i="1"/>
  <c r="H659" i="1" s="1"/>
  <c r="I215" i="1" l="1"/>
  <c r="E33" i="3" s="1"/>
  <c r="I343" i="1"/>
  <c r="E50" i="3" s="1"/>
  <c r="I341" i="1"/>
  <c r="E49" i="3" s="1"/>
  <c r="I318" i="1"/>
  <c r="E46" i="3" s="1"/>
  <c r="I222" i="1"/>
  <c r="E34" i="3" s="1"/>
  <c r="I229" i="1"/>
  <c r="E35" i="3" s="1"/>
  <c r="I273" i="1"/>
  <c r="E40" i="3" s="1"/>
  <c r="I311" i="1"/>
  <c r="E45" i="3" s="1"/>
  <c r="I239" i="1"/>
  <c r="E36" i="3" s="1"/>
  <c r="I249" i="1"/>
  <c r="E37" i="3" s="1"/>
  <c r="I289" i="1"/>
  <c r="E42" i="3" s="1"/>
  <c r="I297" i="1"/>
  <c r="E43" i="3" s="1"/>
  <c r="I325" i="1"/>
  <c r="E47" i="3" s="1"/>
  <c r="I333" i="1"/>
  <c r="E48" i="3" s="1"/>
  <c r="I380" i="1"/>
  <c r="E56" i="3" s="1"/>
  <c r="I304" i="1"/>
  <c r="E44" i="3" s="1"/>
  <c r="I257" i="1"/>
  <c r="E38" i="3" s="1"/>
  <c r="I265" i="1"/>
  <c r="E39" i="3" s="1"/>
  <c r="I281" i="1"/>
  <c r="E41" i="3" s="1"/>
  <c r="I777" i="1"/>
  <c r="E108" i="3" s="1"/>
  <c r="I659" i="1"/>
  <c r="E95" i="3" s="1"/>
  <c r="I679" i="1"/>
  <c r="E97" i="3" s="1"/>
  <c r="I765" i="1"/>
  <c r="E106" i="3" s="1"/>
  <c r="I709" i="1"/>
  <c r="E100" i="3" s="1"/>
  <c r="I748" i="1"/>
  <c r="E104" i="3" s="1"/>
  <c r="I729" i="1"/>
  <c r="E102" i="3" s="1"/>
  <c r="I689" i="1"/>
  <c r="E98" i="3" s="1"/>
  <c r="I699" i="1"/>
  <c r="E99" i="3" s="1"/>
  <c r="I22" i="3" l="1"/>
  <c r="I21" i="3"/>
  <c r="I20" i="3"/>
  <c r="I18" i="3"/>
  <c r="I19" i="3"/>
  <c r="I17" i="3"/>
  <c r="J579" i="1"/>
  <c r="H579" i="1" s="1"/>
  <c r="J580" i="1"/>
  <c r="H580" i="1" s="1"/>
  <c r="J581" i="1"/>
  <c r="E579" i="1"/>
  <c r="F579" i="1" s="1"/>
  <c r="E580" i="1"/>
  <c r="F580" i="1" s="1"/>
  <c r="E581" i="1"/>
  <c r="F581" i="1" s="1"/>
  <c r="J571" i="1"/>
  <c r="H571" i="1" s="1"/>
  <c r="J572" i="1"/>
  <c r="H572" i="1" s="1"/>
  <c r="J573" i="1"/>
  <c r="H573" i="1" s="1"/>
  <c r="J574" i="1"/>
  <c r="H574" i="1" s="1"/>
  <c r="J575" i="1"/>
  <c r="H575" i="1" s="1"/>
  <c r="J576" i="1"/>
  <c r="H576" i="1" s="1"/>
  <c r="J577" i="1"/>
  <c r="H577" i="1" s="1"/>
  <c r="E571" i="1"/>
  <c r="F571" i="1" s="1"/>
  <c r="E572" i="1"/>
  <c r="F572" i="1" s="1"/>
  <c r="E573" i="1"/>
  <c r="F573" i="1" s="1"/>
  <c r="E574" i="1"/>
  <c r="F574" i="1" s="1"/>
  <c r="E575" i="1"/>
  <c r="F575" i="1" s="1"/>
  <c r="E576" i="1"/>
  <c r="F576" i="1" s="1"/>
  <c r="E577" i="1"/>
  <c r="F577" i="1" s="1"/>
  <c r="J450" i="1"/>
  <c r="H450" i="1" s="1"/>
  <c r="J451" i="1"/>
  <c r="H451" i="1" s="1"/>
  <c r="J452" i="1"/>
  <c r="H452" i="1" s="1"/>
  <c r="J453" i="1"/>
  <c r="J442" i="1"/>
  <c r="H442" i="1" s="1"/>
  <c r="J443" i="1"/>
  <c r="H443" i="1" s="1"/>
  <c r="J444" i="1"/>
  <c r="E450" i="1"/>
  <c r="F450" i="1" s="1"/>
  <c r="E451" i="1"/>
  <c r="F451" i="1" s="1"/>
  <c r="E452" i="1"/>
  <c r="F452" i="1" s="1"/>
  <c r="E442" i="1"/>
  <c r="F442" i="1" s="1"/>
  <c r="E443" i="1"/>
  <c r="F443" i="1" s="1"/>
  <c r="J189" i="1" l="1"/>
  <c r="H189" i="1" s="1"/>
  <c r="J190" i="1"/>
  <c r="H190" i="1" s="1"/>
  <c r="J191" i="1"/>
  <c r="H191" i="1" s="1"/>
  <c r="J192" i="1"/>
  <c r="E189" i="1"/>
  <c r="F189" i="1" s="1"/>
  <c r="E190" i="1"/>
  <c r="F190" i="1" s="1"/>
  <c r="E191" i="1"/>
  <c r="F191" i="1" s="1"/>
  <c r="E192" i="1"/>
  <c r="F192" i="1" s="1"/>
  <c r="J812" i="1" l="1"/>
  <c r="H812" i="1" s="1"/>
  <c r="E812" i="1"/>
  <c r="F812" i="1" s="1"/>
  <c r="J811" i="1"/>
  <c r="H811" i="1" s="1"/>
  <c r="E811" i="1"/>
  <c r="F811" i="1" s="1"/>
  <c r="J810" i="1"/>
  <c r="H810" i="1" s="1"/>
  <c r="E810" i="1"/>
  <c r="F810" i="1" s="1"/>
  <c r="J809" i="1"/>
  <c r="H809" i="1" s="1"/>
  <c r="E809" i="1"/>
  <c r="F809" i="1" s="1"/>
  <c r="J808" i="1"/>
  <c r="H808" i="1" s="1"/>
  <c r="E808" i="1"/>
  <c r="F808" i="1" s="1"/>
  <c r="J807" i="1"/>
  <c r="H807" i="1" s="1"/>
  <c r="E807" i="1"/>
  <c r="F807" i="1" s="1"/>
  <c r="J806" i="1"/>
  <c r="H806" i="1" s="1"/>
  <c r="E806" i="1"/>
  <c r="F806" i="1" s="1"/>
  <c r="J805" i="1"/>
  <c r="H805" i="1" s="1"/>
  <c r="E805" i="1"/>
  <c r="F805" i="1" s="1"/>
  <c r="J804" i="1"/>
  <c r="H804" i="1" s="1"/>
  <c r="E804" i="1"/>
  <c r="F804" i="1" s="1"/>
  <c r="J803" i="1"/>
  <c r="H803" i="1" s="1"/>
  <c r="E803" i="1"/>
  <c r="F803" i="1" s="1"/>
  <c r="J802" i="1"/>
  <c r="H802" i="1" s="1"/>
  <c r="E802" i="1"/>
  <c r="F802" i="1" s="1"/>
  <c r="E792" i="1"/>
  <c r="F792" i="1" s="1"/>
  <c r="E793" i="1"/>
  <c r="F793" i="1" s="1"/>
  <c r="E794" i="1"/>
  <c r="F794" i="1" s="1"/>
  <c r="E795" i="1"/>
  <c r="F795" i="1" s="1"/>
  <c r="E796" i="1"/>
  <c r="F796" i="1" s="1"/>
  <c r="E797" i="1"/>
  <c r="F797" i="1" s="1"/>
  <c r="E798" i="1"/>
  <c r="F798" i="1" s="1"/>
  <c r="E799" i="1"/>
  <c r="F799" i="1" s="1"/>
  <c r="E800" i="1"/>
  <c r="F800" i="1" s="1"/>
  <c r="E801" i="1"/>
  <c r="F801" i="1" s="1"/>
  <c r="E791" i="1"/>
  <c r="F791" i="1" s="1"/>
  <c r="J801" i="1"/>
  <c r="H801" i="1" s="1"/>
  <c r="J800" i="1"/>
  <c r="H800" i="1" s="1"/>
  <c r="J799" i="1"/>
  <c r="H799" i="1" s="1"/>
  <c r="J798" i="1"/>
  <c r="H798" i="1" s="1"/>
  <c r="J797" i="1"/>
  <c r="H797" i="1" s="1"/>
  <c r="J796" i="1"/>
  <c r="H796" i="1" s="1"/>
  <c r="J795" i="1"/>
  <c r="H795" i="1" s="1"/>
  <c r="J794" i="1"/>
  <c r="H794" i="1" s="1"/>
  <c r="J793" i="1"/>
  <c r="H793" i="1" s="1"/>
  <c r="J792" i="1"/>
  <c r="H792" i="1" s="1"/>
  <c r="J791" i="1"/>
  <c r="H791" i="1" s="1"/>
  <c r="I802" i="1" l="1"/>
  <c r="E112" i="3" s="1"/>
  <c r="I791" i="1"/>
  <c r="E111" i="3" s="1"/>
  <c r="J35" i="1" l="1"/>
  <c r="H35" i="1" s="1"/>
  <c r="J36" i="1"/>
  <c r="H36" i="1" s="1"/>
  <c r="J25" i="1"/>
  <c r="H25" i="1" s="1"/>
  <c r="J26" i="1"/>
  <c r="H26" i="1" s="1"/>
  <c r="E35" i="1"/>
  <c r="F35" i="1" s="1"/>
  <c r="E36" i="1"/>
  <c r="F36" i="1" s="1"/>
  <c r="E25" i="1"/>
  <c r="F25" i="1" s="1"/>
  <c r="E26" i="1"/>
  <c r="F26" i="1" s="1"/>
  <c r="J554" i="1"/>
  <c r="H554" i="1" s="1"/>
  <c r="J555" i="1"/>
  <c r="H555" i="1" s="1"/>
  <c r="J556" i="1"/>
  <c r="H556" i="1" s="1"/>
  <c r="J547" i="1"/>
  <c r="H547" i="1" s="1"/>
  <c r="J548" i="1"/>
  <c r="H548" i="1" s="1"/>
  <c r="J549" i="1"/>
  <c r="H549" i="1" s="1"/>
  <c r="E554" i="1"/>
  <c r="F554" i="1" s="1"/>
  <c r="E555" i="1"/>
  <c r="F555" i="1" s="1"/>
  <c r="E556" i="1"/>
  <c r="F556" i="1" s="1"/>
  <c r="E547" i="1"/>
  <c r="F547" i="1" s="1"/>
  <c r="E548" i="1"/>
  <c r="F548" i="1" s="1"/>
  <c r="E549" i="1"/>
  <c r="F549" i="1" s="1"/>
  <c r="J540" i="1"/>
  <c r="H540" i="1" s="1"/>
  <c r="J541" i="1"/>
  <c r="H541" i="1" s="1"/>
  <c r="J542" i="1"/>
  <c r="H542" i="1" s="1"/>
  <c r="J532" i="1"/>
  <c r="H532" i="1" s="1"/>
  <c r="J533" i="1"/>
  <c r="H533" i="1" s="1"/>
  <c r="J534" i="1"/>
  <c r="H534" i="1" s="1"/>
  <c r="E540" i="1"/>
  <c r="F540" i="1" s="1"/>
  <c r="E541" i="1"/>
  <c r="F541" i="1" s="1"/>
  <c r="E542" i="1"/>
  <c r="F542" i="1" s="1"/>
  <c r="E532" i="1"/>
  <c r="F532" i="1" s="1"/>
  <c r="E533" i="1"/>
  <c r="F533" i="1" s="1"/>
  <c r="E534" i="1"/>
  <c r="F534" i="1" s="1"/>
  <c r="J440" i="1"/>
  <c r="H440" i="1" s="1"/>
  <c r="J441" i="1"/>
  <c r="H441" i="1" s="1"/>
  <c r="H444" i="1"/>
  <c r="H453" i="1"/>
  <c r="J454" i="1"/>
  <c r="H454" i="1" s="1"/>
  <c r="J494" i="1"/>
  <c r="H494" i="1" s="1"/>
  <c r="J495" i="1"/>
  <c r="H495" i="1" s="1"/>
  <c r="J496" i="1"/>
  <c r="H496" i="1" s="1"/>
  <c r="J502" i="1"/>
  <c r="H502" i="1" s="1"/>
  <c r="J503" i="1"/>
  <c r="H503" i="1" s="1"/>
  <c r="J504" i="1"/>
  <c r="H504" i="1" s="1"/>
  <c r="E502" i="1"/>
  <c r="F502" i="1" s="1"/>
  <c r="E503" i="1"/>
  <c r="F503" i="1" s="1"/>
  <c r="E504" i="1"/>
  <c r="F504" i="1" s="1"/>
  <c r="E494" i="1"/>
  <c r="F494" i="1" s="1"/>
  <c r="E495" i="1"/>
  <c r="F495" i="1" s="1"/>
  <c r="E496" i="1"/>
  <c r="F496" i="1" s="1"/>
  <c r="E453" i="1"/>
  <c r="F453" i="1" s="1"/>
  <c r="E454" i="1"/>
  <c r="F454" i="1" s="1"/>
  <c r="E440" i="1"/>
  <c r="F440" i="1" s="1"/>
  <c r="E441" i="1"/>
  <c r="F441" i="1" s="1"/>
  <c r="E444" i="1"/>
  <c r="F444" i="1" s="1"/>
  <c r="J85" i="1"/>
  <c r="H85" i="1" s="1"/>
  <c r="J86" i="1"/>
  <c r="H86" i="1" s="1"/>
  <c r="J87" i="1"/>
  <c r="H87" i="1" s="1"/>
  <c r="J77" i="1"/>
  <c r="H77" i="1" s="1"/>
  <c r="J78" i="1"/>
  <c r="H78" i="1" s="1"/>
  <c r="J79" i="1"/>
  <c r="H79" i="1" s="1"/>
  <c r="J69" i="1"/>
  <c r="H69" i="1" s="1"/>
  <c r="J70" i="1"/>
  <c r="H70" i="1" s="1"/>
  <c r="J71" i="1"/>
  <c r="H71" i="1" s="1"/>
  <c r="J61" i="1"/>
  <c r="H61" i="1" s="1"/>
  <c r="J62" i="1"/>
  <c r="H62" i="1" s="1"/>
  <c r="J63" i="1"/>
  <c r="H63" i="1" s="1"/>
  <c r="J45" i="1"/>
  <c r="H45" i="1" s="1"/>
  <c r="J46" i="1"/>
  <c r="H46" i="1" s="1"/>
  <c r="J47" i="1"/>
  <c r="H47" i="1" s="1"/>
  <c r="J53" i="1"/>
  <c r="H53" i="1" s="1"/>
  <c r="J54" i="1"/>
  <c r="H54" i="1" s="1"/>
  <c r="J55" i="1"/>
  <c r="H55" i="1" s="1"/>
  <c r="J37" i="1"/>
  <c r="H37" i="1" s="1"/>
  <c r="J38" i="1"/>
  <c r="H38" i="1" s="1"/>
  <c r="J39" i="1"/>
  <c r="H39" i="1" s="1"/>
  <c r="J27" i="1"/>
  <c r="H27" i="1" s="1"/>
  <c r="J28" i="1"/>
  <c r="H28" i="1" s="1"/>
  <c r="J29" i="1"/>
  <c r="H29" i="1" s="1"/>
  <c r="E85" i="1"/>
  <c r="F85" i="1" s="1"/>
  <c r="E86" i="1"/>
  <c r="F86" i="1" s="1"/>
  <c r="E87" i="1"/>
  <c r="F87" i="1" s="1"/>
  <c r="E77" i="1"/>
  <c r="F77" i="1" s="1"/>
  <c r="E78" i="1"/>
  <c r="F78" i="1" s="1"/>
  <c r="E79" i="1"/>
  <c r="F79" i="1" s="1"/>
  <c r="E69" i="1"/>
  <c r="F69" i="1" s="1"/>
  <c r="E70" i="1"/>
  <c r="F70" i="1" s="1"/>
  <c r="E71" i="1"/>
  <c r="F71" i="1" s="1"/>
  <c r="E61" i="1"/>
  <c r="F61" i="1" s="1"/>
  <c r="E62" i="1"/>
  <c r="F62" i="1" s="1"/>
  <c r="E63" i="1"/>
  <c r="F63" i="1" s="1"/>
  <c r="E53" i="1"/>
  <c r="F53" i="1" s="1"/>
  <c r="E54" i="1"/>
  <c r="F54" i="1" s="1"/>
  <c r="E55" i="1"/>
  <c r="F55" i="1" s="1"/>
  <c r="E45" i="1"/>
  <c r="F45" i="1" s="1"/>
  <c r="E46" i="1"/>
  <c r="F46" i="1" s="1"/>
  <c r="E47" i="1"/>
  <c r="F47" i="1" s="1"/>
  <c r="E37" i="1"/>
  <c r="F37" i="1" s="1"/>
  <c r="E38" i="1"/>
  <c r="F38" i="1" s="1"/>
  <c r="E39" i="1"/>
  <c r="F39" i="1" s="1"/>
  <c r="E27" i="1"/>
  <c r="F27" i="1" s="1"/>
  <c r="E28" i="1"/>
  <c r="F28" i="1" s="1"/>
  <c r="E29" i="1"/>
  <c r="F29" i="1" s="1"/>
  <c r="H19" i="1"/>
  <c r="H18" i="1"/>
  <c r="J17" i="1"/>
  <c r="H17" i="1" s="1"/>
  <c r="E17" i="1"/>
  <c r="F17" i="1" s="1"/>
  <c r="E18" i="1"/>
  <c r="F18" i="1" s="1"/>
  <c r="E19" i="1"/>
  <c r="F19" i="1" s="1"/>
  <c r="E11" i="1"/>
  <c r="F11" i="1" s="1"/>
  <c r="E12" i="1"/>
  <c r="F12" i="1" s="1"/>
  <c r="J10" i="1"/>
  <c r="H10" i="1" s="1"/>
  <c r="J11" i="1"/>
  <c r="H11" i="1" s="1"/>
  <c r="J12" i="1"/>
  <c r="H12" i="1" s="1"/>
  <c r="E10" i="1"/>
  <c r="F10" i="1" s="1"/>
  <c r="J790" i="1" l="1"/>
  <c r="H790" i="1" s="1"/>
  <c r="J789" i="1"/>
  <c r="H789" i="1" s="1"/>
  <c r="J788" i="1"/>
  <c r="H788" i="1" s="1"/>
  <c r="J787" i="1"/>
  <c r="H787" i="1" s="1"/>
  <c r="J786" i="1"/>
  <c r="H786" i="1" s="1"/>
  <c r="E786" i="1"/>
  <c r="F786" i="1" s="1"/>
  <c r="E788" i="1"/>
  <c r="F788" i="1" s="1"/>
  <c r="E789" i="1"/>
  <c r="F789" i="1" s="1"/>
  <c r="E790" i="1"/>
  <c r="F790" i="1" s="1"/>
  <c r="E782" i="1"/>
  <c r="F782" i="1" s="1"/>
  <c r="E783" i="1"/>
  <c r="F783" i="1" s="1"/>
  <c r="E784" i="1"/>
  <c r="F784" i="1" s="1"/>
  <c r="E785" i="1"/>
  <c r="F785" i="1" s="1"/>
  <c r="E781" i="1"/>
  <c r="F781" i="1" s="1"/>
  <c r="J785" i="1"/>
  <c r="H785" i="1" s="1"/>
  <c r="J784" i="1"/>
  <c r="H784" i="1" s="1"/>
  <c r="J783" i="1"/>
  <c r="H783" i="1" s="1"/>
  <c r="J782" i="1"/>
  <c r="H782" i="1" s="1"/>
  <c r="J781" i="1"/>
  <c r="H781" i="1" s="1"/>
  <c r="I781" i="1" l="1"/>
  <c r="E109" i="3" s="1"/>
  <c r="I786" i="1"/>
  <c r="E110" i="3" s="1"/>
  <c r="E787" i="1"/>
  <c r="F787" i="1" s="1"/>
  <c r="J757" i="1" l="1"/>
  <c r="H757" i="1" s="1"/>
  <c r="J758" i="1"/>
  <c r="H758" i="1" s="1"/>
  <c r="J759" i="1"/>
  <c r="H759" i="1" s="1"/>
  <c r="J760" i="1"/>
  <c r="H760" i="1" s="1"/>
  <c r="J761" i="1"/>
  <c r="H761" i="1" s="1"/>
  <c r="J762" i="1"/>
  <c r="H762" i="1" s="1"/>
  <c r="J763" i="1"/>
  <c r="H763" i="1" s="1"/>
  <c r="J764" i="1"/>
  <c r="H764" i="1" s="1"/>
  <c r="H192" i="1" l="1"/>
  <c r="J188" i="1"/>
  <c r="H188" i="1" s="1"/>
  <c r="J187" i="1"/>
  <c r="H187" i="1" s="1"/>
  <c r="J186" i="1"/>
  <c r="H186" i="1" s="1"/>
  <c r="H185" i="1"/>
  <c r="J184" i="1"/>
  <c r="H184" i="1" s="1"/>
  <c r="J183" i="1"/>
  <c r="H183" i="1" s="1"/>
  <c r="J148" i="1"/>
  <c r="H148" i="1" s="1"/>
  <c r="J147" i="1"/>
  <c r="H147" i="1" s="1"/>
  <c r="J146" i="1"/>
  <c r="H146" i="1" s="1"/>
  <c r="J145" i="1"/>
  <c r="H145" i="1" s="1"/>
  <c r="J144" i="1"/>
  <c r="H144" i="1" s="1"/>
  <c r="J143" i="1"/>
  <c r="H143" i="1" s="1"/>
  <c r="J142" i="1"/>
  <c r="H142" i="1" s="1"/>
  <c r="J141" i="1"/>
  <c r="H141" i="1" s="1"/>
  <c r="J140" i="1"/>
  <c r="H140" i="1" s="1"/>
  <c r="J139" i="1"/>
  <c r="H139" i="1" s="1"/>
  <c r="J138" i="1"/>
  <c r="H138" i="1" s="1"/>
  <c r="J137" i="1"/>
  <c r="H137" i="1" s="1"/>
  <c r="J136" i="1"/>
  <c r="H136" i="1" s="1"/>
  <c r="J135" i="1"/>
  <c r="H135" i="1" s="1"/>
  <c r="J134" i="1"/>
  <c r="H134" i="1" s="1"/>
  <c r="J133" i="1"/>
  <c r="H133" i="1" s="1"/>
  <c r="J132" i="1"/>
  <c r="H132" i="1" s="1"/>
  <c r="J131" i="1"/>
  <c r="H131" i="1" s="1"/>
  <c r="J130" i="1"/>
  <c r="H130" i="1" s="1"/>
  <c r="J129" i="1"/>
  <c r="H129" i="1" s="1"/>
  <c r="J128" i="1"/>
  <c r="H128" i="1" s="1"/>
  <c r="J127" i="1"/>
  <c r="H127" i="1" s="1"/>
  <c r="J126" i="1"/>
  <c r="H126" i="1" s="1"/>
  <c r="J125" i="1"/>
  <c r="H125" i="1" s="1"/>
  <c r="J124" i="1"/>
  <c r="H124" i="1" s="1"/>
  <c r="J123" i="1"/>
  <c r="H123" i="1" s="1"/>
  <c r="J122" i="1"/>
  <c r="H122" i="1" s="1"/>
  <c r="J121" i="1"/>
  <c r="H121" i="1" s="1"/>
  <c r="J120" i="1"/>
  <c r="H120" i="1" s="1"/>
  <c r="J119" i="1"/>
  <c r="H119" i="1" s="1"/>
  <c r="J118" i="1"/>
  <c r="H118" i="1" s="1"/>
  <c r="J117" i="1"/>
  <c r="H117" i="1" s="1"/>
  <c r="J116" i="1"/>
  <c r="H116" i="1" s="1"/>
  <c r="J115" i="1"/>
  <c r="H115" i="1" s="1"/>
  <c r="J114" i="1"/>
  <c r="H114" i="1" s="1"/>
  <c r="J113" i="1"/>
  <c r="H113" i="1" s="1"/>
  <c r="J112" i="1"/>
  <c r="H112" i="1" s="1"/>
  <c r="J111" i="1"/>
  <c r="H111" i="1" s="1"/>
  <c r="J110" i="1"/>
  <c r="H110" i="1" s="1"/>
  <c r="J109" i="1"/>
  <c r="H109" i="1" s="1"/>
  <c r="J108" i="1"/>
  <c r="H108" i="1" s="1"/>
  <c r="J107" i="1"/>
  <c r="H107" i="1" s="1"/>
  <c r="J106" i="1"/>
  <c r="H106" i="1" s="1"/>
  <c r="J105" i="1"/>
  <c r="H105" i="1" s="1"/>
  <c r="J104" i="1"/>
  <c r="H104" i="1" s="1"/>
  <c r="J103" i="1"/>
  <c r="H103" i="1" s="1"/>
  <c r="J102" i="1"/>
  <c r="H102" i="1" s="1"/>
  <c r="J101" i="1"/>
  <c r="H101" i="1" s="1"/>
  <c r="J100" i="1"/>
  <c r="H100" i="1" s="1"/>
  <c r="J99" i="1"/>
  <c r="H99" i="1" s="1"/>
  <c r="J98" i="1"/>
  <c r="H98" i="1" s="1"/>
  <c r="J97" i="1"/>
  <c r="H97" i="1" s="1"/>
  <c r="J96" i="1"/>
  <c r="H96" i="1" s="1"/>
  <c r="J95" i="1"/>
  <c r="H95" i="1" s="1"/>
  <c r="J94" i="1"/>
  <c r="H94" i="1" s="1"/>
  <c r="J93" i="1"/>
  <c r="H93" i="1" s="1"/>
  <c r="J92" i="1"/>
  <c r="H92" i="1" s="1"/>
  <c r="J91" i="1"/>
  <c r="H91" i="1" s="1"/>
  <c r="J90" i="1"/>
  <c r="H90" i="1" s="1"/>
  <c r="J89" i="1"/>
  <c r="H89" i="1" s="1"/>
  <c r="J88" i="1"/>
  <c r="H88" i="1" s="1"/>
  <c r="J84" i="1"/>
  <c r="H84" i="1" s="1"/>
  <c r="J83" i="1"/>
  <c r="H83" i="1" s="1"/>
  <c r="J82" i="1"/>
  <c r="H82" i="1" s="1"/>
  <c r="J81" i="1"/>
  <c r="H81" i="1" s="1"/>
  <c r="J80" i="1"/>
  <c r="H80" i="1" s="1"/>
  <c r="H76" i="1"/>
  <c r="J75" i="1"/>
  <c r="H75" i="1" s="1"/>
  <c r="J74" i="1"/>
  <c r="H74" i="1" s="1"/>
  <c r="J73" i="1"/>
  <c r="H73" i="1" s="1"/>
  <c r="J72" i="1"/>
  <c r="H72" i="1" s="1"/>
  <c r="J68" i="1"/>
  <c r="H68" i="1" s="1"/>
  <c r="J67" i="1"/>
  <c r="H67" i="1" s="1"/>
  <c r="J66" i="1"/>
  <c r="H66" i="1" s="1"/>
  <c r="J65" i="1"/>
  <c r="H65" i="1" s="1"/>
  <c r="J64" i="1"/>
  <c r="H64" i="1" s="1"/>
  <c r="J60" i="1"/>
  <c r="H60" i="1" s="1"/>
  <c r="J59" i="1"/>
  <c r="H59" i="1" s="1"/>
  <c r="J58" i="1"/>
  <c r="H58" i="1" s="1"/>
  <c r="J57" i="1"/>
  <c r="H57" i="1" s="1"/>
  <c r="J56" i="1"/>
  <c r="H56" i="1" s="1"/>
  <c r="J52" i="1"/>
  <c r="H52" i="1" s="1"/>
  <c r="J51" i="1"/>
  <c r="H51" i="1" s="1"/>
  <c r="J50" i="1"/>
  <c r="H50" i="1" s="1"/>
  <c r="J49" i="1"/>
  <c r="H49" i="1" s="1"/>
  <c r="J48" i="1"/>
  <c r="H48" i="1" s="1"/>
  <c r="J44" i="1"/>
  <c r="H44" i="1" s="1"/>
  <c r="J43" i="1"/>
  <c r="H43" i="1" s="1"/>
  <c r="J42" i="1"/>
  <c r="H42" i="1" s="1"/>
  <c r="J41" i="1"/>
  <c r="H41" i="1" s="1"/>
  <c r="J40" i="1"/>
  <c r="H40" i="1" s="1"/>
  <c r="J34" i="1"/>
  <c r="H34" i="1" s="1"/>
  <c r="J33" i="1"/>
  <c r="H33" i="1" s="1"/>
  <c r="J32" i="1"/>
  <c r="H32" i="1" s="1"/>
  <c r="J31" i="1"/>
  <c r="H31" i="1" s="1"/>
  <c r="J30" i="1"/>
  <c r="H30" i="1" s="1"/>
  <c r="J24" i="1"/>
  <c r="H24" i="1" s="1"/>
  <c r="J23" i="1"/>
  <c r="H23" i="1" s="1"/>
  <c r="J22" i="1"/>
  <c r="H22" i="1" s="1"/>
  <c r="J21" i="1"/>
  <c r="H21" i="1" s="1"/>
  <c r="J20" i="1"/>
  <c r="H20" i="1" s="1"/>
  <c r="J16" i="1"/>
  <c r="H16" i="1" s="1"/>
  <c r="J15" i="1"/>
  <c r="H15" i="1" s="1"/>
  <c r="J14" i="1"/>
  <c r="H14" i="1" s="1"/>
  <c r="J13" i="1"/>
  <c r="H13" i="1" s="1"/>
  <c r="J9" i="1"/>
  <c r="H9" i="1" s="1"/>
  <c r="J8" i="1"/>
  <c r="H8" i="1" s="1"/>
  <c r="J7" i="1"/>
  <c r="H7" i="1" s="1"/>
  <c r="J6" i="1"/>
  <c r="H6" i="1" s="1"/>
  <c r="I40" i="1" l="1"/>
  <c r="E7" i="3" s="1"/>
  <c r="I13" i="1"/>
  <c r="E4" i="3" s="1"/>
  <c r="I20" i="1"/>
  <c r="E5" i="3" s="1"/>
  <c r="I30" i="1"/>
  <c r="E6" i="3" s="1"/>
  <c r="I72" i="1"/>
  <c r="E11" i="3" s="1"/>
  <c r="I48" i="1"/>
  <c r="E8" i="3" s="1"/>
  <c r="I64" i="1"/>
  <c r="E10" i="3" s="1"/>
  <c r="I80" i="1"/>
  <c r="E12" i="3" s="1"/>
  <c r="I56" i="1"/>
  <c r="E9" i="3" s="1"/>
  <c r="I6" i="1"/>
  <c r="E3" i="3" s="1"/>
  <c r="I146" i="1"/>
  <c r="E24" i="3" s="1"/>
  <c r="I183" i="1"/>
  <c r="E30" i="3" s="1"/>
  <c r="I88" i="1"/>
  <c r="E13" i="3" s="1"/>
  <c r="I144" i="1"/>
  <c r="E23" i="3" s="1"/>
  <c r="I141" i="1"/>
  <c r="E22" i="3" s="1"/>
  <c r="I135" i="1"/>
  <c r="E20" i="3" s="1"/>
  <c r="I132" i="1"/>
  <c r="E19" i="3" s="1"/>
  <c r="I124" i="1"/>
  <c r="E18" i="3" s="1"/>
  <c r="I116" i="1"/>
  <c r="E17" i="3" s="1"/>
  <c r="I109" i="1"/>
  <c r="E16" i="3" s="1"/>
  <c r="I102" i="1"/>
  <c r="E15" i="3" s="1"/>
  <c r="I95" i="1"/>
  <c r="E14" i="3" s="1"/>
  <c r="I138" i="1"/>
  <c r="E21" i="3" s="1"/>
  <c r="G12" i="4" l="1"/>
  <c r="F12" i="4"/>
  <c r="E12" i="4"/>
  <c r="D12" i="4"/>
  <c r="I12" i="4"/>
  <c r="H12" i="4"/>
  <c r="I14" i="3"/>
  <c r="I13" i="3"/>
  <c r="I12" i="3"/>
  <c r="I11" i="3"/>
  <c r="I10" i="3"/>
  <c r="I15" i="3"/>
  <c r="E11" i="4"/>
  <c r="D11" i="4"/>
  <c r="I11" i="4"/>
  <c r="H11" i="4"/>
  <c r="G11" i="4"/>
  <c r="F11" i="4"/>
  <c r="J598" i="1"/>
  <c r="H598" i="1" s="1"/>
  <c r="J599" i="1"/>
  <c r="H599" i="1" s="1"/>
  <c r="J600" i="1"/>
  <c r="H600" i="1" s="1"/>
  <c r="J601" i="1"/>
  <c r="H601" i="1" s="1"/>
  <c r="J602" i="1"/>
  <c r="J588" i="1"/>
  <c r="H588" i="1" s="1"/>
  <c r="J589" i="1"/>
  <c r="H589" i="1" s="1"/>
  <c r="J590" i="1"/>
  <c r="H590" i="1" s="1"/>
  <c r="J584" i="1" l="1"/>
  <c r="H584" i="1" s="1"/>
  <c r="J536" i="1" l="1"/>
  <c r="H536" i="1" s="1"/>
  <c r="J528" i="1"/>
  <c r="H528" i="1" s="1"/>
  <c r="E536" i="1"/>
  <c r="F536" i="1" s="1"/>
  <c r="E528" i="1"/>
  <c r="F528" i="1" s="1"/>
  <c r="J476" i="1" l="1"/>
  <c r="J475" i="1" l="1"/>
  <c r="E780" i="1" l="1"/>
  <c r="F780" i="1" s="1"/>
  <c r="E779" i="1"/>
  <c r="F779" i="1" s="1"/>
  <c r="E778" i="1"/>
  <c r="F778" i="1" s="1"/>
  <c r="E777" i="1"/>
  <c r="F777" i="1" s="1"/>
  <c r="J776" i="1"/>
  <c r="H776" i="1" s="1"/>
  <c r="E776" i="1"/>
  <c r="F776" i="1" s="1"/>
  <c r="J775" i="1"/>
  <c r="H775" i="1" s="1"/>
  <c r="E775" i="1"/>
  <c r="F775" i="1" s="1"/>
  <c r="J774" i="1"/>
  <c r="H774" i="1" s="1"/>
  <c r="E774" i="1"/>
  <c r="F774" i="1" s="1"/>
  <c r="J773" i="1"/>
  <c r="H773" i="1" s="1"/>
  <c r="E773" i="1"/>
  <c r="F773" i="1" s="1"/>
  <c r="E772" i="1"/>
  <c r="F772" i="1" s="1"/>
  <c r="E771" i="1"/>
  <c r="F771" i="1" s="1"/>
  <c r="E770" i="1"/>
  <c r="F770" i="1" s="1"/>
  <c r="E769" i="1"/>
  <c r="F769" i="1" s="1"/>
  <c r="E768" i="1"/>
  <c r="F768" i="1" s="1"/>
  <c r="E767" i="1"/>
  <c r="F767" i="1" s="1"/>
  <c r="E766" i="1"/>
  <c r="F766" i="1" s="1"/>
  <c r="E765" i="1"/>
  <c r="F765" i="1" s="1"/>
  <c r="E764" i="1"/>
  <c r="F764" i="1" s="1"/>
  <c r="E763" i="1"/>
  <c r="F763" i="1" s="1"/>
  <c r="E762" i="1"/>
  <c r="F762" i="1" s="1"/>
  <c r="E761" i="1"/>
  <c r="F761" i="1" s="1"/>
  <c r="E760" i="1"/>
  <c r="F760" i="1" s="1"/>
  <c r="E759" i="1"/>
  <c r="F759" i="1" s="1"/>
  <c r="E758" i="1"/>
  <c r="F758" i="1" s="1"/>
  <c r="E757" i="1"/>
  <c r="F757" i="1" s="1"/>
  <c r="E756" i="1"/>
  <c r="F756" i="1" s="1"/>
  <c r="E755" i="1"/>
  <c r="F755" i="1" s="1"/>
  <c r="E754" i="1"/>
  <c r="F754" i="1" s="1"/>
  <c r="E753" i="1"/>
  <c r="F753" i="1" s="1"/>
  <c r="E752" i="1"/>
  <c r="F752" i="1" s="1"/>
  <c r="E751" i="1"/>
  <c r="F751" i="1" s="1"/>
  <c r="E750" i="1"/>
  <c r="F750" i="1" s="1"/>
  <c r="E749" i="1"/>
  <c r="F749" i="1" s="1"/>
  <c r="E748" i="1"/>
  <c r="F748" i="1" s="1"/>
  <c r="J747" i="1"/>
  <c r="H747" i="1" s="1"/>
  <c r="E747" i="1"/>
  <c r="F747" i="1" s="1"/>
  <c r="J746" i="1"/>
  <c r="H746" i="1" s="1"/>
  <c r="E746" i="1"/>
  <c r="F746" i="1" s="1"/>
  <c r="J745" i="1"/>
  <c r="H745" i="1" s="1"/>
  <c r="E745" i="1"/>
  <c r="F745" i="1" s="1"/>
  <c r="J744" i="1"/>
  <c r="H744" i="1" s="1"/>
  <c r="E744" i="1"/>
  <c r="F744" i="1" s="1"/>
  <c r="J743" i="1"/>
  <c r="H743" i="1" s="1"/>
  <c r="E743" i="1"/>
  <c r="F743" i="1" s="1"/>
  <c r="J742" i="1"/>
  <c r="H742" i="1" s="1"/>
  <c r="E742" i="1"/>
  <c r="F742" i="1" s="1"/>
  <c r="J741" i="1"/>
  <c r="H741" i="1" s="1"/>
  <c r="E741" i="1"/>
  <c r="F741" i="1" s="1"/>
  <c r="J740" i="1"/>
  <c r="H740" i="1" s="1"/>
  <c r="E740" i="1"/>
  <c r="F740" i="1" s="1"/>
  <c r="J739" i="1"/>
  <c r="H739" i="1" s="1"/>
  <c r="E739" i="1"/>
  <c r="F739" i="1" s="1"/>
  <c r="E738" i="1"/>
  <c r="F738" i="1" s="1"/>
  <c r="E737" i="1"/>
  <c r="F737" i="1" s="1"/>
  <c r="E736" i="1"/>
  <c r="F736" i="1" s="1"/>
  <c r="E735" i="1"/>
  <c r="F735" i="1" s="1"/>
  <c r="E734" i="1"/>
  <c r="F734" i="1" s="1"/>
  <c r="E733" i="1"/>
  <c r="F733" i="1" s="1"/>
  <c r="E732" i="1"/>
  <c r="F732" i="1" s="1"/>
  <c r="E731" i="1"/>
  <c r="F731" i="1" s="1"/>
  <c r="E730" i="1"/>
  <c r="F730" i="1" s="1"/>
  <c r="E729" i="1"/>
  <c r="F729" i="1" s="1"/>
  <c r="J728" i="1"/>
  <c r="H728" i="1" s="1"/>
  <c r="E728" i="1"/>
  <c r="F728" i="1" s="1"/>
  <c r="J727" i="1"/>
  <c r="H727" i="1" s="1"/>
  <c r="E727" i="1"/>
  <c r="F727" i="1" s="1"/>
  <c r="J726" i="1"/>
  <c r="H726" i="1" s="1"/>
  <c r="E726" i="1"/>
  <c r="F726" i="1" s="1"/>
  <c r="J725" i="1"/>
  <c r="H725" i="1" s="1"/>
  <c r="E725" i="1"/>
  <c r="F725" i="1" s="1"/>
  <c r="J724" i="1"/>
  <c r="H724" i="1" s="1"/>
  <c r="E724" i="1"/>
  <c r="F724" i="1" s="1"/>
  <c r="J723" i="1"/>
  <c r="H723" i="1" s="1"/>
  <c r="E723" i="1"/>
  <c r="F723" i="1" s="1"/>
  <c r="J722" i="1"/>
  <c r="H722" i="1" s="1"/>
  <c r="E722" i="1"/>
  <c r="F722" i="1" s="1"/>
  <c r="J721" i="1"/>
  <c r="H721" i="1" s="1"/>
  <c r="E721" i="1"/>
  <c r="F721" i="1" s="1"/>
  <c r="J720" i="1"/>
  <c r="H720" i="1" s="1"/>
  <c r="E720" i="1"/>
  <c r="F720" i="1" s="1"/>
  <c r="J719" i="1"/>
  <c r="H719" i="1" s="1"/>
  <c r="E719" i="1"/>
  <c r="F719" i="1" s="1"/>
  <c r="E718" i="1"/>
  <c r="F718" i="1" s="1"/>
  <c r="E717" i="1"/>
  <c r="F717" i="1" s="1"/>
  <c r="E716" i="1"/>
  <c r="F716" i="1" s="1"/>
  <c r="E715" i="1"/>
  <c r="F715" i="1" s="1"/>
  <c r="E714" i="1"/>
  <c r="F714" i="1" s="1"/>
  <c r="E713" i="1"/>
  <c r="F713" i="1" s="1"/>
  <c r="E712" i="1"/>
  <c r="F712" i="1" s="1"/>
  <c r="E711" i="1"/>
  <c r="F711" i="1" s="1"/>
  <c r="E710" i="1"/>
  <c r="F710" i="1" s="1"/>
  <c r="E709" i="1"/>
  <c r="F709" i="1" s="1"/>
  <c r="E708" i="1"/>
  <c r="F708" i="1" s="1"/>
  <c r="E707" i="1"/>
  <c r="F707" i="1" s="1"/>
  <c r="E706" i="1"/>
  <c r="F706" i="1" s="1"/>
  <c r="E705" i="1"/>
  <c r="F705" i="1" s="1"/>
  <c r="E704" i="1"/>
  <c r="F704" i="1" s="1"/>
  <c r="E703" i="1"/>
  <c r="F703" i="1" s="1"/>
  <c r="E702" i="1"/>
  <c r="F702" i="1" s="1"/>
  <c r="E701" i="1"/>
  <c r="F701" i="1" s="1"/>
  <c r="E700" i="1"/>
  <c r="F700" i="1" s="1"/>
  <c r="E699" i="1"/>
  <c r="F699" i="1" s="1"/>
  <c r="E698" i="1"/>
  <c r="F698" i="1" s="1"/>
  <c r="E697" i="1"/>
  <c r="F697" i="1" s="1"/>
  <c r="E696" i="1"/>
  <c r="F696" i="1" s="1"/>
  <c r="E695" i="1"/>
  <c r="F695" i="1" s="1"/>
  <c r="E694" i="1"/>
  <c r="F694" i="1" s="1"/>
  <c r="E693" i="1"/>
  <c r="F693" i="1" s="1"/>
  <c r="E692" i="1"/>
  <c r="F692" i="1" s="1"/>
  <c r="E691" i="1"/>
  <c r="F691" i="1" s="1"/>
  <c r="E690" i="1"/>
  <c r="F690" i="1" s="1"/>
  <c r="E689" i="1"/>
  <c r="F689" i="1" s="1"/>
  <c r="E688" i="1"/>
  <c r="F688" i="1" s="1"/>
  <c r="E687" i="1"/>
  <c r="F687" i="1" s="1"/>
  <c r="E686" i="1"/>
  <c r="F686" i="1" s="1"/>
  <c r="E685" i="1"/>
  <c r="F685" i="1" s="1"/>
  <c r="E684" i="1"/>
  <c r="F684" i="1" s="1"/>
  <c r="E683" i="1"/>
  <c r="F683" i="1" s="1"/>
  <c r="E682" i="1"/>
  <c r="F682" i="1" s="1"/>
  <c r="E681" i="1"/>
  <c r="F681" i="1" s="1"/>
  <c r="E680" i="1"/>
  <c r="F680" i="1" s="1"/>
  <c r="E679" i="1"/>
  <c r="F679" i="1" s="1"/>
  <c r="J678" i="1"/>
  <c r="H678" i="1" s="1"/>
  <c r="E678" i="1"/>
  <c r="F678" i="1" s="1"/>
  <c r="J677" i="1"/>
  <c r="H677" i="1" s="1"/>
  <c r="E677" i="1"/>
  <c r="F677" i="1" s="1"/>
  <c r="J676" i="1"/>
  <c r="H676" i="1" s="1"/>
  <c r="E676" i="1"/>
  <c r="F676" i="1" s="1"/>
  <c r="J675" i="1"/>
  <c r="H675" i="1" s="1"/>
  <c r="E675" i="1"/>
  <c r="F675" i="1" s="1"/>
  <c r="J674" i="1"/>
  <c r="H674" i="1" s="1"/>
  <c r="E674" i="1"/>
  <c r="F674" i="1" s="1"/>
  <c r="J673" i="1"/>
  <c r="H673" i="1" s="1"/>
  <c r="E673" i="1"/>
  <c r="F673" i="1" s="1"/>
  <c r="J672" i="1"/>
  <c r="H672" i="1" s="1"/>
  <c r="E672" i="1"/>
  <c r="F672" i="1" s="1"/>
  <c r="J671" i="1"/>
  <c r="H671" i="1" s="1"/>
  <c r="E671" i="1"/>
  <c r="F671" i="1" s="1"/>
  <c r="J670" i="1"/>
  <c r="H670" i="1" s="1"/>
  <c r="E670" i="1"/>
  <c r="F670" i="1" s="1"/>
  <c r="J669" i="1"/>
  <c r="H669" i="1" s="1"/>
  <c r="E669" i="1"/>
  <c r="F669" i="1" s="1"/>
  <c r="E668" i="1"/>
  <c r="F668" i="1" s="1"/>
  <c r="E667" i="1"/>
  <c r="F667" i="1" s="1"/>
  <c r="E666" i="1"/>
  <c r="F666" i="1" s="1"/>
  <c r="F665" i="1"/>
  <c r="E664" i="1"/>
  <c r="F664" i="1" s="1"/>
  <c r="E663" i="1"/>
  <c r="F663" i="1" s="1"/>
  <c r="E662" i="1"/>
  <c r="F662" i="1" s="1"/>
  <c r="E661" i="1"/>
  <c r="F661" i="1" s="1"/>
  <c r="E660" i="1"/>
  <c r="F660" i="1" s="1"/>
  <c r="E659" i="1"/>
  <c r="F659" i="1" s="1"/>
  <c r="H602" i="1"/>
  <c r="J597" i="1"/>
  <c r="H597" i="1" s="1"/>
  <c r="J596" i="1"/>
  <c r="H596" i="1" s="1"/>
  <c r="J595" i="1"/>
  <c r="H595" i="1" s="1"/>
  <c r="J594" i="1"/>
  <c r="H594" i="1" s="1"/>
  <c r="J593" i="1"/>
  <c r="H593" i="1" s="1"/>
  <c r="J592" i="1"/>
  <c r="H592" i="1" s="1"/>
  <c r="J591" i="1"/>
  <c r="H591" i="1" s="1"/>
  <c r="J587" i="1"/>
  <c r="H587" i="1" s="1"/>
  <c r="J586" i="1"/>
  <c r="H586" i="1" s="1"/>
  <c r="J585" i="1"/>
  <c r="H585" i="1" s="1"/>
  <c r="J583" i="1"/>
  <c r="H583" i="1" s="1"/>
  <c r="J582" i="1"/>
  <c r="H582" i="1" s="1"/>
  <c r="H581" i="1"/>
  <c r="J578" i="1"/>
  <c r="H578" i="1" s="1"/>
  <c r="E578" i="1"/>
  <c r="F578" i="1" s="1"/>
  <c r="J570" i="1"/>
  <c r="H570" i="1" s="1"/>
  <c r="E570" i="1"/>
  <c r="F570" i="1" s="1"/>
  <c r="J569" i="1"/>
  <c r="H569" i="1" s="1"/>
  <c r="E569" i="1"/>
  <c r="F569" i="1" s="1"/>
  <c r="J568" i="1"/>
  <c r="H568" i="1" s="1"/>
  <c r="E568" i="1"/>
  <c r="F568" i="1" s="1"/>
  <c r="J567" i="1"/>
  <c r="H567" i="1" s="1"/>
  <c r="E567" i="1"/>
  <c r="F567" i="1" s="1"/>
  <c r="J566" i="1"/>
  <c r="H566" i="1" s="1"/>
  <c r="E566" i="1"/>
  <c r="F566" i="1" s="1"/>
  <c r="J565" i="1"/>
  <c r="H565" i="1" s="1"/>
  <c r="E565" i="1"/>
  <c r="F565" i="1" s="1"/>
  <c r="J564" i="1"/>
  <c r="H564" i="1" s="1"/>
  <c r="E564" i="1"/>
  <c r="F564" i="1" s="1"/>
  <c r="J563" i="1"/>
  <c r="H563" i="1" s="1"/>
  <c r="E563" i="1"/>
  <c r="F563" i="1" s="1"/>
  <c r="H562" i="1"/>
  <c r="E562" i="1"/>
  <c r="F562" i="1" s="1"/>
  <c r="J561" i="1"/>
  <c r="H561" i="1" s="1"/>
  <c r="E561" i="1"/>
  <c r="F561" i="1" s="1"/>
  <c r="J560" i="1"/>
  <c r="H560" i="1" s="1"/>
  <c r="E560" i="1"/>
  <c r="F560" i="1" s="1"/>
  <c r="J559" i="1"/>
  <c r="H559" i="1" s="1"/>
  <c r="E559" i="1"/>
  <c r="F559" i="1" s="1"/>
  <c r="J558" i="1"/>
  <c r="H558" i="1" s="1"/>
  <c r="E558" i="1"/>
  <c r="F558" i="1" s="1"/>
  <c r="J557" i="1"/>
  <c r="H557" i="1" s="1"/>
  <c r="E557" i="1"/>
  <c r="F557" i="1" s="1"/>
  <c r="J553" i="1"/>
  <c r="H553" i="1" s="1"/>
  <c r="E553" i="1"/>
  <c r="F553" i="1" s="1"/>
  <c r="J552" i="1"/>
  <c r="H552" i="1" s="1"/>
  <c r="E552" i="1"/>
  <c r="F552" i="1" s="1"/>
  <c r="J551" i="1"/>
  <c r="H551" i="1" s="1"/>
  <c r="E551" i="1"/>
  <c r="F551" i="1" s="1"/>
  <c r="J550" i="1"/>
  <c r="H550" i="1" s="1"/>
  <c r="E550" i="1"/>
  <c r="F550" i="1" s="1"/>
  <c r="J546" i="1"/>
  <c r="H546" i="1" s="1"/>
  <c r="E546" i="1"/>
  <c r="F546" i="1" s="1"/>
  <c r="J545" i="1"/>
  <c r="H545" i="1" s="1"/>
  <c r="E545" i="1"/>
  <c r="F545" i="1" s="1"/>
  <c r="J544" i="1"/>
  <c r="H544" i="1" s="1"/>
  <c r="E544" i="1"/>
  <c r="F544" i="1" s="1"/>
  <c r="J543" i="1"/>
  <c r="H543" i="1" s="1"/>
  <c r="E543" i="1"/>
  <c r="F543" i="1" s="1"/>
  <c r="J539" i="1"/>
  <c r="H539" i="1" s="1"/>
  <c r="E539" i="1"/>
  <c r="F539" i="1" s="1"/>
  <c r="J538" i="1"/>
  <c r="H538" i="1" s="1"/>
  <c r="E538" i="1"/>
  <c r="F538" i="1" s="1"/>
  <c r="J537" i="1"/>
  <c r="H537" i="1" s="1"/>
  <c r="E537" i="1"/>
  <c r="F537" i="1" s="1"/>
  <c r="J535" i="1"/>
  <c r="H535" i="1" s="1"/>
  <c r="E535" i="1"/>
  <c r="F535" i="1" s="1"/>
  <c r="J531" i="1"/>
  <c r="H531" i="1" s="1"/>
  <c r="E531" i="1"/>
  <c r="F531" i="1" s="1"/>
  <c r="J530" i="1"/>
  <c r="H530" i="1" s="1"/>
  <c r="E530" i="1"/>
  <c r="F530" i="1" s="1"/>
  <c r="J529" i="1"/>
  <c r="H529" i="1" s="1"/>
  <c r="E529" i="1"/>
  <c r="F529" i="1" s="1"/>
  <c r="J527" i="1"/>
  <c r="H527" i="1" s="1"/>
  <c r="E527" i="1"/>
  <c r="F527" i="1" s="1"/>
  <c r="J526" i="1"/>
  <c r="H526" i="1" s="1"/>
  <c r="E526" i="1"/>
  <c r="F526" i="1" s="1"/>
  <c r="J525" i="1"/>
  <c r="H525" i="1" s="1"/>
  <c r="E525" i="1"/>
  <c r="F525" i="1" s="1"/>
  <c r="J524" i="1"/>
  <c r="H524" i="1" s="1"/>
  <c r="E524" i="1"/>
  <c r="F524" i="1" s="1"/>
  <c r="J523" i="1"/>
  <c r="H523" i="1" s="1"/>
  <c r="E523" i="1"/>
  <c r="F523" i="1" s="1"/>
  <c r="J522" i="1"/>
  <c r="H522" i="1" s="1"/>
  <c r="E522" i="1"/>
  <c r="F522" i="1" s="1"/>
  <c r="J521" i="1"/>
  <c r="H521" i="1" s="1"/>
  <c r="E521" i="1"/>
  <c r="F521" i="1" s="1"/>
  <c r="J520" i="1"/>
  <c r="H520" i="1" s="1"/>
  <c r="E520" i="1"/>
  <c r="F520" i="1" s="1"/>
  <c r="J519" i="1"/>
  <c r="H519" i="1" s="1"/>
  <c r="E519" i="1"/>
  <c r="F519" i="1" s="1"/>
  <c r="J518" i="1"/>
  <c r="H518" i="1" s="1"/>
  <c r="E518" i="1"/>
  <c r="F518" i="1" s="1"/>
  <c r="J517" i="1"/>
  <c r="H517" i="1" s="1"/>
  <c r="E517" i="1"/>
  <c r="F517" i="1" s="1"/>
  <c r="J516" i="1"/>
  <c r="H516" i="1" s="1"/>
  <c r="E516" i="1"/>
  <c r="F516" i="1" s="1"/>
  <c r="J515" i="1"/>
  <c r="H515" i="1" s="1"/>
  <c r="E515" i="1"/>
  <c r="F515" i="1" s="1"/>
  <c r="J514" i="1"/>
  <c r="H514" i="1" s="1"/>
  <c r="E514" i="1"/>
  <c r="F514" i="1" s="1"/>
  <c r="J513" i="1"/>
  <c r="H513" i="1" s="1"/>
  <c r="E513" i="1"/>
  <c r="F513" i="1" s="1"/>
  <c r="J512" i="1"/>
  <c r="H512" i="1" s="1"/>
  <c r="E512" i="1"/>
  <c r="F512" i="1" s="1"/>
  <c r="J511" i="1"/>
  <c r="H511" i="1" s="1"/>
  <c r="E511" i="1"/>
  <c r="F511" i="1" s="1"/>
  <c r="J510" i="1"/>
  <c r="H510" i="1" s="1"/>
  <c r="E510" i="1"/>
  <c r="F510" i="1" s="1"/>
  <c r="J509" i="1"/>
  <c r="H509" i="1" s="1"/>
  <c r="E509" i="1"/>
  <c r="F509" i="1" s="1"/>
  <c r="J508" i="1"/>
  <c r="H508" i="1" s="1"/>
  <c r="E508" i="1"/>
  <c r="F508" i="1" s="1"/>
  <c r="J507" i="1"/>
  <c r="H507" i="1" s="1"/>
  <c r="E507" i="1"/>
  <c r="F507" i="1" s="1"/>
  <c r="J506" i="1"/>
  <c r="H506" i="1" s="1"/>
  <c r="E506" i="1"/>
  <c r="F506" i="1" s="1"/>
  <c r="J505" i="1"/>
  <c r="H505" i="1" s="1"/>
  <c r="E505" i="1"/>
  <c r="F505" i="1" s="1"/>
  <c r="J501" i="1"/>
  <c r="H501" i="1" s="1"/>
  <c r="E501" i="1"/>
  <c r="F501" i="1" s="1"/>
  <c r="J500" i="1"/>
  <c r="H500" i="1" s="1"/>
  <c r="E500" i="1"/>
  <c r="F500" i="1" s="1"/>
  <c r="J499" i="1"/>
  <c r="H499" i="1" s="1"/>
  <c r="E499" i="1"/>
  <c r="F499" i="1" s="1"/>
  <c r="J498" i="1"/>
  <c r="H498" i="1" s="1"/>
  <c r="E498" i="1"/>
  <c r="F498" i="1" s="1"/>
  <c r="J497" i="1"/>
  <c r="H497" i="1" s="1"/>
  <c r="E497" i="1"/>
  <c r="F497" i="1" s="1"/>
  <c r="J493" i="1"/>
  <c r="H493" i="1" s="1"/>
  <c r="E493" i="1"/>
  <c r="F493" i="1" s="1"/>
  <c r="J492" i="1"/>
  <c r="H492" i="1" s="1"/>
  <c r="E492" i="1"/>
  <c r="F492" i="1" s="1"/>
  <c r="J491" i="1"/>
  <c r="H491" i="1" s="1"/>
  <c r="E491" i="1"/>
  <c r="F491" i="1" s="1"/>
  <c r="J490" i="1"/>
  <c r="H490" i="1" s="1"/>
  <c r="E490" i="1"/>
  <c r="F490" i="1" s="1"/>
  <c r="J489" i="1"/>
  <c r="H489" i="1" s="1"/>
  <c r="E489" i="1"/>
  <c r="F489" i="1" s="1"/>
  <c r="J488" i="1"/>
  <c r="H488" i="1" s="1"/>
  <c r="E488" i="1"/>
  <c r="F488" i="1" s="1"/>
  <c r="J487" i="1"/>
  <c r="H487" i="1" s="1"/>
  <c r="E487" i="1"/>
  <c r="F487" i="1" s="1"/>
  <c r="E486" i="1"/>
  <c r="F486" i="1" s="1"/>
  <c r="J485" i="1"/>
  <c r="H485" i="1" s="1"/>
  <c r="E485" i="1"/>
  <c r="F485" i="1" s="1"/>
  <c r="J484" i="1"/>
  <c r="H484" i="1" s="1"/>
  <c r="E484" i="1"/>
  <c r="F484" i="1" s="1"/>
  <c r="J483" i="1"/>
  <c r="H483" i="1" s="1"/>
  <c r="E483" i="1"/>
  <c r="F483" i="1" s="1"/>
  <c r="J482" i="1"/>
  <c r="H482" i="1" s="1"/>
  <c r="E482" i="1"/>
  <c r="F482" i="1" s="1"/>
  <c r="J481" i="1"/>
  <c r="H481" i="1" s="1"/>
  <c r="E481" i="1"/>
  <c r="F481" i="1" s="1"/>
  <c r="J480" i="1"/>
  <c r="H480" i="1" s="1"/>
  <c r="E480" i="1"/>
  <c r="F480" i="1" s="1"/>
  <c r="J479" i="1"/>
  <c r="H479" i="1" s="1"/>
  <c r="E479" i="1"/>
  <c r="F479" i="1" s="1"/>
  <c r="J478" i="1"/>
  <c r="H478" i="1" s="1"/>
  <c r="E478" i="1"/>
  <c r="F478" i="1" s="1"/>
  <c r="J477" i="1"/>
  <c r="H477" i="1" s="1"/>
  <c r="E477" i="1"/>
  <c r="F477" i="1" s="1"/>
  <c r="H476" i="1"/>
  <c r="E476" i="1"/>
  <c r="F476" i="1" s="1"/>
  <c r="H475" i="1"/>
  <c r="E475" i="1"/>
  <c r="F475" i="1" s="1"/>
  <c r="J474" i="1"/>
  <c r="H474" i="1" s="1"/>
  <c r="E474" i="1"/>
  <c r="F474" i="1" s="1"/>
  <c r="J473" i="1"/>
  <c r="H473" i="1" s="1"/>
  <c r="E473" i="1"/>
  <c r="F473" i="1" s="1"/>
  <c r="J472" i="1"/>
  <c r="H472" i="1" s="1"/>
  <c r="E472" i="1"/>
  <c r="F472" i="1" s="1"/>
  <c r="J471" i="1"/>
  <c r="H471" i="1" s="1"/>
  <c r="E471" i="1"/>
  <c r="F471" i="1" s="1"/>
  <c r="J470" i="1"/>
  <c r="H470" i="1" s="1"/>
  <c r="E470" i="1"/>
  <c r="F470" i="1" s="1"/>
  <c r="J469" i="1"/>
  <c r="H469" i="1" s="1"/>
  <c r="E469" i="1"/>
  <c r="F469" i="1" s="1"/>
  <c r="J468" i="1"/>
  <c r="H468" i="1" s="1"/>
  <c r="E468" i="1"/>
  <c r="F468" i="1" s="1"/>
  <c r="J467" i="1"/>
  <c r="H467" i="1" s="1"/>
  <c r="E467" i="1"/>
  <c r="F467" i="1" s="1"/>
  <c r="J466" i="1"/>
  <c r="H466" i="1" s="1"/>
  <c r="E466" i="1"/>
  <c r="F466" i="1" s="1"/>
  <c r="J465" i="1"/>
  <c r="H465" i="1" s="1"/>
  <c r="E465" i="1"/>
  <c r="F465" i="1" s="1"/>
  <c r="J464" i="1"/>
  <c r="H464" i="1" s="1"/>
  <c r="E464" i="1"/>
  <c r="F464" i="1" s="1"/>
  <c r="J463" i="1"/>
  <c r="H463" i="1" s="1"/>
  <c r="E463" i="1"/>
  <c r="F463" i="1" s="1"/>
  <c r="J462" i="1"/>
  <c r="H462" i="1" s="1"/>
  <c r="E462" i="1"/>
  <c r="F462" i="1" s="1"/>
  <c r="J461" i="1"/>
  <c r="H461" i="1" s="1"/>
  <c r="E461" i="1"/>
  <c r="F461" i="1" s="1"/>
  <c r="J460" i="1"/>
  <c r="H460" i="1" s="1"/>
  <c r="E460" i="1"/>
  <c r="F460" i="1" s="1"/>
  <c r="J459" i="1"/>
  <c r="H459" i="1" s="1"/>
  <c r="E459" i="1"/>
  <c r="F459" i="1" s="1"/>
  <c r="J458" i="1"/>
  <c r="H458" i="1" s="1"/>
  <c r="E458" i="1"/>
  <c r="F458" i="1" s="1"/>
  <c r="J457" i="1"/>
  <c r="H457" i="1" s="1"/>
  <c r="E457" i="1"/>
  <c r="F457" i="1" s="1"/>
  <c r="J456" i="1"/>
  <c r="H456" i="1" s="1"/>
  <c r="E456" i="1"/>
  <c r="F456" i="1" s="1"/>
  <c r="J455" i="1"/>
  <c r="H455" i="1" s="1"/>
  <c r="E455" i="1"/>
  <c r="F455" i="1" s="1"/>
  <c r="J449" i="1"/>
  <c r="H449" i="1" s="1"/>
  <c r="E449" i="1"/>
  <c r="F449" i="1" s="1"/>
  <c r="J448" i="1"/>
  <c r="H448" i="1" s="1"/>
  <c r="E448" i="1"/>
  <c r="F448" i="1" s="1"/>
  <c r="J447" i="1"/>
  <c r="H447" i="1" s="1"/>
  <c r="E447" i="1"/>
  <c r="F447" i="1" s="1"/>
  <c r="J446" i="1"/>
  <c r="H446" i="1" s="1"/>
  <c r="E446" i="1"/>
  <c r="F446" i="1" s="1"/>
  <c r="J445" i="1"/>
  <c r="H445" i="1" s="1"/>
  <c r="E445" i="1"/>
  <c r="F445" i="1" s="1"/>
  <c r="J439" i="1"/>
  <c r="H439" i="1" s="1"/>
  <c r="E439" i="1"/>
  <c r="F439" i="1" s="1"/>
  <c r="J438" i="1"/>
  <c r="H438" i="1" s="1"/>
  <c r="E438" i="1"/>
  <c r="F438" i="1" s="1"/>
  <c r="J437" i="1"/>
  <c r="H437" i="1" s="1"/>
  <c r="E437" i="1"/>
  <c r="F437" i="1" s="1"/>
  <c r="J436" i="1"/>
  <c r="H436" i="1" s="1"/>
  <c r="E436" i="1"/>
  <c r="F436" i="1" s="1"/>
  <c r="J435" i="1"/>
  <c r="H435" i="1" s="1"/>
  <c r="E435" i="1"/>
  <c r="F435" i="1" s="1"/>
  <c r="J434" i="1"/>
  <c r="H434" i="1" s="1"/>
  <c r="E434" i="1"/>
  <c r="F434" i="1" s="1"/>
  <c r="J433" i="1"/>
  <c r="H433" i="1" s="1"/>
  <c r="E433" i="1"/>
  <c r="F433" i="1" s="1"/>
  <c r="J432" i="1"/>
  <c r="H432" i="1" s="1"/>
  <c r="E432" i="1"/>
  <c r="F432" i="1" s="1"/>
  <c r="J431" i="1"/>
  <c r="H431" i="1" s="1"/>
  <c r="E431" i="1"/>
  <c r="F431" i="1" s="1"/>
  <c r="J430" i="1"/>
  <c r="H430" i="1" s="1"/>
  <c r="E430" i="1"/>
  <c r="F430" i="1" s="1"/>
  <c r="J429" i="1"/>
  <c r="H429" i="1" s="1"/>
  <c r="E429" i="1"/>
  <c r="F429" i="1" s="1"/>
  <c r="J428" i="1"/>
  <c r="H428" i="1" s="1"/>
  <c r="E428" i="1"/>
  <c r="F428" i="1" s="1"/>
  <c r="J427" i="1"/>
  <c r="H427" i="1" s="1"/>
  <c r="E427" i="1"/>
  <c r="F427" i="1" s="1"/>
  <c r="J426" i="1"/>
  <c r="H426" i="1" s="1"/>
  <c r="E426" i="1"/>
  <c r="F426" i="1" s="1"/>
  <c r="J425" i="1"/>
  <c r="H425" i="1" s="1"/>
  <c r="E425" i="1"/>
  <c r="F425" i="1" s="1"/>
  <c r="J424" i="1"/>
  <c r="H424" i="1" s="1"/>
  <c r="E424" i="1"/>
  <c r="F424" i="1" s="1"/>
  <c r="J423" i="1"/>
  <c r="H423" i="1" s="1"/>
  <c r="E423" i="1"/>
  <c r="F423" i="1" s="1"/>
  <c r="J422" i="1"/>
  <c r="H422" i="1" s="1"/>
  <c r="E422" i="1"/>
  <c r="F422" i="1" s="1"/>
  <c r="J421" i="1"/>
  <c r="H421" i="1" s="1"/>
  <c r="E421" i="1"/>
  <c r="F421" i="1" s="1"/>
  <c r="J420" i="1"/>
  <c r="H420" i="1" s="1"/>
  <c r="E420" i="1"/>
  <c r="F420" i="1" s="1"/>
  <c r="J419" i="1"/>
  <c r="H419" i="1" s="1"/>
  <c r="E419" i="1"/>
  <c r="F419" i="1" s="1"/>
  <c r="J418" i="1"/>
  <c r="H418" i="1" s="1"/>
  <c r="E418" i="1"/>
  <c r="F418" i="1" s="1"/>
  <c r="J417" i="1"/>
  <c r="H417" i="1" s="1"/>
  <c r="E417" i="1"/>
  <c r="F417" i="1" s="1"/>
  <c r="J416" i="1"/>
  <c r="H416" i="1" s="1"/>
  <c r="E416" i="1"/>
  <c r="F416" i="1" s="1"/>
  <c r="J415" i="1"/>
  <c r="H415" i="1" s="1"/>
  <c r="E415" i="1"/>
  <c r="F415" i="1" s="1"/>
  <c r="J414" i="1"/>
  <c r="H414" i="1" s="1"/>
  <c r="E414" i="1"/>
  <c r="F414" i="1" s="1"/>
  <c r="J413" i="1"/>
  <c r="H413" i="1" s="1"/>
  <c r="E413" i="1"/>
  <c r="F413" i="1" s="1"/>
  <c r="J412" i="1"/>
  <c r="H412" i="1" s="1"/>
  <c r="E412" i="1"/>
  <c r="F412" i="1" s="1"/>
  <c r="J411" i="1"/>
  <c r="H411" i="1" s="1"/>
  <c r="E411" i="1"/>
  <c r="F411" i="1" s="1"/>
  <c r="J410" i="1"/>
  <c r="H410" i="1" s="1"/>
  <c r="E410" i="1"/>
  <c r="F410" i="1" s="1"/>
  <c r="J409" i="1"/>
  <c r="H409" i="1" s="1"/>
  <c r="E409" i="1"/>
  <c r="F409" i="1" s="1"/>
  <c r="J408" i="1"/>
  <c r="H408" i="1" s="1"/>
  <c r="E408" i="1"/>
  <c r="F408" i="1" s="1"/>
  <c r="J407" i="1"/>
  <c r="H407" i="1" s="1"/>
  <c r="E407" i="1"/>
  <c r="F407" i="1" s="1"/>
  <c r="J406" i="1"/>
  <c r="H406" i="1" s="1"/>
  <c r="E406" i="1"/>
  <c r="F406" i="1" s="1"/>
  <c r="J405" i="1"/>
  <c r="H405" i="1" s="1"/>
  <c r="E405" i="1"/>
  <c r="F405" i="1" s="1"/>
  <c r="J404" i="1"/>
  <c r="H404" i="1" s="1"/>
  <c r="E404" i="1"/>
  <c r="F404" i="1" s="1"/>
  <c r="J403" i="1"/>
  <c r="H403" i="1" s="1"/>
  <c r="E403" i="1"/>
  <c r="F403" i="1" s="1"/>
  <c r="J402" i="1"/>
  <c r="H402" i="1" s="1"/>
  <c r="E402" i="1"/>
  <c r="F402" i="1" s="1"/>
  <c r="J401" i="1"/>
  <c r="H401" i="1" s="1"/>
  <c r="E401" i="1"/>
  <c r="F401" i="1" s="1"/>
  <c r="J400" i="1"/>
  <c r="H400" i="1" s="1"/>
  <c r="E400" i="1"/>
  <c r="F400" i="1" s="1"/>
  <c r="J399" i="1"/>
  <c r="H399" i="1" s="1"/>
  <c r="E399" i="1"/>
  <c r="F399" i="1" s="1"/>
  <c r="J398" i="1"/>
  <c r="H398" i="1" s="1"/>
  <c r="E398" i="1"/>
  <c r="F398" i="1" s="1"/>
  <c r="J397" i="1"/>
  <c r="H397" i="1" s="1"/>
  <c r="E397" i="1"/>
  <c r="F397" i="1" s="1"/>
  <c r="J396" i="1"/>
  <c r="H396" i="1" s="1"/>
  <c r="E396" i="1"/>
  <c r="F396" i="1" s="1"/>
  <c r="J395" i="1"/>
  <c r="H395" i="1" s="1"/>
  <c r="E395" i="1"/>
  <c r="F395" i="1" s="1"/>
  <c r="J394" i="1"/>
  <c r="H394" i="1" s="1"/>
  <c r="E394" i="1"/>
  <c r="F394" i="1" s="1"/>
  <c r="J393" i="1"/>
  <c r="H393" i="1" s="1"/>
  <c r="E393" i="1"/>
  <c r="F393" i="1" s="1"/>
  <c r="J392" i="1"/>
  <c r="H392" i="1" s="1"/>
  <c r="E392" i="1"/>
  <c r="F392" i="1" s="1"/>
  <c r="J391" i="1"/>
  <c r="H391" i="1" s="1"/>
  <c r="E391" i="1"/>
  <c r="F391" i="1" s="1"/>
  <c r="J390" i="1"/>
  <c r="H390" i="1" s="1"/>
  <c r="E390" i="1"/>
  <c r="F390" i="1" s="1"/>
  <c r="E188" i="1"/>
  <c r="F188" i="1" s="1"/>
  <c r="E187" i="1"/>
  <c r="F187" i="1" s="1"/>
  <c r="E186" i="1"/>
  <c r="F186" i="1" s="1"/>
  <c r="E185" i="1"/>
  <c r="F185" i="1" s="1"/>
  <c r="E184" i="1"/>
  <c r="F184" i="1" s="1"/>
  <c r="E183" i="1"/>
  <c r="F183" i="1" s="1"/>
  <c r="E148" i="1"/>
  <c r="F148" i="1" s="1"/>
  <c r="E147" i="1"/>
  <c r="F147" i="1" s="1"/>
  <c r="E146" i="1"/>
  <c r="F146" i="1" s="1"/>
  <c r="E145" i="1"/>
  <c r="F145" i="1" s="1"/>
  <c r="E144" i="1"/>
  <c r="F144" i="1" s="1"/>
  <c r="E143" i="1"/>
  <c r="F143" i="1" s="1"/>
  <c r="E142" i="1"/>
  <c r="F142" i="1" s="1"/>
  <c r="E141" i="1"/>
  <c r="F141" i="1" s="1"/>
  <c r="E140" i="1"/>
  <c r="F140" i="1" s="1"/>
  <c r="E139" i="1"/>
  <c r="F139" i="1" s="1"/>
  <c r="E138" i="1"/>
  <c r="F138" i="1" s="1"/>
  <c r="E137" i="1"/>
  <c r="F137" i="1" s="1"/>
  <c r="E136" i="1"/>
  <c r="F136" i="1" s="1"/>
  <c r="E135" i="1"/>
  <c r="F135" i="1" s="1"/>
  <c r="E134" i="1"/>
  <c r="F134" i="1" s="1"/>
  <c r="E133" i="1"/>
  <c r="F133" i="1" s="1"/>
  <c r="E132" i="1"/>
  <c r="F132" i="1" s="1"/>
  <c r="E131" i="1"/>
  <c r="F131" i="1" s="1"/>
  <c r="E130" i="1"/>
  <c r="F130" i="1" s="1"/>
  <c r="E129" i="1"/>
  <c r="F129" i="1" s="1"/>
  <c r="E128" i="1"/>
  <c r="F128" i="1" s="1"/>
  <c r="E127" i="1"/>
  <c r="F127" i="1" s="1"/>
  <c r="E126" i="1"/>
  <c r="F126" i="1" s="1"/>
  <c r="E125" i="1"/>
  <c r="F125" i="1" s="1"/>
  <c r="E124" i="1"/>
  <c r="F124" i="1" s="1"/>
  <c r="E123" i="1"/>
  <c r="F123" i="1" s="1"/>
  <c r="E122" i="1"/>
  <c r="F122" i="1" s="1"/>
  <c r="E121" i="1"/>
  <c r="F121" i="1" s="1"/>
  <c r="E120" i="1"/>
  <c r="F120" i="1" s="1"/>
  <c r="E119" i="1"/>
  <c r="F119" i="1" s="1"/>
  <c r="E118" i="1"/>
  <c r="F118" i="1" s="1"/>
  <c r="E117" i="1"/>
  <c r="F117" i="1" s="1"/>
  <c r="E116" i="1"/>
  <c r="F116" i="1" s="1"/>
  <c r="E115" i="1"/>
  <c r="F115" i="1" s="1"/>
  <c r="E114" i="1"/>
  <c r="F114" i="1" s="1"/>
  <c r="E113" i="1"/>
  <c r="F113" i="1" s="1"/>
  <c r="E112" i="1"/>
  <c r="F112" i="1" s="1"/>
  <c r="E111" i="1"/>
  <c r="F111" i="1" s="1"/>
  <c r="E110" i="1"/>
  <c r="F110" i="1" s="1"/>
  <c r="E109" i="1"/>
  <c r="F109" i="1" s="1"/>
  <c r="E108" i="1"/>
  <c r="F108" i="1" s="1"/>
  <c r="E107" i="1"/>
  <c r="F107" i="1" s="1"/>
  <c r="E106" i="1"/>
  <c r="F106" i="1" s="1"/>
  <c r="E105" i="1"/>
  <c r="F105" i="1" s="1"/>
  <c r="E104" i="1"/>
  <c r="F104" i="1" s="1"/>
  <c r="E103" i="1"/>
  <c r="F103" i="1" s="1"/>
  <c r="E102" i="1"/>
  <c r="F102" i="1" s="1"/>
  <c r="E101" i="1"/>
  <c r="F101" i="1" s="1"/>
  <c r="E100" i="1"/>
  <c r="F100" i="1" s="1"/>
  <c r="E99" i="1"/>
  <c r="F99" i="1" s="1"/>
  <c r="E98" i="1"/>
  <c r="F98" i="1" s="1"/>
  <c r="E97" i="1"/>
  <c r="F97" i="1" s="1"/>
  <c r="E96" i="1"/>
  <c r="F96" i="1" s="1"/>
  <c r="E95" i="1"/>
  <c r="F95" i="1" s="1"/>
  <c r="E94" i="1"/>
  <c r="F94" i="1" s="1"/>
  <c r="E93" i="1"/>
  <c r="F93" i="1" s="1"/>
  <c r="E92" i="1"/>
  <c r="F92" i="1" s="1"/>
  <c r="E91" i="1"/>
  <c r="F91" i="1" s="1"/>
  <c r="E90" i="1"/>
  <c r="F90" i="1" s="1"/>
  <c r="E89" i="1"/>
  <c r="F89" i="1" s="1"/>
  <c r="E88" i="1"/>
  <c r="F88" i="1" s="1"/>
  <c r="E84" i="1"/>
  <c r="F84" i="1" s="1"/>
  <c r="E83" i="1"/>
  <c r="F83" i="1" s="1"/>
  <c r="E82" i="1"/>
  <c r="F82" i="1" s="1"/>
  <c r="E81" i="1"/>
  <c r="F81" i="1" s="1"/>
  <c r="E80" i="1"/>
  <c r="F80" i="1" s="1"/>
  <c r="E76" i="1"/>
  <c r="F76" i="1" s="1"/>
  <c r="E75" i="1"/>
  <c r="F75" i="1" s="1"/>
  <c r="E74" i="1"/>
  <c r="F74" i="1" s="1"/>
  <c r="E73" i="1"/>
  <c r="F73" i="1" s="1"/>
  <c r="E72" i="1"/>
  <c r="F72" i="1" s="1"/>
  <c r="E68" i="1"/>
  <c r="F68" i="1" s="1"/>
  <c r="E67" i="1"/>
  <c r="F67" i="1" s="1"/>
  <c r="E66" i="1"/>
  <c r="F66" i="1" s="1"/>
  <c r="E65" i="1"/>
  <c r="F65" i="1" s="1"/>
  <c r="E64" i="1"/>
  <c r="F64" i="1" s="1"/>
  <c r="E60" i="1"/>
  <c r="F60" i="1" s="1"/>
  <c r="E59" i="1"/>
  <c r="F59" i="1" s="1"/>
  <c r="E58" i="1"/>
  <c r="F58" i="1" s="1"/>
  <c r="E57" i="1"/>
  <c r="F57" i="1" s="1"/>
  <c r="E56" i="1"/>
  <c r="F56" i="1" s="1"/>
  <c r="E52" i="1"/>
  <c r="F52" i="1" s="1"/>
  <c r="E51" i="1"/>
  <c r="F51" i="1" s="1"/>
  <c r="E50" i="1"/>
  <c r="F50" i="1" s="1"/>
  <c r="E49" i="1"/>
  <c r="F49" i="1" s="1"/>
  <c r="E48" i="1"/>
  <c r="F48" i="1" s="1"/>
  <c r="E44" i="1"/>
  <c r="F44" i="1" s="1"/>
  <c r="E43" i="1"/>
  <c r="F43" i="1" s="1"/>
  <c r="E42" i="1"/>
  <c r="F42" i="1" s="1"/>
  <c r="E41" i="1"/>
  <c r="F41" i="1" s="1"/>
  <c r="E40" i="1"/>
  <c r="F40" i="1" s="1"/>
  <c r="E34" i="1"/>
  <c r="F34" i="1" s="1"/>
  <c r="E33" i="1"/>
  <c r="F33" i="1" s="1"/>
  <c r="E32" i="1"/>
  <c r="F32" i="1" s="1"/>
  <c r="E31" i="1"/>
  <c r="F31" i="1" s="1"/>
  <c r="E30" i="1"/>
  <c r="F30" i="1" s="1"/>
  <c r="E24" i="1"/>
  <c r="F24" i="1" s="1"/>
  <c r="E23" i="1"/>
  <c r="F23" i="1" s="1"/>
  <c r="E22" i="1"/>
  <c r="F22" i="1" s="1"/>
  <c r="E21" i="1"/>
  <c r="F21" i="1" s="1"/>
  <c r="E20" i="1"/>
  <c r="F20" i="1" s="1"/>
  <c r="E16" i="1"/>
  <c r="F16" i="1" s="1"/>
  <c r="E15" i="1"/>
  <c r="F15" i="1" s="1"/>
  <c r="E14" i="1"/>
  <c r="F14" i="1" s="1"/>
  <c r="E13" i="1"/>
  <c r="F13" i="1" s="1"/>
  <c r="E9" i="1"/>
  <c r="F9" i="1" s="1"/>
  <c r="E8" i="1"/>
  <c r="F8" i="1" s="1"/>
  <c r="E7" i="1"/>
  <c r="F7" i="1" s="1"/>
  <c r="E6" i="1"/>
  <c r="F6" i="1" s="1"/>
  <c r="I435" i="1" l="1"/>
  <c r="E62" i="3" s="1"/>
  <c r="I455" i="1"/>
  <c r="E64" i="3" s="1"/>
  <c r="I481" i="1"/>
  <c r="E67" i="3" s="1"/>
  <c r="I557" i="1"/>
  <c r="E76" i="3" s="1"/>
  <c r="I669" i="1"/>
  <c r="E96" i="3" s="1"/>
  <c r="I719" i="1"/>
  <c r="E101" i="3" s="1"/>
  <c r="I550" i="1"/>
  <c r="E75" i="3" s="1"/>
  <c r="I543" i="1"/>
  <c r="E74" i="3" s="1"/>
  <c r="I445" i="1"/>
  <c r="E63" i="3" s="1"/>
  <c r="I527" i="1"/>
  <c r="E72" i="3" s="1"/>
  <c r="I535" i="1"/>
  <c r="E73" i="3" s="1"/>
  <c r="I489" i="1"/>
  <c r="E68" i="3" s="1"/>
  <c r="I497" i="1"/>
  <c r="E69" i="3" s="1"/>
  <c r="I566" i="1"/>
  <c r="E79" i="3" s="1"/>
  <c r="I560" i="1"/>
  <c r="E77" i="3" s="1"/>
  <c r="I505" i="1"/>
  <c r="E70" i="3" s="1"/>
  <c r="I408" i="1"/>
  <c r="E59" i="3" s="1"/>
  <c r="I563" i="1"/>
  <c r="E78" i="3" s="1"/>
  <c r="I739" i="1"/>
  <c r="E103" i="3" s="1"/>
  <c r="I592" i="1"/>
  <c r="E83" i="3" s="1"/>
  <c r="I582" i="1"/>
  <c r="E82" i="3" s="1"/>
  <c r="I516" i="1"/>
  <c r="E71" i="3" s="1"/>
  <c r="I464" i="1"/>
  <c r="E65" i="3" s="1"/>
  <c r="I473" i="1"/>
  <c r="E66" i="3" s="1"/>
  <c r="I399" i="1"/>
  <c r="E58" i="3" s="1"/>
  <c r="I390" i="1"/>
  <c r="E57" i="3" s="1"/>
  <c r="I773" i="1"/>
  <c r="E107" i="3" s="1"/>
  <c r="I417" i="1"/>
  <c r="E60" i="3" s="1"/>
  <c r="I426" i="1"/>
  <c r="E61" i="3" s="1"/>
  <c r="I578" i="1"/>
  <c r="E81" i="3" s="1"/>
  <c r="I757" i="1"/>
  <c r="E105" i="3" s="1"/>
  <c r="I569" i="1"/>
  <c r="E80" i="3" s="1"/>
  <c r="I36" i="3" l="1"/>
  <c r="I33" i="3"/>
  <c r="I32" i="3"/>
  <c r="I35" i="3"/>
  <c r="I31" i="3"/>
  <c r="I34" i="3"/>
  <c r="I27" i="3"/>
  <c r="I29" i="3"/>
  <c r="I26" i="3"/>
  <c r="I24" i="3"/>
  <c r="I25" i="3"/>
  <c r="I28" i="3"/>
  <c r="I7" i="3"/>
  <c r="I4" i="3"/>
  <c r="I6" i="3"/>
  <c r="I5" i="3"/>
  <c r="I8" i="3"/>
  <c r="I3" i="3"/>
  <c r="I14" i="4"/>
  <c r="H14" i="4"/>
  <c r="F14" i="4"/>
  <c r="E14" i="4"/>
  <c r="D14" i="4"/>
  <c r="G14" i="4"/>
  <c r="I13" i="4"/>
  <c r="H13" i="4"/>
  <c r="G13" i="4"/>
  <c r="F13" i="4"/>
  <c r="E13" i="4"/>
  <c r="D13" i="4"/>
  <c r="I9" i="3" l="1"/>
  <c r="J3" i="3" s="1"/>
  <c r="I15" i="4"/>
  <c r="H15" i="4"/>
  <c r="F15" i="4"/>
  <c r="E15" i="4"/>
  <c r="D15" i="4"/>
  <c r="G15" i="4"/>
  <c r="J6" i="3" l="1"/>
  <c r="J15" i="4"/>
  <c r="D16" i="4" s="1"/>
  <c r="J5" i="3"/>
  <c r="J8" i="3"/>
  <c r="J7" i="3"/>
  <c r="J4" i="3"/>
  <c r="E16" i="4" l="1"/>
  <c r="F16" i="4"/>
  <c r="G16" i="4"/>
  <c r="H16" i="4"/>
  <c r="I16" i="4"/>
  <c r="J16" i="4" l="1"/>
</calcChain>
</file>

<file path=xl/sharedStrings.xml><?xml version="1.0" encoding="utf-8"?>
<sst xmlns="http://schemas.openxmlformats.org/spreadsheetml/2006/main" count="2728" uniqueCount="378">
  <si>
    <t>Unit</t>
  </si>
  <si>
    <t>No. KKS</t>
  </si>
  <si>
    <t>Description</t>
  </si>
  <si>
    <t>Measurement Point</t>
  </si>
  <si>
    <t>Upper Warning Limit Maximo</t>
  </si>
  <si>
    <t>Upper Action Limit Maximo</t>
  </si>
  <si>
    <t>Analysis Standard</t>
  </si>
  <si>
    <t>Status per Point Measurement</t>
  </si>
  <si>
    <t>Overall Status Equipment</t>
  </si>
  <si>
    <t>T rise</t>
  </si>
  <si>
    <t>T max Reference</t>
  </si>
  <si>
    <t>Data Analysis</t>
  </si>
  <si>
    <t>Date</t>
  </si>
  <si>
    <t>( °C )</t>
  </si>
  <si>
    <t>LJ10PAC10AP001-001</t>
  </si>
  <si>
    <t>Cover winding motor</t>
  </si>
  <si>
    <t>FLIR</t>
  </si>
  <si>
    <t>Bearing 1 motor</t>
  </si>
  <si>
    <t>Bearing 2 motor</t>
  </si>
  <si>
    <t>Bearing 3 pump</t>
  </si>
  <si>
    <t>LJ10PAC10AP002-001</t>
  </si>
  <si>
    <t>LJ10LAC10AP001-001</t>
  </si>
  <si>
    <t>Bearing 4 pump</t>
  </si>
  <si>
    <t>LJ10LAC10AP002-001</t>
  </si>
  <si>
    <t>LJ10HNC10AN001-001</t>
  </si>
  <si>
    <t>Bearing 3 fan</t>
  </si>
  <si>
    <t>Bearing 4 fan</t>
  </si>
  <si>
    <t>LJ10HNC10AN002-001</t>
  </si>
  <si>
    <t>LJ10HLB10AN001-001</t>
  </si>
  <si>
    <t>LJ10HLB10AN002-001</t>
  </si>
  <si>
    <t>LJ10HLB10AN003-001</t>
  </si>
  <si>
    <t>LJ10HLB10AN004-001</t>
  </si>
  <si>
    <t>LJ10LCB10AP010-001</t>
  </si>
  <si>
    <t>Conection Phasa R</t>
  </si>
  <si>
    <t>Conection Phasa S</t>
  </si>
  <si>
    <t>Conection Phasa T</t>
  </si>
  <si>
    <t>LJ10LCB10AP020-001</t>
  </si>
  <si>
    <t>LJ10PGB10AP001-001</t>
  </si>
  <si>
    <t>LJ10PGB10AP002-001</t>
  </si>
  <si>
    <t>LJ10MAG10AP011-001</t>
  </si>
  <si>
    <t>LJ10MAG10AP012-001</t>
  </si>
  <si>
    <t>Bearing 1</t>
  </si>
  <si>
    <t>Bearing 2</t>
  </si>
  <si>
    <t>LJ10MKA10AG001-001</t>
  </si>
  <si>
    <t>EQUIPMENT-GENERATOR UNIT 1</t>
  </si>
  <si>
    <t>LJ10BAT10GT001-001</t>
  </si>
  <si>
    <t>EQUIPMENT-GENERATOR TRANSFORMER (GT) 34.5 MVA 150/6.3 KV UNIT 1</t>
  </si>
  <si>
    <t>Body Transformer sisi Utara</t>
  </si>
  <si>
    <t>Body Transformer sisi Selatan</t>
  </si>
  <si>
    <t>Body Transformer sisi Barat</t>
  </si>
  <si>
    <t>Body Transformer sisi Timur</t>
  </si>
  <si>
    <t>LJ30LCB10AP001-001</t>
  </si>
  <si>
    <t>LJ30LCB10AP002-001</t>
  </si>
  <si>
    <t>LJ30LCB10AP003-001</t>
  </si>
  <si>
    <t>LJ30MAG10AP011-001</t>
  </si>
  <si>
    <t>LJ30MAG10AP012-001</t>
  </si>
  <si>
    <t>LJ30LAC10AP001-001</t>
  </si>
  <si>
    <t>LJ30LAC10AP002-001</t>
  </si>
  <si>
    <t>LJ30PGB10AP001-001</t>
  </si>
  <si>
    <t>LJ30PGB10AP002-001</t>
  </si>
  <si>
    <t>LJ30PGB10AN001-001</t>
  </si>
  <si>
    <t>LJ30PGB10AN002-001</t>
  </si>
  <si>
    <t>LJ30HLB20AN010-001</t>
  </si>
  <si>
    <t>EQUIPMENT-SECONDARY AIR FAN UNIT 3</t>
  </si>
  <si>
    <t>LJ30HLB10AN010-001</t>
  </si>
  <si>
    <t>EQUIPMENT-PRIMARY AIR FAN UNIT 3</t>
  </si>
  <si>
    <t>LJ30HFC10AN011-001</t>
  </si>
  <si>
    <t>Bearing 5 fan</t>
  </si>
  <si>
    <t>Bearing 6 fan</t>
  </si>
  <si>
    <t>LJ30HFC10AN012-001</t>
  </si>
  <si>
    <t>LJ30HNC10AN001-001</t>
  </si>
  <si>
    <t>LJ30HNC10AN002-001</t>
  </si>
  <si>
    <t>LJ30PAC10AP001-001</t>
  </si>
  <si>
    <t>LJ30PAC10AP002-001</t>
  </si>
  <si>
    <t>LJ30MKA10AG001-001</t>
  </si>
  <si>
    <t>EQUIPMENT-GENERATOR UNIT 3</t>
  </si>
  <si>
    <t>LJ30BAT10GT001-001</t>
  </si>
  <si>
    <t>EQUIPMENT-GENERATOR TRANSFORMER (GT) 40 MVA 150/6.3 KV UNIT 3</t>
  </si>
  <si>
    <t>LJ30BBT10GT001-001</t>
  </si>
  <si>
    <t>EQUIPMENT-UNIT AUXILIARY TRANSFORMER (UAT) 6.3 MVA UNIT 3</t>
  </si>
  <si>
    <t>Body Auxiliary sisi Utara</t>
  </si>
  <si>
    <t>Body Auxiliary sisi Selatan</t>
  </si>
  <si>
    <t>Body Auxiliary sisi Barat</t>
  </si>
  <si>
    <t>Body Auxiliary sisi Timur</t>
  </si>
  <si>
    <t>LJ00EBA40AF001-001</t>
  </si>
  <si>
    <t>EQUIPMENT-BELT CONVEYOR 4.1</t>
  </si>
  <si>
    <t>Bearing 3 drive pulley</t>
  </si>
  <si>
    <t>Bearing 4 drive pulley</t>
  </si>
  <si>
    <t>Bearing snap pulley</t>
  </si>
  <si>
    <t>Bearing  tail pulley</t>
  </si>
  <si>
    <t>Bearing tail pulley</t>
  </si>
  <si>
    <t>Conection panel</t>
  </si>
  <si>
    <t>LJ00EBA40AF002-001</t>
  </si>
  <si>
    <t>EQUIPMENT-BELT CONVEYOR 4.2</t>
  </si>
  <si>
    <t>LJ00EBA50AF001-001</t>
  </si>
  <si>
    <t>EQUIPMENT-BELT CONVEYOR 5.1</t>
  </si>
  <si>
    <t>LJ00EBA50AF002-001</t>
  </si>
  <si>
    <t>EQUIPMENT-BELT CONVEYOR 5.2</t>
  </si>
  <si>
    <t>LJ00EBA60AF001-001</t>
  </si>
  <si>
    <t>EQUIPMENT-BELT CONVEYOR 7.1</t>
  </si>
  <si>
    <t>LJ00EBA60AF002-001</t>
  </si>
  <si>
    <t>EQUIPMENT-BELT CONVEYOR 7.2</t>
  </si>
  <si>
    <t>LJ00EBA70AF001-001</t>
  </si>
  <si>
    <t>EQUIPMENT-BELT CONVEYOR 8.1</t>
  </si>
  <si>
    <t>LJ00EBA70AF002-001</t>
  </si>
  <si>
    <t>EQUIPMENT-BELT CONVEYOR 8.2</t>
  </si>
  <si>
    <t>LJ00EBA80AF001-001</t>
  </si>
  <si>
    <t>EQUIPMENT-BELT CONVEYOR 10.1</t>
  </si>
  <si>
    <t>LJ00EBA80AF002-001</t>
  </si>
  <si>
    <t>EQUIPMENT-BELT CONVEYOR 10.2</t>
  </si>
  <si>
    <t>LJ00EBC10AT003-001</t>
  </si>
  <si>
    <t>EQUIPMENT-CRUSHER 1</t>
  </si>
  <si>
    <t>Bearing 3 crusher</t>
  </si>
  <si>
    <t>Bearing 4 crusher</t>
  </si>
  <si>
    <t>LJ00EBC10AT004-001</t>
  </si>
  <si>
    <t>EQUIPMENT-CRUSHER 2</t>
  </si>
  <si>
    <t>LJ00EBC10AT001-001</t>
  </si>
  <si>
    <t>EQUIPMENT-ROLLING SCREEN 1</t>
  </si>
  <si>
    <t>Gear box</t>
  </si>
  <si>
    <t>LJ00EBC10AT002-001</t>
  </si>
  <si>
    <t>EQUIPMENT-ROLLING SCREEN 2</t>
  </si>
  <si>
    <t>Bearing 3</t>
  </si>
  <si>
    <t>Bearing 4</t>
  </si>
  <si>
    <t>Bearing 3 generator</t>
  </si>
  <si>
    <t>Bearing 4 generator</t>
  </si>
  <si>
    <t>Bearing 1 turbin</t>
  </si>
  <si>
    <t>Bearing 2 turbin</t>
  </si>
  <si>
    <t>LJ30GCF10AP001-001</t>
  </si>
  <si>
    <t>LJ30GCF10AP002-001</t>
  </si>
  <si>
    <t>LJ30MAA10HB010-001</t>
  </si>
  <si>
    <t>LJ10GCK10AP005-001</t>
  </si>
  <si>
    <t>LJ10GCK10AP006-001</t>
  </si>
  <si>
    <t>LJ10GCK10AP007-001</t>
  </si>
  <si>
    <t>LJ10GCK10AP008-001</t>
  </si>
  <si>
    <t>LJ10MAA10HB010-001</t>
  </si>
  <si>
    <t xml:space="preserve"> </t>
  </si>
  <si>
    <t>Bushing Trafo Phasa R</t>
  </si>
  <si>
    <t>Bushing Trafo Phasa S</t>
  </si>
  <si>
    <t>Bushing Trafo Phasa T</t>
  </si>
  <si>
    <t>Arester Trafo phasa R</t>
  </si>
  <si>
    <t>Arester Trafo phasa S</t>
  </si>
  <si>
    <t>Arester Trafo phasa T</t>
  </si>
  <si>
    <t>Bushing Primary Phasa R</t>
  </si>
  <si>
    <t>Bushing Primary Phasa S</t>
  </si>
  <si>
    <t>Bushing Primary Phasa T</t>
  </si>
  <si>
    <t>Bushing Secondary Phasa R</t>
  </si>
  <si>
    <t>Bushing Secondary Phasa S</t>
  </si>
  <si>
    <t>Bushing Secondary Phasa T</t>
  </si>
  <si>
    <t>Bushing Secondary Phasa N</t>
  </si>
  <si>
    <t>LJ30GCF10AP007-001</t>
  </si>
  <si>
    <t>LJ30GCF10AP008-001</t>
  </si>
  <si>
    <t>Keterangan</t>
  </si>
  <si>
    <t>EQUIPMENT-VIBRATING FEEDER 1</t>
  </si>
  <si>
    <t>Gear box Bearing 1</t>
  </si>
  <si>
    <t>Gear box Bearing 2</t>
  </si>
  <si>
    <t>EQUIPMENT-VIBRATING FEEDER 2</t>
  </si>
  <si>
    <t>Breaker Contactor</t>
  </si>
  <si>
    <t>Bearing 3 Fluid Coupling</t>
  </si>
  <si>
    <t>Bearing 4 Fluid Coupling</t>
  </si>
  <si>
    <t>Bearing 5 pump</t>
  </si>
  <si>
    <t>Bearing 6 pump</t>
  </si>
  <si>
    <t>EQUIPMENT-CIRCULATING WATER PUMP (CWP) 1A</t>
  </si>
  <si>
    <t>EQUIPMENT-CIRCULATING WATER PUMP (CWP) 1B</t>
  </si>
  <si>
    <t>EQUIPMENT-BOILER FEEDWATER PUMP (BFP) 1A</t>
  </si>
  <si>
    <t>EQUIPMENT-BOILER FEEDWATER PUMP (BFP) 1B</t>
  </si>
  <si>
    <t>EQUIPMENT-INDUCE DRAUGHT FAN (IDF) 1A</t>
  </si>
  <si>
    <t>EQUIPMENT-INDUCE DRAUGHT FAN (IDF) 1B</t>
  </si>
  <si>
    <t>EQUIPMENT-PRIMARY AIR FAN (PAF) 1A</t>
  </si>
  <si>
    <t>EQUIPMENT-PRIMARY AIR FAN (PAF) 1B</t>
  </si>
  <si>
    <t>EQUIPMENT-SECONDARY AIR FAN (SAF) 1A</t>
  </si>
  <si>
    <t>EQUIPMENT-SECONDARY AIR FAN (SAF) 1B</t>
  </si>
  <si>
    <t>EQUIPMENT-CONDENSATE EXTRACTION PUMP (CEP) 1A</t>
  </si>
  <si>
    <t>EQUIPMENT-CONDENSATE EXTRACTION PUMP (CEP) 1B</t>
  </si>
  <si>
    <t>EQUIPMENT-CLOSED COOLING CIRCULATING WATER PUMP (C3WP) 1A</t>
  </si>
  <si>
    <t>EQUIPMENT-CLOSED COOLING CIRCULATING WATER PUMP (C3WP) 1B</t>
  </si>
  <si>
    <t>EQUIPMENT-VACUUM PUMP 1A</t>
  </si>
  <si>
    <t>EQUIPMENT-VACUUM PUMP 1B</t>
  </si>
  <si>
    <t>EQUIPMENT-BWRO PUMP 1A</t>
  </si>
  <si>
    <t>EQUIPMENT-BWRO PUMP 1B</t>
  </si>
  <si>
    <t>EQUIPMENT-HIGH PRESSURE SWRO PUMP 1A</t>
  </si>
  <si>
    <t>EQUIPMENT-HIGH PRESSURE SWRO PUMP 1B</t>
  </si>
  <si>
    <t>EQUIPMENT-HP TURBINE ASSEMBLY UNIT 1</t>
  </si>
  <si>
    <t>LJ00EBA40AT001-001</t>
  </si>
  <si>
    <t>LJ00EBA40AT002-001</t>
  </si>
  <si>
    <t>LJ00BBA10GT001-001</t>
  </si>
  <si>
    <t>Secondary Phasa R</t>
  </si>
  <si>
    <t>Secondary Phasa S</t>
  </si>
  <si>
    <t>Secondary Phasa T</t>
  </si>
  <si>
    <t>Secondary Phasa N</t>
  </si>
  <si>
    <t>EQUIPMENT-TRANSFORMER COAL HANDLING 2</t>
  </si>
  <si>
    <t>EQUIPMENT-TRANSFORMER COAL HANDLING 1</t>
  </si>
  <si>
    <t>LJ00BBA10GT002-001</t>
  </si>
  <si>
    <t>Bearing 3 coupling</t>
  </si>
  <si>
    <t>Bearing 4 coupling</t>
  </si>
  <si>
    <t>Body generator</t>
  </si>
  <si>
    <t>Shaft bearing 1 turbin</t>
  </si>
  <si>
    <t>Shaft bearing 2 turbin</t>
  </si>
  <si>
    <t>EQUIPMENT-CONDENSATE EXTRACTION PUMP (CEP) 3A</t>
  </si>
  <si>
    <t>EQUIPMENT-CONDENSATE EXTRACTION PUMP (CEP) 3B</t>
  </si>
  <si>
    <t>EQUIPMENT-CONDENSATE EXTRACTION PUMP (CEP) 3C</t>
  </si>
  <si>
    <t>EQUIPMENT-WATER JET PUMP (WJP) 3A</t>
  </si>
  <si>
    <t>EQUIPMENT-WATER JET PUMP (WJP) 3B</t>
  </si>
  <si>
    <t>EQUIPMENT-BOILER FEEDWATER PUMP (BFP) 3A</t>
  </si>
  <si>
    <t>EQUIPMENT-BOILER FEEDWATER PUMP (BFP) 3B</t>
  </si>
  <si>
    <t>EQUIPMENT-CLOSED COOLING CIRCULATING WATER PUMP (C3WP) 3A</t>
  </si>
  <si>
    <t>EQUIPMENT-CLOSED COOLING CIRCULATING WATER PUMP (C3WP) 3B</t>
  </si>
  <si>
    <t>EQUIPMENT-COOLING TOWER FAN 3A</t>
  </si>
  <si>
    <t>EQUIPMENT-COOLING TOWER FAN 3B</t>
  </si>
  <si>
    <t>EQUIPMENT-RECIRCULATING AIR FAN (RAF) 3A</t>
  </si>
  <si>
    <t>EQUIPMENT-RECIRCULATING AIR FAN (RAF) 3B</t>
  </si>
  <si>
    <t>EQUIPMENT-INDUCE DRAUGHT FAN (IDF) 3A</t>
  </si>
  <si>
    <t>EQUIPMENT-INDUCE DRAUGHT FAN (IDF) 3B</t>
  </si>
  <si>
    <t>EQUIPMENT-CIRCULATING WATER PUMP (CWP) 3A</t>
  </si>
  <si>
    <t>EQUIPMENT-CIRCULATING WATER PUMP (CWP) 3B</t>
  </si>
  <si>
    <t>EQUIPMENT-HIGH PRESURE BWRO PUMP 3A</t>
  </si>
  <si>
    <t>EQUIPMENT-HIGH PRESURE BWRO PUMP 3B</t>
  </si>
  <si>
    <t>EQUIPMENT-HIGH PRESURE SWRO PUMP 3A</t>
  </si>
  <si>
    <t>EQUIPMENT-HIGH PRESURE SWRO PUMP 3B</t>
  </si>
  <si>
    <t>Unit 1</t>
  </si>
  <si>
    <t>Unit 3</t>
  </si>
  <si>
    <t>EQUIPMENT-HP TURBINE ASSEMBLY UNIT 3</t>
  </si>
  <si>
    <t>EQUIPMENT-CIRCULATING WATER PUMP (CWP) 2A</t>
  </si>
  <si>
    <t>EQUIPMENT-BOILER FEEDWATER PUMP (BFP) 2A</t>
  </si>
  <si>
    <t>EQUIPMENT-INDUCE DRAUGHT FAN (IDF) 2A</t>
  </si>
  <si>
    <t>EQUIPMENT-PRIMARY AIR FAN (PAF) 2A</t>
  </si>
  <si>
    <t>EQUIPMENT-SECONDARY AIR FAN (SAF) 2A</t>
  </si>
  <si>
    <t>EQUIPMENT-CONDENSATE EXTRACTION PUMP (CEP) 2A</t>
  </si>
  <si>
    <t>EQUIPMENT-CLOSED COOLING CIRCULATING WATER PUMP (C3WP) 2A</t>
  </si>
  <si>
    <t>EQUIPMENT-VACUUM PUMP 2A</t>
  </si>
  <si>
    <t>EQUIPMENT-CIRCULATING WATER PUMP (CWP) 2B</t>
  </si>
  <si>
    <t>EQUIPMENT-BOILER FEEDWATER PUMP (BFP) 2B</t>
  </si>
  <si>
    <t>EQUIPMENT-INDUCE DRAUGHT FAN (IDF) 2B</t>
  </si>
  <si>
    <t>EQUIPMENT-PRIMARY AIR FAN (PAF) 2B</t>
  </si>
  <si>
    <t>EQUIPMENT-SECONDARY AIR FAN (SAF) 2B</t>
  </si>
  <si>
    <t>EQUIPMENT-CONDENSATE EXTRACTION PUMP (CEP) 2B</t>
  </si>
  <si>
    <t>EQUIPMENT-CLOSED COOLING CIRCULATING WATER PUMP (C3WP) 2B</t>
  </si>
  <si>
    <t>EQUIPMENT-VACUUM PUMP 2B</t>
  </si>
  <si>
    <t>LJ20PAC10AP001-001</t>
  </si>
  <si>
    <t>LJ20PAC10AP002-001</t>
  </si>
  <si>
    <t>LJ20LAC10AP001-001</t>
  </si>
  <si>
    <t>LJ20LAC10AP002-001</t>
  </si>
  <si>
    <t>LJ20HNC10AN001-001</t>
  </si>
  <si>
    <t>LJ20HNC10AN002-001</t>
  </si>
  <si>
    <t>LJ20HLB10AN001-001</t>
  </si>
  <si>
    <t>LJ20HLB10AN002-001</t>
  </si>
  <si>
    <t>LJ20HLB10AN003-001</t>
  </si>
  <si>
    <t>LJ20HLB10AN004-001</t>
  </si>
  <si>
    <t>LJ20LCB10AP010-001</t>
  </si>
  <si>
    <t>LJ20LCB10AP020-001</t>
  </si>
  <si>
    <t>LJ20PGB10AP001-001</t>
  </si>
  <si>
    <t>LJ20PGB10AP002-001</t>
  </si>
  <si>
    <t>LJ20MAG10AP011-001</t>
  </si>
  <si>
    <t>LJ20MAG10AP012-001</t>
  </si>
  <si>
    <t>LJ20MAA10HB010-001</t>
  </si>
  <si>
    <t>LJ20MKA10AG001-001</t>
  </si>
  <si>
    <t>LJ20BAT10GT001-001</t>
  </si>
  <si>
    <t>EQUIPMENT-GENERATOR TRANSFORMER (GT) 34.5 MVA 150/6.3 KV UNIT 2</t>
  </si>
  <si>
    <t>EQUIPMENT-GENERATOR UNIT 2</t>
  </si>
  <si>
    <t>EQUIPMENT-HP TURBINE ASSEMBLY UNIT 2</t>
  </si>
  <si>
    <t>LJ10BBT10GT002-001</t>
  </si>
  <si>
    <t>EQUIPMENT-TRANSFORMER ASH HANDLING 1</t>
  </si>
  <si>
    <t>LJ10BBT10GT003-001</t>
  </si>
  <si>
    <t>EQUIPMENT-TRANSFORMER ASH HANDLING 2</t>
  </si>
  <si>
    <t>EQUIPMENT-JOCKEY PUMP 3A</t>
  </si>
  <si>
    <t>EQUIPMENT-JOCKEY PUMP 3B</t>
  </si>
  <si>
    <t>Body motor</t>
  </si>
  <si>
    <t>EQUIPMENT- LV TRANSFORMER HSB</t>
  </si>
  <si>
    <t>Body Utara R</t>
  </si>
  <si>
    <t>Body Utara S</t>
  </si>
  <si>
    <t>Body Utara T</t>
  </si>
  <si>
    <t>Body Selatan R</t>
  </si>
  <si>
    <t>Body Selatan S</t>
  </si>
  <si>
    <t>Body Selatan T</t>
  </si>
  <si>
    <t>Phasa 6,3 Kv R</t>
  </si>
  <si>
    <t>Phasa  6,3 Kv S</t>
  </si>
  <si>
    <t>Phasa  6,3 Kv T</t>
  </si>
  <si>
    <t>Phasa  380 V R</t>
  </si>
  <si>
    <t>Phasa 380 V S</t>
  </si>
  <si>
    <t>Phasa 380 V  T</t>
  </si>
  <si>
    <t>EQUIPMENT- LV TRANSFORMER 40.B</t>
  </si>
  <si>
    <t>EQUIPMENT- LV TRANSFORMER 41.B</t>
  </si>
  <si>
    <t>LJ00SGA10AP002-001</t>
  </si>
  <si>
    <t>LJ00SGA10AP003-001</t>
  </si>
  <si>
    <t>LJ30BFA10GT003-001</t>
  </si>
  <si>
    <t>LJ30BFA10GT001-001</t>
  </si>
  <si>
    <t>LJ30BFA10GT002-001</t>
  </si>
  <si>
    <t>LJ00SGA10AP001-001</t>
  </si>
  <si>
    <t>EQUIPMENT-FIRE FIGHTING PUMP WITH MOTOR UNIT 3</t>
  </si>
  <si>
    <t>LJ00SGA10AP004-001</t>
  </si>
  <si>
    <t>EQUIPMENT-FIRE FIGHTING PUMP WITH DIESEL MOTOR UNIT 3</t>
  </si>
  <si>
    <t>Body Timur</t>
  </si>
  <si>
    <t>Body Barat</t>
  </si>
  <si>
    <t>Body Utara</t>
  </si>
  <si>
    <t>Body Selatan</t>
  </si>
  <si>
    <t>Shaft bearing 3 generator</t>
  </si>
  <si>
    <t>Shaft bearing 4 generator</t>
  </si>
  <si>
    <t>No KKS</t>
  </si>
  <si>
    <t>Standard</t>
  </si>
  <si>
    <t>Status Kondisi Terakhir</t>
  </si>
  <si>
    <t>Standby</t>
  </si>
  <si>
    <t>Unit 2</t>
  </si>
  <si>
    <r>
      <t xml:space="preserve">Normal </t>
    </r>
    <r>
      <rPr>
        <vertAlign val="subscript"/>
        <sz val="8"/>
        <color rgb="FFFF0000"/>
        <rFont val="Calibri"/>
        <family val="2"/>
        <scheme val="minor"/>
      </rPr>
      <t>(FLIR)</t>
    </r>
  </si>
  <si>
    <r>
      <t xml:space="preserve">Low </t>
    </r>
    <r>
      <rPr>
        <vertAlign val="subscript"/>
        <sz val="8"/>
        <color rgb="FFFF0000"/>
        <rFont val="Calibri"/>
        <family val="2"/>
        <scheme val="minor"/>
      </rPr>
      <t>(FLIR)</t>
    </r>
  </si>
  <si>
    <r>
      <t xml:space="preserve">Medium </t>
    </r>
    <r>
      <rPr>
        <vertAlign val="subscript"/>
        <sz val="8"/>
        <color rgb="FFFF0000"/>
        <rFont val="Calibri"/>
        <family val="2"/>
        <scheme val="minor"/>
      </rPr>
      <t>(FLIR)</t>
    </r>
  </si>
  <si>
    <r>
      <t xml:space="preserve">High </t>
    </r>
    <r>
      <rPr>
        <vertAlign val="subscript"/>
        <sz val="8"/>
        <color rgb="FFFF0000"/>
        <rFont val="Calibri"/>
        <family val="2"/>
        <scheme val="minor"/>
      </rPr>
      <t>(FLIR)</t>
    </r>
  </si>
  <si>
    <r>
      <t xml:space="preserve">Critical </t>
    </r>
    <r>
      <rPr>
        <vertAlign val="subscript"/>
        <sz val="8"/>
        <color rgb="FFFF0000"/>
        <rFont val="Calibri"/>
        <family val="2"/>
        <scheme val="minor"/>
      </rPr>
      <t>(FLIR)</t>
    </r>
  </si>
  <si>
    <t xml:space="preserve">No. Dok </t>
  </si>
  <si>
    <t>: FORM.JRG.F.05.001</t>
  </si>
  <si>
    <t xml:space="preserve">Tgl Terbit </t>
  </si>
  <si>
    <t>: 1 Sep 2016</t>
  </si>
  <si>
    <t xml:space="preserve">Rev </t>
  </si>
  <si>
    <t>: 00</t>
  </si>
  <si>
    <t>Hal</t>
  </si>
  <si>
    <t xml:space="preserve">: </t>
  </si>
  <si>
    <t>LAPORAN PDM</t>
  </si>
  <si>
    <t>NORMAL</t>
  </si>
  <si>
    <t>LOW</t>
  </si>
  <si>
    <t>MEDIUM</t>
  </si>
  <si>
    <t>HIGH</t>
  </si>
  <si>
    <t>STANDBY</t>
  </si>
  <si>
    <t>CRITICAL</t>
  </si>
  <si>
    <t>TOTAL</t>
  </si>
  <si>
    <t>UNIT</t>
  </si>
  <si>
    <t>STATUS IR THERMOGRAPHY</t>
  </si>
  <si>
    <t>UNIT 1</t>
  </si>
  <si>
    <t>UNIT 2</t>
  </si>
  <si>
    <t>UNIT 3</t>
  </si>
  <si>
    <t>COAL HANDLING</t>
  </si>
  <si>
    <t>PERSENTASE (%)</t>
  </si>
  <si>
    <t>= Kondisi baik</t>
  </si>
  <si>
    <t>= Periksa saat pemeliharaan</t>
  </si>
  <si>
    <t>= Rencana pebaikan (Max. 30 hari)</t>
  </si>
  <si>
    <t>= Perbaikan segera</t>
  </si>
  <si>
    <t>= Kondisi darurat</t>
  </si>
  <si>
    <t>Keterangan :</t>
  </si>
  <si>
    <t>= Peralatan standby</t>
  </si>
  <si>
    <t xml:space="preserve">Body Timur </t>
  </si>
  <si>
    <t xml:space="preserve">EQUIPMENT- LV TRANSFORMER EXCITATION </t>
  </si>
  <si>
    <t xml:space="preserve">Body Barat </t>
  </si>
  <si>
    <t>LJ20MAV10AP001-001</t>
  </si>
  <si>
    <t>EQUIPMENT-AC LUBE OIL PUMP UNIT 2</t>
  </si>
  <si>
    <t>LJ20MAV10AP003-001</t>
  </si>
  <si>
    <t>EQUIPMENT-DC LUBE OIL PUMP UNIT 2</t>
  </si>
  <si>
    <t>LJ10MAV10AP001-001</t>
  </si>
  <si>
    <t>EQUIPMENT-AC LUBE OIL PUMP UNIT 1</t>
  </si>
  <si>
    <t>LJ10MAV10AP003-001</t>
  </si>
  <si>
    <t>EQUIPMENT-DC LUBE OIL PUMP UNIT 1</t>
  </si>
  <si>
    <t>EQUIPMENT-LV TRANSFORMER 43T UNIT 1</t>
  </si>
  <si>
    <t>EQUIPMENT-LV TRANSFORMER 44T UNIT 1</t>
  </si>
  <si>
    <t>LJ10BFT10GT001-001</t>
  </si>
  <si>
    <t>LJ10BFT10GT002-001</t>
  </si>
  <si>
    <t>LJ10BFT10GT007-001</t>
  </si>
  <si>
    <t>LJ20BFT10GT002-001</t>
  </si>
  <si>
    <t>LJ20BFT10GT001-001</t>
  </si>
  <si>
    <t>EQUIPMENT-LV TRANSFORMER 43T UNIT 2</t>
  </si>
  <si>
    <t>EQUIPMENT-LV TRANSFORMER 44T UNIT 2</t>
  </si>
  <si>
    <t>LJ20BFT10GT007-001</t>
  </si>
  <si>
    <t>LJ30MAV10AP004-001</t>
  </si>
  <si>
    <t>EQUIPMENT-JACKING OIL PUMP 1 UNIT 3</t>
  </si>
  <si>
    <t>LJ30MAV10AP005-001</t>
  </si>
  <si>
    <t>EQUIPMENT-JACKING OIL PUMP 2 UNIT 3</t>
  </si>
  <si>
    <t>EQUIPMENT-AC LUBE OIL PUMP UNIT 3</t>
  </si>
  <si>
    <t>EQUIPMENT-DC LUBE OIL PUMP UNIT 3</t>
  </si>
  <si>
    <t>LJ30MAV10AP001-001</t>
  </si>
  <si>
    <t>LJ30MAV10AP003-001</t>
  </si>
  <si>
    <t>Common</t>
  </si>
  <si>
    <t>UBP JERANJANG</t>
  </si>
  <si>
    <t>EQUIPMENT-LV TRANSFORMER HSB</t>
  </si>
  <si>
    <t>EQUIPMENT-LV TRANSFORMER 40.B</t>
  </si>
  <si>
    <t>EQUIPMENT-LV TRANSFORMER 41.B</t>
  </si>
  <si>
    <t>PT PLN INDONESIA POWER</t>
  </si>
  <si>
    <t>Equipment dalam keadaan standby saat rutin PDM dilakukan.</t>
  </si>
  <si>
    <t>Keterangan :
Tidak ada hotspot / kenaikan temperature yang berbahaya.
Rekomendasi :
Lakukan pengukuran thermography sesuai 52 week.</t>
  </si>
  <si>
    <t>EQUIPMENT-CLOSED COOLING CIRCULATING WATER PUMP (C3WP) 2C</t>
  </si>
  <si>
    <t>EXECUTIVE SUMMARY IR THERMOGRAPHY JULI 2026</t>
  </si>
  <si>
    <t>LAPORAN IR THERMOGRAPHY BULAN JULI 2026
UNIT BISNIS PEMBANGKITAN JERANJANG</t>
  </si>
  <si>
    <t>STD BY</t>
  </si>
  <si>
    <t>BIDANG RCBM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</si>
</sst>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0.0"/>
  </numFmts>
  <fonts count="23" x14ac:knownFonts="1">
    <font>
      <sz val="11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vertAlign val="subscript"/>
      <sz val="8"/>
      <color rgb="FFFF0000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1" fillId="0" borderId="0"/>
    <xf numFmtId="164" fontId="12" fillId="0" borderId="0" applyFont="0" applyFill="0" applyBorder="0" applyAlignment="0" applyProtection="0"/>
    <xf numFmtId="9" fontId="15" fillId="0" borderId="0" applyFont="0" applyFill="0" applyBorder="0" applyAlignment="0" applyProtection="0"/>
  </cellStyleXfs>
  <cellXfs count="206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15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5" fontId="4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wrapText="1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wrapText="1"/>
    </xf>
    <xf numFmtId="0" fontId="5" fillId="0" borderId="1" xfId="0" applyFont="1" applyBorder="1"/>
    <xf numFmtId="0" fontId="5" fillId="0" borderId="3" xfId="0" applyFont="1" applyBorder="1" applyAlignment="1">
      <alignment horizontal="center" vertical="center"/>
    </xf>
    <xf numFmtId="0" fontId="4" fillId="0" borderId="2" xfId="0" applyFont="1" applyBorder="1"/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top" wrapText="1"/>
    </xf>
    <xf numFmtId="0" fontId="8" fillId="0" borderId="6" xfId="0" applyFont="1" applyBorder="1" applyAlignment="1">
      <alignment horizontal="center" vertical="top" wrapText="1"/>
    </xf>
    <xf numFmtId="0" fontId="8" fillId="0" borderId="15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14" xfId="0" applyFont="1" applyBorder="1" applyAlignment="1">
      <alignment horizontal="center" vertical="top" wrapText="1"/>
    </xf>
    <xf numFmtId="0" fontId="4" fillId="0" borderId="11" xfId="0" applyFont="1" applyBorder="1" applyAlignment="1">
      <alignment horizontal="center" vertical="top" wrapText="1"/>
    </xf>
    <xf numFmtId="0" fontId="8" fillId="0" borderId="13" xfId="0" applyFont="1" applyBorder="1" applyAlignment="1">
      <alignment horizontal="center" vertical="top" wrapText="1"/>
    </xf>
    <xf numFmtId="0" fontId="8" fillId="0" borderId="14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0" fontId="5" fillId="0" borderId="21" xfId="0" applyFont="1" applyBorder="1" applyAlignment="1">
      <alignment horizontal="center" vertical="center"/>
    </xf>
    <xf numFmtId="15" fontId="5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2" borderId="1" xfId="0" applyFont="1" applyFill="1" applyBorder="1" applyAlignment="1">
      <alignment wrapText="1"/>
    </xf>
    <xf numFmtId="0" fontId="4" fillId="2" borderId="1" xfId="0" applyFont="1" applyFill="1" applyBorder="1"/>
    <xf numFmtId="0" fontId="7" fillId="0" borderId="19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4" fillId="0" borderId="32" xfId="0" applyFont="1" applyBorder="1" applyAlignment="1">
      <alignment vertical="center" wrapText="1"/>
    </xf>
    <xf numFmtId="0" fontId="5" fillId="0" borderId="11" xfId="0" applyFont="1" applyBorder="1" applyAlignment="1">
      <alignment horizontal="center" vertical="top" wrapText="1"/>
    </xf>
    <xf numFmtId="0" fontId="4" fillId="0" borderId="33" xfId="0" applyFont="1" applyBorder="1" applyAlignment="1">
      <alignment vertical="center" wrapText="1"/>
    </xf>
    <xf numFmtId="0" fontId="5" fillId="0" borderId="34" xfId="0" applyFont="1" applyBorder="1" applyAlignment="1">
      <alignment horizontal="center" vertical="center"/>
    </xf>
    <xf numFmtId="15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8" fillId="0" borderId="35" xfId="0" applyFont="1" applyBorder="1" applyAlignment="1">
      <alignment horizontal="center" vertical="top" wrapText="1"/>
    </xf>
    <xf numFmtId="0" fontId="8" fillId="0" borderId="36" xfId="0" applyFont="1" applyBorder="1" applyAlignment="1">
      <alignment horizontal="center" vertical="top" wrapText="1"/>
    </xf>
    <xf numFmtId="0" fontId="4" fillId="0" borderId="11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6" fillId="0" borderId="0" xfId="0" applyFont="1"/>
    <xf numFmtId="0" fontId="17" fillId="0" borderId="0" xfId="0" applyFont="1"/>
    <xf numFmtId="0" fontId="17" fillId="0" borderId="0" xfId="0" applyFont="1" applyAlignment="1">
      <alignment horizontal="center" vertical="center"/>
    </xf>
    <xf numFmtId="9" fontId="0" fillId="0" borderId="0" xfId="3" applyFont="1"/>
    <xf numFmtId="0" fontId="20" fillId="3" borderId="3" xfId="0" applyFont="1" applyFill="1" applyBorder="1" applyAlignment="1">
      <alignment vertical="center"/>
    </xf>
    <xf numFmtId="0" fontId="20" fillId="3" borderId="21" xfId="0" applyFont="1" applyFill="1" applyBorder="1" applyAlignment="1">
      <alignment vertical="center"/>
    </xf>
    <xf numFmtId="0" fontId="20" fillId="3" borderId="0" xfId="0" applyFont="1" applyFill="1" applyAlignment="1">
      <alignment vertical="center"/>
    </xf>
    <xf numFmtId="0" fontId="19" fillId="3" borderId="21" xfId="0" applyFont="1" applyFill="1" applyBorder="1" applyAlignment="1">
      <alignment vertical="center"/>
    </xf>
    <xf numFmtId="0" fontId="0" fillId="0" borderId="37" xfId="0" applyBorder="1"/>
    <xf numFmtId="0" fontId="0" fillId="0" borderId="7" xfId="0" applyBorder="1"/>
    <xf numFmtId="0" fontId="0" fillId="0" borderId="8" xfId="0" applyBorder="1"/>
    <xf numFmtId="0" fontId="20" fillId="3" borderId="38" xfId="0" applyFont="1" applyFill="1" applyBorder="1" applyAlignment="1">
      <alignment vertical="center"/>
    </xf>
    <xf numFmtId="0" fontId="20" fillId="3" borderId="27" xfId="0" applyFont="1" applyFill="1" applyBorder="1" applyAlignment="1">
      <alignment vertical="center"/>
    </xf>
    <xf numFmtId="0" fontId="19" fillId="3" borderId="27" xfId="0" applyFont="1" applyFill="1" applyBorder="1" applyAlignment="1">
      <alignment vertical="center"/>
    </xf>
    <xf numFmtId="0" fontId="0" fillId="0" borderId="39" xfId="0" applyBorder="1"/>
    <xf numFmtId="0" fontId="0" fillId="0" borderId="6" xfId="0" applyBorder="1"/>
    <xf numFmtId="0" fontId="0" fillId="0" borderId="28" xfId="0" applyBorder="1"/>
    <xf numFmtId="0" fontId="0" fillId="0" borderId="15" xfId="0" applyBorder="1"/>
    <xf numFmtId="0" fontId="0" fillId="0" borderId="10" xfId="0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0" borderId="14" xfId="0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0" fontId="22" fillId="3" borderId="0" xfId="0" quotePrefix="1" applyFont="1" applyFill="1" applyAlignment="1">
      <alignment vertical="center"/>
    </xf>
    <xf numFmtId="165" fontId="0" fillId="4" borderId="47" xfId="0" applyNumberFormat="1" applyFill="1" applyBorder="1" applyAlignment="1">
      <alignment horizontal="center" vertical="center"/>
    </xf>
    <xf numFmtId="165" fontId="0" fillId="5" borderId="47" xfId="0" applyNumberFormat="1" applyFill="1" applyBorder="1" applyAlignment="1">
      <alignment horizontal="center"/>
    </xf>
    <xf numFmtId="165" fontId="0" fillId="6" borderId="47" xfId="0" applyNumberFormat="1" applyFill="1" applyBorder="1" applyAlignment="1">
      <alignment horizontal="center"/>
    </xf>
    <xf numFmtId="165" fontId="0" fillId="7" borderId="47" xfId="0" applyNumberFormat="1" applyFill="1" applyBorder="1" applyAlignment="1">
      <alignment horizontal="center"/>
    </xf>
    <xf numFmtId="165" fontId="16" fillId="0" borderId="47" xfId="0" applyNumberFormat="1" applyFont="1" applyBorder="1" applyAlignment="1">
      <alignment horizontal="center"/>
    </xf>
    <xf numFmtId="165" fontId="0" fillId="8" borderId="48" xfId="0" applyNumberFormat="1" applyFill="1" applyBorder="1" applyAlignment="1">
      <alignment horizontal="center"/>
    </xf>
    <xf numFmtId="0" fontId="21" fillId="0" borderId="49" xfId="0" applyFont="1" applyBorder="1" applyAlignment="1">
      <alignment horizontal="center" vertical="center"/>
    </xf>
    <xf numFmtId="0" fontId="0" fillId="5" borderId="1" xfId="0" applyFill="1" applyBorder="1" applyAlignment="1">
      <alignment horizontal="left"/>
    </xf>
    <xf numFmtId="0" fontId="0" fillId="6" borderId="1" xfId="0" applyFill="1" applyBorder="1" applyAlignment="1">
      <alignment horizontal="left"/>
    </xf>
    <xf numFmtId="0" fontId="0" fillId="7" borderId="1" xfId="0" applyFill="1" applyBorder="1" applyAlignment="1">
      <alignment horizontal="left"/>
    </xf>
    <xf numFmtId="0" fontId="16" fillId="0" borderId="1" xfId="0" applyFont="1" applyBorder="1" applyAlignment="1">
      <alignment horizontal="left"/>
    </xf>
    <xf numFmtId="0" fontId="0" fillId="0" borderId="0" xfId="0" quotePrefix="1"/>
    <xf numFmtId="165" fontId="21" fillId="0" borderId="0" xfId="0" applyNumberFormat="1" applyFont="1" applyAlignment="1">
      <alignment horizontal="center"/>
    </xf>
    <xf numFmtId="0" fontId="0" fillId="4" borderId="1" xfId="0" applyFill="1" applyBorder="1" applyAlignment="1">
      <alignment horizontal="left"/>
    </xf>
    <xf numFmtId="0" fontId="0" fillId="8" borderId="1" xfId="0" applyFill="1" applyBorder="1" applyAlignment="1">
      <alignment horizontal="left"/>
    </xf>
    <xf numFmtId="0" fontId="0" fillId="0" borderId="0" xfId="0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15" fontId="4" fillId="0" borderId="50" xfId="0" applyNumberFormat="1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15" fontId="4" fillId="0" borderId="51" xfId="0" applyNumberFormat="1" applyFont="1" applyBorder="1" applyAlignment="1">
      <alignment horizontal="center" vertical="center"/>
    </xf>
    <xf numFmtId="0" fontId="7" fillId="0" borderId="50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51" xfId="0" applyFon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46" xfId="0" applyBorder="1" applyAlignment="1">
      <alignment horizontal="center"/>
    </xf>
    <xf numFmtId="0" fontId="0" fillId="0" borderId="47" xfId="0" applyBorder="1" applyAlignment="1">
      <alignment horizont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9" fillId="3" borderId="38" xfId="0" applyFont="1" applyFill="1" applyBorder="1" applyAlignment="1">
      <alignment horizontal="center" vertical="center"/>
    </xf>
    <xf numFmtId="0" fontId="19" fillId="3" borderId="27" xfId="0" applyFont="1" applyFill="1" applyBorder="1" applyAlignment="1">
      <alignment horizontal="center" vertical="center"/>
    </xf>
    <xf numFmtId="0" fontId="19" fillId="3" borderId="3" xfId="0" applyFont="1" applyFill="1" applyBorder="1" applyAlignment="1">
      <alignment horizontal="center" vertical="center"/>
    </xf>
    <xf numFmtId="0" fontId="19" fillId="3" borderId="21" xfId="0" applyFont="1" applyFill="1" applyBorder="1" applyAlignment="1">
      <alignment horizontal="center" vertical="center"/>
    </xf>
    <xf numFmtId="0" fontId="0" fillId="0" borderId="45" xfId="0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3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14" fillId="2" borderId="34" xfId="0" applyFont="1" applyFill="1" applyBorder="1" applyAlignment="1">
      <alignment horizontal="center" vertical="center" wrapText="1"/>
    </xf>
    <xf numFmtId="0" fontId="14" fillId="2" borderId="33" xfId="0" applyFont="1" applyFill="1" applyBorder="1" applyAlignment="1">
      <alignment horizontal="center" vertical="center" wrapText="1"/>
    </xf>
    <xf numFmtId="0" fontId="14" fillId="2" borderId="20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2" fillId="0" borderId="16" xfId="0" quotePrefix="1" applyFont="1" applyBorder="1" applyAlignment="1">
      <alignment horizontal="left" vertical="top" wrapText="1"/>
    </xf>
    <xf numFmtId="0" fontId="2" fillId="0" borderId="17" xfId="0" applyFont="1" applyBorder="1" applyAlignment="1">
      <alignment horizontal="left" vertical="top" wrapText="1"/>
    </xf>
    <xf numFmtId="0" fontId="2" fillId="0" borderId="31" xfId="0" applyFont="1" applyBorder="1" applyAlignment="1">
      <alignment horizontal="left" vertical="top" wrapText="1"/>
    </xf>
    <xf numFmtId="0" fontId="4" fillId="0" borderId="31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2" fillId="0" borderId="19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top" wrapText="1"/>
    </xf>
    <xf numFmtId="0" fontId="4" fillId="0" borderId="12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center" vertical="center"/>
    </xf>
    <xf numFmtId="0" fontId="4" fillId="0" borderId="28" xfId="0" quotePrefix="1" applyFont="1" applyBorder="1" applyAlignment="1">
      <alignment horizontal="left" vertical="center" wrapText="1"/>
    </xf>
    <xf numFmtId="0" fontId="4" fillId="0" borderId="28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top" wrapText="1"/>
    </xf>
    <xf numFmtId="0" fontId="5" fillId="0" borderId="18" xfId="0" applyFont="1" applyBorder="1" applyAlignment="1">
      <alignment horizontal="center" vertical="top" wrapText="1"/>
    </xf>
    <xf numFmtId="0" fontId="5" fillId="0" borderId="19" xfId="0" applyFont="1" applyBorder="1" applyAlignment="1">
      <alignment horizontal="center" vertical="top" wrapText="1"/>
    </xf>
    <xf numFmtId="0" fontId="3" fillId="0" borderId="23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2" fillId="0" borderId="28" xfId="0" quotePrefix="1" applyFont="1" applyBorder="1" applyAlignment="1">
      <alignment horizontal="left" vertical="top" wrapText="1"/>
    </xf>
    <xf numFmtId="0" fontId="2" fillId="0" borderId="28" xfId="0" applyFont="1" applyBorder="1" applyAlignment="1">
      <alignment horizontal="left" vertical="top" wrapText="1"/>
    </xf>
    <xf numFmtId="0" fontId="2" fillId="0" borderId="17" xfId="0" quotePrefix="1" applyFont="1" applyBorder="1" applyAlignment="1">
      <alignment horizontal="left" vertical="top" wrapText="1"/>
    </xf>
    <xf numFmtId="0" fontId="2" fillId="0" borderId="31" xfId="0" quotePrefix="1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0" borderId="29" xfId="0" quotePrefix="1" applyFont="1" applyBorder="1" applyAlignment="1">
      <alignment horizontal="left" vertical="top" wrapText="1"/>
    </xf>
    <xf numFmtId="0" fontId="2" fillId="0" borderId="10" xfId="0" quotePrefix="1" applyFont="1" applyBorder="1" applyAlignment="1">
      <alignment horizontal="left" vertical="top" wrapText="1"/>
    </xf>
    <xf numFmtId="0" fontId="2" fillId="0" borderId="30" xfId="0" quotePrefix="1" applyFont="1" applyBorder="1" applyAlignment="1">
      <alignment horizontal="left" vertical="top" wrapText="1"/>
    </xf>
    <xf numFmtId="0" fontId="2" fillId="0" borderId="28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left" vertical="top" wrapText="1"/>
    </xf>
    <xf numFmtId="0" fontId="2" fillId="0" borderId="16" xfId="0" quotePrefix="1" applyFont="1" applyBorder="1" applyAlignment="1">
      <alignment horizontal="left" vertical="center" wrapText="1"/>
    </xf>
    <xf numFmtId="0" fontId="4" fillId="0" borderId="17" xfId="0" applyFont="1" applyBorder="1" applyAlignment="1">
      <alignment vertical="center" wrapText="1"/>
    </xf>
    <xf numFmtId="0" fontId="4" fillId="0" borderId="31" xfId="0" applyFont="1" applyBorder="1" applyAlignment="1">
      <alignment vertical="center" wrapText="1"/>
    </xf>
    <xf numFmtId="0" fontId="4" fillId="0" borderId="16" xfId="0" applyFont="1" applyBorder="1" applyAlignment="1">
      <alignment vertical="top" wrapText="1"/>
    </xf>
    <xf numFmtId="0" fontId="4" fillId="0" borderId="17" xfId="0" applyFont="1" applyBorder="1" applyAlignment="1">
      <alignment vertical="top" wrapText="1"/>
    </xf>
    <xf numFmtId="0" fontId="4" fillId="0" borderId="31" xfId="0" applyFont="1" applyBorder="1" applyAlignment="1">
      <alignment vertical="top" wrapText="1"/>
    </xf>
    <xf numFmtId="0" fontId="2" fillId="0" borderId="28" xfId="0" quotePrefix="1" applyFont="1" applyBorder="1" applyAlignment="1">
      <alignment vertical="center" wrapText="1"/>
    </xf>
    <xf numFmtId="0" fontId="2" fillId="0" borderId="28" xfId="0" applyFont="1" applyBorder="1" applyAlignment="1">
      <alignment vertical="center" wrapText="1"/>
    </xf>
    <xf numFmtId="0" fontId="0" fillId="0" borderId="0" xfId="0" applyAlignment="1">
      <alignment horizontal="center"/>
    </xf>
  </cellXfs>
  <cellStyles count="4">
    <cellStyle name="Comma 6" xfId="2" xr:uid="{00000000-0005-0000-0000-000000000000}"/>
    <cellStyle name="Normal" xfId="0" builtinId="0"/>
    <cellStyle name="Normal 2" xfId="1" xr:uid="{00000000-0005-0000-0000-000002000000}"/>
    <cellStyle name="Percent" xfId="3" builtinId="5"/>
  </cellStyles>
  <dxfs count="928"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ont>
        <color auto="1"/>
      </font>
      <fill>
        <patternFill>
          <bgColor rgb="FF00B0F0"/>
        </patternFill>
      </fill>
    </dxf>
    <dxf>
      <fill>
        <gradientFill degree="90">
          <stop position="0">
            <color theme="0"/>
          </stop>
          <stop position="1">
            <color rgb="FF0070C0"/>
          </stop>
        </gradient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0070C0"/>
          </stop>
        </gradient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FF0000"/>
      </font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gradientFill degree="90">
          <stop position="0">
            <color theme="0"/>
          </stop>
          <stop position="1">
            <color rgb="FF0070C0"/>
          </stop>
        </gradientFill>
      </fill>
    </dxf>
    <dxf>
      <font>
        <color auto="1"/>
      </font>
      <fill>
        <patternFill>
          <bgColor rgb="FF00B0F0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0070C0"/>
          </stop>
        </gradient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ont>
        <color auto="1"/>
      </font>
      <fill>
        <patternFill>
          <bgColor rgb="FF00B0F0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0070C0"/>
          </stop>
        </gradient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ont>
        <color auto="1"/>
      </font>
      <fill>
        <patternFill>
          <bgColor rgb="FF00B0F0"/>
        </patternFill>
      </fill>
    </dxf>
    <dxf>
      <fill>
        <gradientFill degree="90">
          <stop position="0">
            <color theme="0"/>
          </stop>
          <stop position="1">
            <color rgb="FF0070C0"/>
          </stop>
        </gradientFill>
      </fill>
    </dxf>
    <dxf>
      <font>
        <b/>
        <i val="0"/>
        <color rgb="FFFF0000"/>
      </font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ont>
        <color auto="1"/>
      </font>
      <fill>
        <patternFill>
          <bgColor rgb="FF00B0F0"/>
        </patternFill>
      </fill>
    </dxf>
    <dxf>
      <fill>
        <gradientFill degree="90">
          <stop position="0">
            <color theme="0"/>
          </stop>
          <stop position="1">
            <color rgb="FF0070C0"/>
          </stop>
        </gradient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0070C0"/>
          </stop>
        </gradient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0070C0"/>
          </stop>
        </gradientFill>
      </fill>
    </dxf>
    <dxf>
      <fill>
        <gradientFill degree="90">
          <stop position="0">
            <color theme="0"/>
          </stop>
          <stop position="1">
            <color rgb="FF0070C0"/>
          </stop>
        </gradient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b/>
        <i val="0"/>
        <color rgb="FFFF0000"/>
      </font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gradientFill degree="90">
          <stop position="0">
            <color theme="0"/>
          </stop>
          <stop position="1">
            <color rgb="FF0070C0"/>
          </stop>
        </gradientFill>
      </fill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00B0F0"/>
        </pattern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ont>
        <color auto="1"/>
      </font>
      <fill>
        <patternFill>
          <bgColor rgb="FF00B0F0"/>
        </patternFill>
      </fill>
    </dxf>
    <dxf>
      <fill>
        <gradientFill degree="90">
          <stop position="0">
            <color theme="0"/>
          </stop>
          <stop position="1">
            <color rgb="FF0070C0"/>
          </stop>
        </gradient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ont>
        <b/>
        <i val="0"/>
        <color rgb="FFFF0000"/>
      </font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b/>
        <i val="0"/>
        <color rgb="FFFF0000"/>
      </font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b/>
        <i val="0"/>
        <color rgb="FFFF0000"/>
      </font>
    </dxf>
    <dxf>
      <font>
        <color auto="1"/>
      </font>
      <fill>
        <patternFill>
          <bgColor rgb="FF00B0F0"/>
        </patternFill>
      </fill>
    </dxf>
    <dxf>
      <fill>
        <gradientFill degree="90">
          <stop position="0">
            <color theme="0"/>
          </stop>
          <stop position="1">
            <color rgb="FF0070C0"/>
          </stop>
        </gradient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patternFill>
          <bgColor rgb="FFFF0000"/>
        </pattern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gradientFill degree="90">
          <stop position="0">
            <color theme="0"/>
          </stop>
          <stop position="1">
            <color rgb="FF0070C0"/>
          </stop>
        </gradientFill>
      </fill>
    </dxf>
    <dxf>
      <font>
        <color auto="1"/>
      </font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ont>
        <color auto="1"/>
      </font>
      <fill>
        <patternFill>
          <bgColor rgb="FF00B0F0"/>
        </patternFill>
      </fill>
    </dxf>
    <dxf>
      <fill>
        <gradientFill degree="90">
          <stop position="0">
            <color theme="0"/>
          </stop>
          <stop position="1">
            <color rgb="FF0070C0"/>
          </stop>
        </gradient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</dxf>
    <dxf>
      <font>
        <color auto="1"/>
      </font>
      <fill>
        <patternFill>
          <bgColor rgb="FF00B0F0"/>
        </patternFill>
      </fill>
    </dxf>
    <dxf>
      <font>
        <b/>
        <i val="0"/>
        <color rgb="FFFF0000"/>
      </font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gradientFill degree="90">
          <stop position="0">
            <color theme="0"/>
          </stop>
          <stop position="1">
            <color rgb="FF0070C0"/>
          </stop>
        </gradient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gradientFill degree="90">
          <stop position="0">
            <color theme="0"/>
          </stop>
          <stop position="1">
            <color rgb="FF0070C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ont>
        <color auto="1"/>
      </font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ill>
        <patternFill>
          <bgColor rgb="FFFF0000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ont>
        <b/>
        <i val="0"/>
        <color rgb="FFFF0000"/>
      </font>
    </dxf>
    <dxf>
      <font>
        <color auto="1"/>
      </font>
      <fill>
        <patternFill>
          <bgColor rgb="FF00B0F0"/>
        </patternFill>
      </fill>
    </dxf>
    <dxf>
      <fill>
        <gradientFill degree="90">
          <stop position="0">
            <color theme="0"/>
          </stop>
          <stop position="1">
            <color rgb="FF0070C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ont>
        <color auto="1"/>
      </font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0070C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patternFill>
          <bgColor rgb="FF00B050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ont>
        <b/>
        <i val="0"/>
        <color rgb="FFFF0000"/>
      </font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00B0F0"/>
        </patternFill>
      </fill>
    </dxf>
    <dxf>
      <fill>
        <gradientFill degree="90">
          <stop position="0">
            <color theme="0"/>
          </stop>
          <stop position="1">
            <color rgb="FF0070C0"/>
          </stop>
        </gradient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ont>
        <b/>
        <i val="0"/>
        <color rgb="FFFF0000"/>
      </font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00B0F0"/>
        </patternFill>
      </fill>
    </dxf>
    <dxf>
      <fill>
        <gradientFill degree="90">
          <stop position="0">
            <color theme="0"/>
          </stop>
          <stop position="1">
            <color rgb="FF0070C0"/>
          </stop>
        </gradient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ont>
        <b/>
        <i val="0"/>
        <color rgb="FFFF0000"/>
      </font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00B0F0"/>
        </patternFill>
      </fill>
    </dxf>
    <dxf>
      <fill>
        <gradientFill degree="90">
          <stop position="0">
            <color theme="0"/>
          </stop>
          <stop position="1">
            <color rgb="FF0070C0"/>
          </stop>
        </gradient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rgb="FF00B050"/>
        </patternFill>
      </fill>
    </dxf>
    <dxf>
      <font>
        <b/>
        <i val="0"/>
        <color rgb="FFFF0000"/>
      </font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ont>
        <color auto="1"/>
      </font>
      <fill>
        <patternFill>
          <bgColor rgb="FF00B0F0"/>
        </patternFill>
      </fill>
    </dxf>
    <dxf>
      <fill>
        <gradientFill degree="90">
          <stop position="0">
            <color theme="0"/>
          </stop>
          <stop position="1">
            <color rgb="FF0070C0"/>
          </stop>
        </gradient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ont>
        <b/>
        <i val="0"/>
        <color rgb="FFFF0000"/>
      </font>
    </dxf>
    <dxf>
      <fill>
        <gradientFill degree="90">
          <stop position="0">
            <color theme="0"/>
          </stop>
          <stop position="1">
            <color rgb="FF0070C0"/>
          </stop>
        </gradientFill>
      </fill>
    </dxf>
    <dxf>
      <font>
        <color auto="1"/>
      </font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ont>
        <b/>
        <i val="0"/>
        <color rgb="FFFF0000"/>
      </font>
    </dxf>
    <dxf>
      <fill>
        <patternFill>
          <bgColor rgb="FFFF0000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gradientFill degree="90">
          <stop position="0">
            <color theme="0"/>
          </stop>
          <stop position="1">
            <color rgb="FF0070C0"/>
          </stop>
        </gradientFill>
      </fill>
    </dxf>
    <dxf>
      <font>
        <color auto="1"/>
      </font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ont>
        <color auto="1"/>
      </font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</dxf>
    <dxf>
      <fill>
        <gradientFill degree="90">
          <stop position="0">
            <color theme="0"/>
          </stop>
          <stop position="1">
            <color rgb="FF0070C0"/>
          </stop>
        </gradientFill>
      </fill>
    </dxf>
    <dxf>
      <fill>
        <gradientFill degree="90">
          <stop position="0">
            <color theme="0"/>
          </stop>
          <stop position="1">
            <color rgb="FF0070C0"/>
          </stop>
        </gradient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ont>
        <color auto="1"/>
      </font>
      <fill>
        <patternFill>
          <bgColor rgb="FF00B0F0"/>
        </patternFill>
      </fill>
    </dxf>
    <dxf>
      <font>
        <color auto="1"/>
      </font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gradientFill degree="90">
          <stop position="0">
            <color theme="0"/>
          </stop>
          <stop position="1">
            <color rgb="FF0070C0"/>
          </stop>
        </gradientFill>
      </fill>
    </dxf>
    <dxf>
      <font>
        <b/>
        <i val="0"/>
        <color rgb="FFFF0000"/>
      </font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gradientFill degree="90">
          <stop position="0">
            <color theme="0"/>
          </stop>
          <stop position="1">
            <color rgb="FF0070C0"/>
          </stop>
        </gradientFill>
      </fill>
    </dxf>
    <dxf>
      <font>
        <color auto="1"/>
      </font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ont>
        <b/>
        <i val="0"/>
        <color rgb="FFFF0000"/>
      </font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00B0F0"/>
        </patternFill>
      </fill>
    </dxf>
    <dxf>
      <fill>
        <gradientFill degree="90">
          <stop position="0">
            <color theme="0"/>
          </stop>
          <stop position="1">
            <color rgb="FF0070C0"/>
          </stop>
        </gradient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00B0F0"/>
        </patternFill>
      </fill>
    </dxf>
    <dxf>
      <fill>
        <gradientFill degree="90">
          <stop position="0">
            <color theme="0"/>
          </stop>
          <stop position="1">
            <color rgb="FF0070C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patternFill>
          <bgColor rgb="FFFF0000"/>
        </patternFill>
      </fill>
    </dxf>
    <dxf>
      <font>
        <b/>
        <i val="0"/>
        <color rgb="FFFF0000"/>
      </font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rgb="FF0070C0"/>
          </stop>
        </gradientFill>
      </fill>
    </dxf>
    <dxf>
      <font>
        <b/>
        <i val="0"/>
        <color rgb="FFFF0000"/>
      </font>
    </dxf>
    <dxf>
      <fill>
        <patternFill>
          <bgColor rgb="FF00B050"/>
        </patternFill>
      </fill>
    </dxf>
    <dxf>
      <font>
        <color auto="1"/>
      </font>
      <fill>
        <patternFill>
          <bgColor rgb="FF00B0F0"/>
        </pattern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ont>
        <color auto="1"/>
      </font>
      <fill>
        <patternFill>
          <bgColor rgb="FF00B0F0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ont>
        <b/>
        <i val="0"/>
        <color rgb="FFFF0000"/>
      </font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rgb="FF0070C0"/>
          </stop>
        </gradientFill>
      </fill>
    </dxf>
    <dxf>
      <font>
        <b/>
        <i val="0"/>
        <color rgb="FFFF0000"/>
      </font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00B0F0"/>
        </patternFill>
      </fill>
    </dxf>
    <dxf>
      <fill>
        <gradientFill degree="90">
          <stop position="0">
            <color theme="0"/>
          </stop>
          <stop position="1">
            <color rgb="FF0070C0"/>
          </stop>
        </gradient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rgb="FF00B050"/>
        </pattern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ont>
        <color auto="1"/>
      </font>
      <fill>
        <patternFill>
          <bgColor rgb="FF00B0F0"/>
        </patternFill>
      </fill>
    </dxf>
    <dxf>
      <fill>
        <gradientFill degree="90">
          <stop position="0">
            <color theme="0"/>
          </stop>
          <stop position="1">
            <color rgb="FF0070C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ont>
        <b/>
        <i val="0"/>
        <color rgb="FFFF0000"/>
      </font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ont>
        <b/>
        <i val="0"/>
        <color rgb="FFFF0000"/>
      </font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00B0F0"/>
        </patternFill>
      </fill>
    </dxf>
    <dxf>
      <fill>
        <gradientFill degree="90">
          <stop position="0">
            <color theme="0"/>
          </stop>
          <stop position="1">
            <color rgb="FF0070C0"/>
          </stop>
        </gradient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gradientFill degree="90">
          <stop position="0">
            <color theme="0"/>
          </stop>
          <stop position="1">
            <color rgb="FF0070C0"/>
          </stop>
        </gradientFill>
      </fill>
    </dxf>
    <dxf>
      <font>
        <color auto="1"/>
      </font>
      <fill>
        <patternFill>
          <bgColor rgb="FF00B0F0"/>
        </pattern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gradientFill degree="90">
          <stop position="0">
            <color theme="0"/>
          </stop>
          <stop position="1">
            <color rgb="FF0070C0"/>
          </stop>
        </gradient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</dxf>
    <dxf>
      <font>
        <color auto="1"/>
      </font>
      <fill>
        <patternFill>
          <bgColor rgb="FF00B0F0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ont>
        <color auto="1"/>
      </font>
      <fill>
        <patternFill>
          <bgColor rgb="FF00B0F0"/>
        </patternFill>
      </fill>
    </dxf>
    <dxf>
      <font>
        <b/>
        <i val="0"/>
        <color rgb="FFFF0000"/>
      </font>
    </dxf>
    <dxf>
      <fill>
        <gradientFill degree="90">
          <stop position="0">
            <color theme="0"/>
          </stop>
          <stop position="1">
            <color rgb="FF0070C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00B0F0"/>
        </patternFill>
      </fill>
    </dxf>
    <dxf>
      <fill>
        <gradientFill degree="90">
          <stop position="0">
            <color theme="0"/>
          </stop>
          <stop position="1">
            <color rgb="FF0070C0"/>
          </stop>
        </gradientFill>
      </fill>
    </dxf>
    <dxf>
      <font>
        <b/>
        <i val="0"/>
        <color rgb="FFFF0000"/>
      </font>
    </dxf>
    <dxf>
      <fill>
        <patternFill>
          <bgColor rgb="FFFF0000"/>
        </pattern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gradientFill degree="90">
          <stop position="0">
            <color theme="0"/>
          </stop>
          <stop position="1">
            <color rgb="FF0070C0"/>
          </stop>
        </gradientFill>
      </fill>
    </dxf>
    <dxf>
      <font>
        <color auto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ont>
        <b/>
        <i val="0"/>
        <color rgb="FFFF0000"/>
      </font>
    </dxf>
    <dxf>
      <font>
        <color auto="1"/>
      </font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ont>
        <b/>
        <i val="0"/>
        <color rgb="FFFF0000"/>
      </font>
    </dxf>
    <dxf>
      <fill>
        <gradientFill degree="90">
          <stop position="0">
            <color theme="0"/>
          </stop>
          <stop position="1">
            <color rgb="FF0070C0"/>
          </stop>
        </gradient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0070C0"/>
          </stop>
        </gradient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00B0F0"/>
        </pattern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00B0F0"/>
        </patternFill>
      </fill>
    </dxf>
    <dxf>
      <fill>
        <gradientFill degree="90">
          <stop position="0">
            <color theme="0"/>
          </stop>
          <stop position="1">
            <color rgb="FF0070C0"/>
          </stop>
        </gradient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rgb="FFFF0000"/>
        </patternFill>
      </fill>
    </dxf>
    <dxf>
      <font>
        <b/>
        <i val="0"/>
        <color rgb="FFFF0000"/>
      </font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ont>
        <color auto="1"/>
      </font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</dxf>
    <dxf>
      <fill>
        <gradientFill degree="90">
          <stop position="0">
            <color theme="0"/>
          </stop>
          <stop position="1">
            <color rgb="FF0070C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patternFill>
          <bgColor rgb="FF00B050"/>
        </patternFill>
      </fill>
    </dxf>
    <dxf>
      <font>
        <b/>
        <i val="0"/>
        <color rgb="FFFF0000"/>
      </font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gradientFill degree="90">
          <stop position="0">
            <color theme="0"/>
          </stop>
          <stop position="1">
            <color rgb="FF0070C0"/>
          </stop>
        </gradientFill>
      </fill>
    </dxf>
    <dxf>
      <font>
        <color auto="1"/>
      </font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gradientFill degree="90">
          <stop position="0">
            <color theme="0"/>
          </stop>
          <stop position="1">
            <color rgb="FF0070C0"/>
          </stop>
        </gradientFill>
      </fill>
    </dxf>
    <dxf>
      <font>
        <color auto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patternFill>
          <bgColor rgb="FFFF0000"/>
        </patternFill>
      </fill>
    </dxf>
    <dxf>
      <font>
        <b/>
        <i val="0"/>
        <color rgb="FFFF0000"/>
      </font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00B0F0"/>
        </patternFill>
      </fill>
    </dxf>
    <dxf>
      <fill>
        <gradientFill degree="90">
          <stop position="0">
            <color theme="0"/>
          </stop>
          <stop position="1">
            <color rgb="FF0070C0"/>
          </stop>
        </gradient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ont>
        <b/>
        <i val="0"/>
        <color rgb="FFFF0000"/>
      </font>
    </dxf>
    <dxf>
      <fill>
        <gradientFill degree="90">
          <stop position="0">
            <color theme="0"/>
          </stop>
          <stop position="1">
            <color rgb="FF0070C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ont>
        <color auto="1"/>
      </font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00B0F0"/>
        </patternFill>
      </fill>
    </dxf>
    <dxf>
      <font>
        <b/>
        <i val="0"/>
        <color rgb="FFFF0000"/>
      </font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gradientFill degree="90">
          <stop position="0">
            <color theme="0"/>
          </stop>
          <stop position="1">
            <color rgb="FF0070C0"/>
          </stop>
        </gradient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gradientFill degree="90">
          <stop position="0">
            <color theme="0"/>
          </stop>
          <stop position="1">
            <color rgb="FF0070C0"/>
          </stop>
        </gradientFill>
      </fill>
    </dxf>
    <dxf>
      <font>
        <color auto="1"/>
      </font>
      <fill>
        <patternFill>
          <bgColor rgb="FF00B0F0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rgb="FF00B050"/>
        </pattern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patternFill>
          <bgColor rgb="FFFF0000"/>
        </patternFill>
      </fill>
    </dxf>
    <dxf>
      <font>
        <b/>
        <i val="0"/>
        <color rgb="FFFF0000"/>
      </font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00B0F0"/>
        </patternFill>
      </fill>
    </dxf>
    <dxf>
      <fill>
        <gradientFill degree="90">
          <stop position="0">
            <color theme="0"/>
          </stop>
          <stop position="1">
            <color rgb="FF0070C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patternFill>
          <bgColor rgb="FF00B050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ont>
        <color auto="1"/>
      </font>
      <fill>
        <patternFill>
          <bgColor rgb="FF00B0F0"/>
        </patternFill>
      </fill>
    </dxf>
    <dxf>
      <fill>
        <gradientFill degree="90">
          <stop position="0">
            <color theme="0"/>
          </stop>
          <stop position="1">
            <color rgb="FF0070C0"/>
          </stop>
        </gradientFill>
      </fill>
    </dxf>
    <dxf>
      <font>
        <b/>
        <i val="0"/>
        <color rgb="FFFF0000"/>
      </font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ont>
        <b/>
        <i val="0"/>
        <color rgb="FFFF0000"/>
      </font>
    </dxf>
    <dxf>
      <fill>
        <gradientFill degree="90">
          <stop position="0">
            <color theme="0"/>
          </stop>
          <stop position="1">
            <color rgb="FF0070C0"/>
          </stop>
        </gradientFill>
      </fill>
    </dxf>
    <dxf>
      <font>
        <color auto="1"/>
      </font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rgb="FF00B050"/>
        </patternFill>
      </fill>
    </dxf>
    <dxf>
      <font>
        <b/>
        <i val="0"/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00B0F0"/>
        </patternFill>
      </fill>
    </dxf>
    <dxf>
      <fill>
        <gradientFill degree="90">
          <stop position="0">
            <color theme="0"/>
          </stop>
          <stop position="1">
            <color rgb="FF0070C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gradientFill degree="90">
          <stop position="0">
            <color theme="0"/>
          </stop>
          <stop position="1">
            <color rgb="FF0070C0"/>
          </stop>
        </gradientFill>
      </fill>
    </dxf>
    <dxf>
      <font>
        <color auto="1"/>
      </font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gradientFill degree="90">
          <stop position="0">
            <color theme="0"/>
          </stop>
          <stop position="1">
            <color rgb="FF0070C0"/>
          </stop>
        </gradientFill>
      </fill>
    </dxf>
    <dxf>
      <font>
        <color auto="1"/>
      </font>
      <fill>
        <patternFill>
          <bgColor rgb="FF00B0F0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gradientFill degree="90">
          <stop position="0">
            <color theme="0"/>
          </stop>
          <stop position="1">
            <color rgb="FF0070C0"/>
          </stop>
        </gradientFill>
      </fill>
    </dxf>
    <dxf>
      <font>
        <color auto="1"/>
      </font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patternFill>
          <bgColor rgb="FF00B050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ont>
        <b/>
        <i val="0"/>
        <color rgb="FFFF0000"/>
      </font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00B0F0"/>
        </patternFill>
      </fill>
    </dxf>
    <dxf>
      <fill>
        <gradientFill degree="90">
          <stop position="0">
            <color theme="0"/>
          </stop>
          <stop position="1">
            <color rgb="FF0070C0"/>
          </stop>
        </gradientFill>
      </fill>
    </dxf>
    <dxf>
      <fill>
        <gradientFill degree="90">
          <stop position="0">
            <color theme="0"/>
          </stop>
          <stop position="1">
            <color rgb="FF0070C0"/>
          </stop>
        </gradientFill>
      </fill>
    </dxf>
    <dxf>
      <font>
        <b/>
        <i val="0"/>
        <color rgb="FFFF0000"/>
      </font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00B0F0"/>
        </pattern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00B0F0"/>
        </patternFill>
      </fill>
    </dxf>
    <dxf>
      <fill>
        <gradientFill degree="90">
          <stop position="0">
            <color theme="0"/>
          </stop>
          <stop position="1">
            <color rgb="FF0070C0"/>
          </stop>
        </gradient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ont>
        <b/>
        <i val="0"/>
        <color rgb="FFFF0000"/>
      </font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ont>
        <b/>
        <i val="0"/>
        <color rgb="FFFF0000"/>
      </font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00B0F0"/>
        </patternFill>
      </fill>
    </dxf>
    <dxf>
      <fill>
        <gradientFill degree="90">
          <stop position="0">
            <color theme="0"/>
          </stop>
          <stop position="1">
            <color rgb="FF0070C0"/>
          </stop>
        </gradient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ont>
        <color auto="1"/>
      </font>
      <fill>
        <patternFill>
          <bgColor rgb="FF00B0F0"/>
        </patternFill>
      </fill>
    </dxf>
    <dxf>
      <fill>
        <gradientFill degree="90">
          <stop position="0">
            <color theme="0"/>
          </stop>
          <stop position="1">
            <color rgb="FF0070C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gradientFill degree="90">
          <stop position="0">
            <color theme="0"/>
          </stop>
          <stop position="1">
            <color rgb="FF0070C0"/>
          </stop>
        </gradientFill>
      </fill>
    </dxf>
    <dxf>
      <font>
        <color auto="1"/>
      </font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0070C0"/>
          </stop>
        </gradientFill>
      </fill>
    </dxf>
    <dxf>
      <font>
        <color auto="1"/>
      </font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ont>
        <b/>
        <i val="0"/>
        <color rgb="FFFF0000"/>
      </font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ont>
        <b/>
        <i val="0"/>
        <color rgb="FFFF0000"/>
      </font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00B0F0"/>
        </patternFill>
      </fill>
    </dxf>
    <dxf>
      <fill>
        <gradientFill degree="90">
          <stop position="0">
            <color theme="0"/>
          </stop>
          <stop position="1">
            <color rgb="FF0070C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rgb="FF00B050"/>
        </patternFill>
      </fill>
    </dxf>
    <dxf>
      <font>
        <b/>
        <i val="0"/>
        <color rgb="FFFF0000"/>
      </font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00B0F0"/>
        </patternFill>
      </fill>
    </dxf>
    <dxf>
      <fill>
        <gradientFill degree="90">
          <stop position="0">
            <color theme="0"/>
          </stop>
          <stop position="1">
            <color rgb="FF0070C0"/>
          </stop>
        </gradient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patternFill>
          <bgColor rgb="FFFF0000"/>
        </pattern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ont>
        <color auto="1"/>
      </font>
      <fill>
        <patternFill>
          <bgColor rgb="FF00B0F0"/>
        </patternFill>
      </fill>
    </dxf>
    <dxf>
      <font>
        <b/>
        <i val="0"/>
        <color rgb="FFFF0000"/>
      </font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gradientFill degree="90">
          <stop position="0">
            <color theme="0"/>
          </stop>
          <stop position="1">
            <color rgb="FF0070C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00B0F0"/>
        </pattern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ont>
        <b/>
        <i val="0"/>
        <color rgb="FFFF0000"/>
      </font>
    </dxf>
    <dxf>
      <fill>
        <gradientFill degree="90">
          <stop position="0">
            <color theme="0"/>
          </stop>
          <stop position="1">
            <color rgb="FF0070C0"/>
          </stop>
        </gradient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0070C0"/>
          </stop>
        </gradient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ont>
        <b/>
        <i val="0"/>
        <color rgb="FFFF0000"/>
      </font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00B0F0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ont>
        <b/>
        <i val="0"/>
        <color rgb="FFFF0000"/>
      </font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rgb="FF0070C0"/>
          </stop>
        </gradientFill>
      </fill>
    </dxf>
    <dxf>
      <font>
        <color auto="1"/>
      </font>
      <fill>
        <patternFill>
          <bgColor rgb="FF00B0F0"/>
        </pattern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patternFill>
          <bgColor rgb="FF00B050"/>
        </pattern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0070C0"/>
          </stop>
        </gradientFill>
      </fill>
    </dxf>
    <dxf>
      <font>
        <color auto="1"/>
      </font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0070C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ont>
        <b/>
        <i val="0"/>
        <color rgb="FFFF0000"/>
      </font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00B0F0"/>
        </patternFill>
      </fill>
    </dxf>
    <dxf>
      <fill>
        <gradientFill degree="90">
          <stop position="0">
            <color theme="0"/>
          </stop>
          <stop position="1">
            <color rgb="FF0070C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ont>
        <b/>
        <i val="0"/>
        <color rgb="FFFF0000"/>
      </font>
    </dxf>
    <dxf>
      <fill>
        <patternFill>
          <bgColor rgb="FFFF0000"/>
        </pattern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00B0F0"/>
        </patternFill>
      </fill>
    </dxf>
    <dxf>
      <font>
        <b/>
        <i val="0"/>
        <color rgb="FFFF0000"/>
      </font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patternFill>
          <bgColor rgb="FFFF0000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00B0F0"/>
        </patternFill>
      </fill>
    </dxf>
    <dxf>
      <fill>
        <gradientFill degree="90">
          <stop position="0">
            <color theme="0"/>
          </stop>
          <stop position="1">
            <color rgb="FF0070C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ont>
        <b/>
        <i val="0"/>
        <color rgb="FFFF0000"/>
      </font>
    </dxf>
    <dxf>
      <fill>
        <patternFill>
          <bgColor rgb="FFFF0000"/>
        </pattern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00B0F0"/>
        </patternFill>
      </fill>
    </dxf>
    <dxf>
      <fill>
        <gradientFill degree="90">
          <stop position="0">
            <color theme="0"/>
          </stop>
          <stop position="1">
            <color rgb="FF0070C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ont>
        <b/>
        <i val="0"/>
        <color rgb="FFFF0000"/>
      </font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00B0F0"/>
        </patternFill>
      </fill>
    </dxf>
    <dxf>
      <fill>
        <gradientFill degree="90">
          <stop position="0">
            <color theme="0"/>
          </stop>
          <stop position="1">
            <color rgb="FF0070C0"/>
          </stop>
        </gradient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rgb="FF00B050"/>
        </patternFill>
      </fill>
    </dxf>
    <dxf>
      <fill>
        <gradientFill degree="90">
          <stop position="0">
            <color theme="0"/>
          </stop>
          <stop position="1">
            <color rgb="FF0070C0"/>
          </stop>
        </gradientFill>
      </fill>
    </dxf>
    <dxf>
      <font>
        <b/>
        <i val="0"/>
        <color rgb="FFFF0000"/>
      </font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ont>
        <color auto="1"/>
      </font>
      <fill>
        <patternFill>
          <bgColor rgb="FF00B0F0"/>
        </pattern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00B0F0"/>
        </patternFill>
      </fill>
    </dxf>
    <dxf>
      <fill>
        <gradientFill degree="90">
          <stop position="0">
            <color theme="0"/>
          </stop>
          <stop position="1">
            <color rgb="FF0070C0"/>
          </stop>
        </gradientFill>
      </fill>
    </dxf>
    <dxf>
      <font>
        <b/>
        <i val="0"/>
        <color rgb="FFFF0000"/>
      </font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gradientFill degree="90">
          <stop position="0">
            <color theme="0"/>
          </stop>
          <stop position="1">
            <color rgb="FF0070C0"/>
          </stop>
        </gradientFill>
      </fill>
    </dxf>
    <dxf>
      <font>
        <color auto="1"/>
      </font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ont>
        <b/>
        <i val="0"/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00B0F0"/>
        </patternFill>
      </fill>
    </dxf>
    <dxf>
      <fill>
        <gradientFill degree="90">
          <stop position="0">
            <color theme="0"/>
          </stop>
          <stop position="1">
            <color rgb="FF0070C0"/>
          </stop>
        </gradientFill>
      </fill>
    </dxf>
    <dxf>
      <fill>
        <patternFill>
          <bgColor rgb="FF00B050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rgb="FF0070C0"/>
          </stop>
        </gradientFill>
      </fill>
    </dxf>
    <dxf>
      <font>
        <color auto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</dxf>
    <dxf>
      <font>
        <color auto="1"/>
      </font>
      <fill>
        <patternFill>
          <bgColor rgb="FF00B0F0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0070C0"/>
          </stop>
        </gradient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ont>
        <color auto="1"/>
      </font>
      <fill>
        <patternFill>
          <bgColor rgb="FF00B0F0"/>
        </pattern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0070C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gradientFill degree="90">
          <stop position="0">
            <color theme="0"/>
          </stop>
          <stop position="1">
            <color rgb="FF0070C0"/>
          </stop>
        </gradientFill>
      </fill>
    </dxf>
    <dxf>
      <font>
        <color auto="1"/>
      </font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rgb="FFFF0000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gradientFill degree="90">
          <stop position="0">
            <color theme="0"/>
          </stop>
          <stop position="1">
            <color rgb="FF0070C0"/>
          </stop>
        </gradientFill>
      </fill>
    </dxf>
    <dxf>
      <font>
        <color auto="1"/>
      </font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0070C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ont>
        <color auto="1"/>
      </font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ont>
        <b/>
        <i val="0"/>
        <color rgb="FFFF000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ont>
        <b/>
        <i val="0"/>
        <color rgb="FFFF0000"/>
      </font>
    </dxf>
    <dxf>
      <font>
        <color auto="1"/>
      </font>
      <fill>
        <patternFill>
          <bgColor rgb="FF00B0F0"/>
        </patternFill>
      </fill>
    </dxf>
    <dxf>
      <fill>
        <gradientFill degree="90">
          <stop position="0">
            <color theme="0"/>
          </stop>
          <stop position="1">
            <color rgb="FF0070C0"/>
          </stop>
        </gradient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rgb="FFFF0000"/>
        </patternFill>
      </fill>
    </dxf>
    <dxf>
      <font>
        <b/>
        <i val="0"/>
        <color rgb="FFFF0000"/>
      </font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gradientFill degree="90">
          <stop position="0">
            <color theme="0"/>
          </stop>
          <stop position="1">
            <color rgb="FF0070C0"/>
          </stop>
        </gradientFill>
      </fill>
    </dxf>
    <dxf>
      <font>
        <color auto="1"/>
      </font>
      <fill>
        <patternFill>
          <bgColor rgb="FF00B0F0"/>
        </patternFill>
      </fill>
    </dxf>
    <dxf>
      <font>
        <b/>
        <i val="0"/>
        <color rgb="FFFF0000"/>
      </font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00B0F0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0070C0"/>
          </stop>
        </gradient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ont>
        <color auto="1"/>
      </font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</dxf>
    <dxf>
      <fill>
        <gradientFill degree="90">
          <stop position="0">
            <color theme="0"/>
          </stop>
          <stop position="1">
            <color rgb="FF0070C0"/>
          </stop>
        </gradientFill>
      </fill>
    </dxf>
    <dxf>
      <font>
        <color auto="1"/>
      </font>
      <fill>
        <patternFill>
          <bgColor rgb="FF00B0F0"/>
        </pattern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patternFill>
          <bgColor rgb="FF00B050"/>
        </pattern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</dxf>
    <dxf>
      <fill>
        <gradientFill degree="90">
          <stop position="0">
            <color theme="0"/>
          </stop>
          <stop position="1">
            <color rgb="FF0070C0"/>
          </stop>
        </gradientFill>
      </fill>
    </dxf>
    <dxf>
      <fill>
        <patternFill>
          <bgColor rgb="FFFF0000"/>
        </pattern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00B0F0"/>
        </patternFill>
      </fill>
    </dxf>
    <dxf>
      <fill>
        <gradientFill degree="90">
          <stop position="0">
            <color theme="0"/>
          </stop>
          <stop position="1">
            <color rgb="FF0070C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ont>
        <b/>
        <i val="0"/>
        <color rgb="FFFF0000"/>
      </font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00B0F0"/>
        </patternFill>
      </fill>
    </dxf>
    <dxf>
      <font>
        <b/>
        <i val="0"/>
        <color rgb="FFFF0000"/>
      </font>
    </dxf>
    <dxf>
      <fill>
        <gradientFill degree="90">
          <stop position="0">
            <color theme="0"/>
          </stop>
          <stop position="1">
            <color rgb="FF0070C0"/>
          </stop>
        </gradient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ont>
        <b/>
        <i val="0"/>
        <color rgb="FFFF0000"/>
      </font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00B0F0"/>
        </patternFill>
      </fill>
    </dxf>
    <dxf>
      <fill>
        <gradientFill degree="90">
          <stop position="0">
            <color theme="0"/>
          </stop>
          <stop position="1">
            <color rgb="FF0070C0"/>
          </stop>
        </gradient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rgb="FF0070C0"/>
          </stop>
        </gradientFill>
      </fill>
    </dxf>
    <dxf>
      <font>
        <b/>
        <i val="0"/>
        <color rgb="FFFF0000"/>
      </font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00B0F0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0070C0"/>
          </stop>
        </gradient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0070C0"/>
          </stop>
        </gradientFill>
      </fill>
    </dxf>
    <dxf>
      <font>
        <color auto="1"/>
      </font>
      <fill>
        <patternFill>
          <bgColor rgb="FF00B0F0"/>
        </pattern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patternFill>
          <bgColor rgb="FFFF0000"/>
        </patternFill>
      </fill>
    </dxf>
    <dxf>
      <font>
        <b/>
        <i val="0"/>
        <color rgb="FFFF0000"/>
      </font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00B0F0"/>
        </patternFill>
      </fill>
    </dxf>
    <dxf>
      <fill>
        <gradientFill degree="90">
          <stop position="0">
            <color theme="0"/>
          </stop>
          <stop position="1">
            <color rgb="FF0070C0"/>
          </stop>
        </gradient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patternFill>
          <bgColor rgb="FFFF0000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ont>
        <b/>
        <i val="0"/>
        <color rgb="FFFF0000"/>
      </font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ont>
        <b/>
        <i val="0"/>
        <color rgb="FFFF0000"/>
      </font>
    </dxf>
    <dxf>
      <font>
        <color auto="1"/>
      </font>
      <fill>
        <patternFill>
          <bgColor rgb="FF00B0F0"/>
        </pattern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0070C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ont>
        <b/>
        <i val="0"/>
        <color rgb="FFFF0000"/>
      </font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gradientFill degree="90">
          <stop position="0">
            <color theme="0"/>
          </stop>
          <stop position="1">
            <color rgb="FF0070C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gradientFill degree="90">
          <stop position="0">
            <color theme="0"/>
          </stop>
          <stop position="1">
            <color rgb="FF0070C0"/>
          </stop>
        </gradientFill>
      </fill>
    </dxf>
    <dxf>
      <font>
        <color auto="1"/>
      </font>
      <fill>
        <patternFill>
          <bgColor rgb="FF00B0F0"/>
        </patternFill>
      </fill>
    </dxf>
    <dxf>
      <fill>
        <patternFill>
          <bgColor rgb="FF00B050"/>
        </patternFill>
      </fill>
    </dxf>
    <dxf>
      <font>
        <b/>
        <i val="0"/>
        <color rgb="FFFF0000"/>
      </font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patternFill>
          <bgColor rgb="FF00B050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gradientFill degree="90">
          <stop position="0">
            <color theme="0"/>
          </stop>
          <stop position="1">
            <color rgb="FF0070C0"/>
          </stop>
        </gradientFill>
      </fill>
    </dxf>
    <dxf>
      <font>
        <color auto="1"/>
      </font>
      <fill>
        <patternFill>
          <bgColor rgb="FF00B0F0"/>
        </patternFill>
      </fill>
    </dxf>
    <dxf>
      <fill>
        <gradientFill degree="90">
          <stop position="0">
            <color theme="0"/>
          </stop>
          <stop position="1">
            <color rgb="FF0070C0"/>
          </stop>
        </gradientFill>
      </fill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patternFill>
          <bgColor rgb="FFFF0000"/>
        </patternFill>
      </fill>
    </dxf>
    <dxf>
      <font>
        <b/>
        <i val="0"/>
        <color rgb="FFFF0000"/>
      </font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00B0F0"/>
        </patternFill>
      </fill>
    </dxf>
    <dxf>
      <font>
        <b/>
        <i val="0"/>
        <color rgb="FFFF0000"/>
      </font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00B0F0"/>
        </patternFill>
      </fill>
    </dxf>
    <dxf>
      <fill>
        <gradientFill degree="90">
          <stop position="0">
            <color theme="0"/>
          </stop>
          <stop position="1">
            <color rgb="FF0070C0"/>
          </stop>
        </gradient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patternFill>
          <bgColor rgb="FFFFFF00"/>
        </pattern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gradientFill degree="90">
          <stop position="0">
            <color theme="0"/>
          </stop>
          <stop position="1">
            <color rgb="FF0070C0"/>
          </stop>
        </gradientFill>
      </fill>
    </dxf>
    <dxf>
      <font>
        <color auto="1"/>
      </font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</dxf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ill>
        <gradientFill degree="90">
          <stop position="0">
            <color theme="0"/>
          </stop>
          <stop position="1">
            <color rgb="FF00B0F0"/>
          </stop>
        </gradientFill>
      </fill>
    </dxf>
    <dxf>
      <fill>
        <gradientFill degree="90">
          <stop position="0">
            <color theme="0"/>
          </stop>
          <stop position="1">
            <color rgb="FF0070C0"/>
          </stop>
        </gradient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Resume Temperatur PLTU Jeranjang Dengan IR Thermography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9842293906810035"/>
          <c:y val="0.24681849962468427"/>
          <c:w val="0.65500861666777754"/>
          <c:h val="0.67879115528423328"/>
        </c:manualLayout>
      </c:layout>
      <c:bar3D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Pt>
            <c:idx val="0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CCE0-4CD0-8CE8-6D42853C12DE}"/>
              </c:ext>
            </c:extLst>
          </c:dPt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CCE0-4CD0-8CE8-6D42853C12DE}"/>
              </c:ext>
            </c:extLst>
          </c:dPt>
          <c:dPt>
            <c:idx val="2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CCE0-4CD0-8CE8-6D42853C12DE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CCE0-4CD0-8CE8-6D42853C12DE}"/>
              </c:ext>
            </c:extLst>
          </c:dPt>
          <c:dPt>
            <c:idx val="4"/>
            <c:invertIfNegative val="0"/>
            <c:bubble3D val="0"/>
            <c:spPr>
              <a:solidFill>
                <a:schemeClr val="bg1">
                  <a:lumMod val="95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DAFF-4C7B-B241-345B7F1D37CC}"/>
              </c:ext>
            </c:extLst>
          </c:dPt>
          <c:dPt>
            <c:idx val="5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CCE0-4CD0-8CE8-6D42853C12DE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A-CCE0-4CD0-8CE8-6D42853C12D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SUMMARY!$H$3:$H$8</c:f>
              <c:strCache>
                <c:ptCount val="6"/>
                <c:pt idx="0">
                  <c:v>Normal (FLIR)</c:v>
                </c:pt>
                <c:pt idx="1">
                  <c:v>Low (FLIR)</c:v>
                </c:pt>
                <c:pt idx="2">
                  <c:v>Medium (FLIR)</c:v>
                </c:pt>
                <c:pt idx="3">
                  <c:v>High (FLIR)</c:v>
                </c:pt>
                <c:pt idx="4">
                  <c:v>Critical (FLIR)</c:v>
                </c:pt>
                <c:pt idx="5">
                  <c:v>Standby</c:v>
                </c:pt>
              </c:strCache>
            </c:strRef>
          </c:cat>
          <c:val>
            <c:numRef>
              <c:f>SUMMARY!$I$3:$I$8</c:f>
              <c:numCache>
                <c:formatCode>General</c:formatCode>
                <c:ptCount val="6"/>
                <c:pt idx="0">
                  <c:v>61</c:v>
                </c:pt>
                <c:pt idx="1">
                  <c:v>15</c:v>
                </c:pt>
                <c:pt idx="2">
                  <c:v>12</c:v>
                </c:pt>
                <c:pt idx="3">
                  <c:v>0</c:v>
                </c:pt>
                <c:pt idx="4">
                  <c:v>0</c:v>
                </c:pt>
                <c:pt idx="5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CE0-4CD0-8CE8-6D42853C12D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15"/>
        <c:shape val="box"/>
        <c:axId val="346470656"/>
        <c:axId val="346480640"/>
        <c:axId val="0"/>
      </c:bar3DChart>
      <c:catAx>
        <c:axId val="346470656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480640"/>
        <c:crosses val="autoZero"/>
        <c:auto val="1"/>
        <c:lblAlgn val="ctr"/>
        <c:lblOffset val="100"/>
        <c:noMultiLvlLbl val="0"/>
      </c:catAx>
      <c:valAx>
        <c:axId val="346480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470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PERALATAN UNIT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20320197278846799"/>
          <c:y val="0.15298851036477584"/>
          <c:w val="0.65500861666777754"/>
          <c:h val="0.73994616744335528"/>
        </c:manualLayout>
      </c:layout>
      <c:bar3D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Pt>
            <c:idx val="0"/>
            <c:invertIfNegative val="0"/>
            <c:bubble3D val="0"/>
            <c:spPr>
              <a:solidFill>
                <a:srgbClr val="00B0F0"/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0-BBCF-4B8E-A246-7A06B23CD060}"/>
              </c:ext>
            </c:extLst>
          </c:dPt>
          <c:dPt>
            <c:idx val="1"/>
            <c:invertIfNegative val="0"/>
            <c:bubble3D val="0"/>
            <c:spPr>
              <a:solidFill>
                <a:srgbClr val="00B050"/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BCF-4B8E-A246-7A06B23CD060}"/>
              </c:ext>
            </c:extLst>
          </c:dPt>
          <c:dPt>
            <c:idx val="2"/>
            <c:invertIfNegative val="0"/>
            <c:bubble3D val="0"/>
            <c:spPr>
              <a:solidFill>
                <a:srgbClr val="FFFF00"/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BBCF-4B8E-A246-7A06B23CD060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F9F-4C47-9E39-DF9B51F2AA89}"/>
              </c:ext>
            </c:extLst>
          </c:dPt>
          <c:dPt>
            <c:idx val="4"/>
            <c:invertIfNegative val="0"/>
            <c:bubble3D val="0"/>
            <c:spPr>
              <a:solidFill>
                <a:schemeClr val="bg1">
                  <a:lumMod val="95000"/>
                </a:schemeClr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E-4CD4-4B0D-9E86-3233EDA894A5}"/>
              </c:ext>
            </c:extLst>
          </c:dPt>
          <c:dPt>
            <c:idx val="5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8-4F9F-4C47-9E39-DF9B51F2AA89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BBCF-4B8E-A246-7A06B23CD06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SUMMARY!$H$10:$H$15</c:f>
              <c:strCache>
                <c:ptCount val="6"/>
                <c:pt idx="0">
                  <c:v>Normal (FLIR)</c:v>
                </c:pt>
                <c:pt idx="1">
                  <c:v>Low (FLIR)</c:v>
                </c:pt>
                <c:pt idx="2">
                  <c:v>Medium (FLIR)</c:v>
                </c:pt>
                <c:pt idx="3">
                  <c:v>High (FLIR)</c:v>
                </c:pt>
                <c:pt idx="4">
                  <c:v>Critical (FLIR)</c:v>
                </c:pt>
                <c:pt idx="5">
                  <c:v>Standby</c:v>
                </c:pt>
              </c:strCache>
            </c:strRef>
          </c:cat>
          <c:val>
            <c:numRef>
              <c:f>SUMMARY!$I$10:$I$15</c:f>
              <c:numCache>
                <c:formatCode>General</c:formatCode>
                <c:ptCount val="6"/>
                <c:pt idx="0">
                  <c:v>14</c:v>
                </c:pt>
                <c:pt idx="1">
                  <c:v>7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BCF-4B8E-A246-7A06B23CD06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shape val="box"/>
        <c:axId val="346470656"/>
        <c:axId val="346480640"/>
        <c:axId val="0"/>
      </c:bar3DChart>
      <c:catAx>
        <c:axId val="346470656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480640"/>
        <c:crosses val="autoZero"/>
        <c:auto val="1"/>
        <c:lblAlgn val="ctr"/>
        <c:lblOffset val="100"/>
        <c:noMultiLvlLbl val="0"/>
      </c:catAx>
      <c:valAx>
        <c:axId val="346480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470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PERALATAN UNIT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20320197278846799"/>
          <c:y val="0.1427844287321228"/>
          <c:w val="0.65500861666777754"/>
          <c:h val="0.75015024907600836"/>
        </c:manualLayout>
      </c:layout>
      <c:bar3D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Pt>
            <c:idx val="0"/>
            <c:invertIfNegative val="0"/>
            <c:bubble3D val="0"/>
            <c:spPr>
              <a:solidFill>
                <a:srgbClr val="00B0F0"/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C94-465C-957D-8741FBF390AD}"/>
              </c:ext>
            </c:extLst>
          </c:dPt>
          <c:dPt>
            <c:idx val="1"/>
            <c:invertIfNegative val="0"/>
            <c:bubble3D val="0"/>
            <c:spPr>
              <a:solidFill>
                <a:srgbClr val="00B050"/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C94-465C-957D-8741FBF390AD}"/>
              </c:ext>
            </c:extLst>
          </c:dPt>
          <c:dPt>
            <c:idx val="2"/>
            <c:invertIfNegative val="0"/>
            <c:bubble3D val="0"/>
            <c:spPr>
              <a:solidFill>
                <a:srgbClr val="FFFF00"/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C94-465C-957D-8741FBF390AD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8-4C94-465C-957D-8741FBF390AD}"/>
              </c:ext>
            </c:extLst>
          </c:dPt>
          <c:dPt>
            <c:idx val="4"/>
            <c:invertIfNegative val="0"/>
            <c:bubble3D val="0"/>
            <c:spPr>
              <a:solidFill>
                <a:schemeClr val="bg1">
                  <a:lumMod val="95000"/>
                </a:schemeClr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686-4539-A05D-ACA7ED2478F4}"/>
              </c:ext>
            </c:extLst>
          </c:dPt>
          <c:dPt>
            <c:idx val="5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E-3FD7-4024-92EF-0FA51DC64ED3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4C94-465C-957D-8741FBF390A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SUMMARY!$H$17:$H$22</c:f>
              <c:strCache>
                <c:ptCount val="6"/>
                <c:pt idx="0">
                  <c:v>Normal (FLIR)</c:v>
                </c:pt>
                <c:pt idx="1">
                  <c:v>Low (FLIR)</c:v>
                </c:pt>
                <c:pt idx="2">
                  <c:v>Medium (FLIR)</c:v>
                </c:pt>
                <c:pt idx="3">
                  <c:v>High (FLIR)</c:v>
                </c:pt>
                <c:pt idx="4">
                  <c:v>Critical (FLIR)</c:v>
                </c:pt>
                <c:pt idx="5">
                  <c:v>Standby</c:v>
                </c:pt>
              </c:strCache>
            </c:strRef>
          </c:cat>
          <c:val>
            <c:numRef>
              <c:f>SUMMARY!$I$17:$I$22</c:f>
              <c:numCache>
                <c:formatCode>General</c:formatCode>
                <c:ptCount val="6"/>
                <c:pt idx="0">
                  <c:v>14</c:v>
                </c:pt>
                <c:pt idx="1">
                  <c:v>4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C94-465C-957D-8741FBF390A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shape val="box"/>
        <c:axId val="346470656"/>
        <c:axId val="346480640"/>
        <c:axId val="0"/>
      </c:bar3DChart>
      <c:catAx>
        <c:axId val="346470656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480640"/>
        <c:crosses val="autoZero"/>
        <c:auto val="1"/>
        <c:lblAlgn val="ctr"/>
        <c:lblOffset val="100"/>
        <c:noMultiLvlLbl val="0"/>
      </c:catAx>
      <c:valAx>
        <c:axId val="346480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470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PERALATAN UNIT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20320197278846799"/>
          <c:y val="0.13768238791579626"/>
          <c:w val="0.65500861666777754"/>
          <c:h val="0.75525228989233484"/>
        </c:manualLayout>
      </c:layout>
      <c:bar3D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Pt>
            <c:idx val="0"/>
            <c:invertIfNegative val="0"/>
            <c:bubble3D val="0"/>
            <c:spPr>
              <a:solidFill>
                <a:srgbClr val="00B0F0"/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E9D-49D0-9377-2F19C10171A6}"/>
              </c:ext>
            </c:extLst>
          </c:dPt>
          <c:dPt>
            <c:idx val="1"/>
            <c:invertIfNegative val="0"/>
            <c:bubble3D val="0"/>
            <c:spPr>
              <a:solidFill>
                <a:srgbClr val="00B050"/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E9D-49D0-9377-2F19C10171A6}"/>
              </c:ext>
            </c:extLst>
          </c:dPt>
          <c:dPt>
            <c:idx val="2"/>
            <c:invertIfNegative val="0"/>
            <c:bubble3D val="0"/>
            <c:spPr>
              <a:solidFill>
                <a:srgbClr val="FFFF00"/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0-3940-4517-A9CE-FF315B4CCD30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3940-4517-A9CE-FF315B4CCD30}"/>
              </c:ext>
            </c:extLst>
          </c:dPt>
          <c:dPt>
            <c:idx val="4"/>
            <c:invertIfNegative val="0"/>
            <c:bubble3D val="0"/>
            <c:spPr>
              <a:solidFill>
                <a:schemeClr val="bg1"/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0-D183-4B4F-AFBB-2ABF965BCD6F}"/>
              </c:ext>
            </c:extLst>
          </c:dPt>
          <c:dPt>
            <c:idx val="5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A-CE9D-49D0-9377-2F19C10171A6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CE9D-49D0-9377-2F19C10171A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SUMMARY!$H$24:$H$29</c:f>
              <c:strCache>
                <c:ptCount val="6"/>
                <c:pt idx="0">
                  <c:v>Normal (FLIR)</c:v>
                </c:pt>
                <c:pt idx="1">
                  <c:v>Low (FLIR)</c:v>
                </c:pt>
                <c:pt idx="2">
                  <c:v>Medium (FLIR)</c:v>
                </c:pt>
                <c:pt idx="3">
                  <c:v>High (FLIR)</c:v>
                </c:pt>
                <c:pt idx="4">
                  <c:v>Critical (FLIR)</c:v>
                </c:pt>
                <c:pt idx="5">
                  <c:v>Standby</c:v>
                </c:pt>
              </c:strCache>
            </c:strRef>
          </c:cat>
          <c:val>
            <c:numRef>
              <c:f>SUMMARY!$I$24:$I$29</c:f>
              <c:numCache>
                <c:formatCode>General</c:formatCode>
                <c:ptCount val="6"/>
                <c:pt idx="0">
                  <c:v>17</c:v>
                </c:pt>
                <c:pt idx="1">
                  <c:v>4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  <c:pt idx="5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E9D-49D0-9377-2F19C10171A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shape val="box"/>
        <c:axId val="346470656"/>
        <c:axId val="346480640"/>
        <c:axId val="0"/>
      </c:bar3DChart>
      <c:catAx>
        <c:axId val="346470656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480640"/>
        <c:crosses val="autoZero"/>
        <c:auto val="1"/>
        <c:lblAlgn val="ctr"/>
        <c:lblOffset val="100"/>
        <c:noMultiLvlLbl val="0"/>
      </c:catAx>
      <c:valAx>
        <c:axId val="346480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470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STATUS PERALATAN UNIT COAL HANDLING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20320197278846799"/>
          <c:y val="0.13768238791579623"/>
          <c:w val="0.65500861666777754"/>
          <c:h val="0.75525228989233484"/>
        </c:manualLayout>
      </c:layout>
      <c:bar3D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Pt>
            <c:idx val="0"/>
            <c:invertIfNegative val="0"/>
            <c:bubble3D val="0"/>
            <c:spPr>
              <a:solidFill>
                <a:srgbClr val="00B0F0"/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EF6-4FB5-9EE6-8CB33ACAAB23}"/>
              </c:ext>
            </c:extLst>
          </c:dPt>
          <c:dPt>
            <c:idx val="1"/>
            <c:invertIfNegative val="0"/>
            <c:bubble3D val="0"/>
            <c:spPr>
              <a:solidFill>
                <a:srgbClr val="00B050"/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EEF6-4FB5-9EE6-8CB33ACAAB23}"/>
              </c:ext>
            </c:extLst>
          </c:dPt>
          <c:dPt>
            <c:idx val="2"/>
            <c:invertIfNegative val="0"/>
            <c:bubble3D val="0"/>
            <c:spPr>
              <a:solidFill>
                <a:srgbClr val="FFFF00"/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DFC-405C-8C4C-CA952DFE9DB8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A-5DFC-405C-8C4C-CA952DFE9DB8}"/>
              </c:ext>
            </c:extLst>
          </c:dPt>
          <c:dPt>
            <c:idx val="4"/>
            <c:invertIfNegative val="0"/>
            <c:bubble3D val="0"/>
            <c:spPr>
              <a:solidFill>
                <a:schemeClr val="bg1"/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0-5DFC-405C-8C4C-CA952DFE9DB8}"/>
              </c:ext>
            </c:extLst>
          </c:dPt>
          <c:dPt>
            <c:idx val="5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EEF6-4FB5-9EE6-8CB33ACAAB23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EEF6-4FB5-9EE6-8CB33ACAAB2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SUMMARY!$H$31:$H$36</c:f>
              <c:strCache>
                <c:ptCount val="6"/>
                <c:pt idx="0">
                  <c:v>Normal (FLIR)</c:v>
                </c:pt>
                <c:pt idx="1">
                  <c:v>Low (FLIR)</c:v>
                </c:pt>
                <c:pt idx="2">
                  <c:v>Medium (FLIR)</c:v>
                </c:pt>
                <c:pt idx="3">
                  <c:v>High (FLIR)</c:v>
                </c:pt>
                <c:pt idx="4">
                  <c:v>Critical (FLIR)</c:v>
                </c:pt>
                <c:pt idx="5">
                  <c:v>Standby</c:v>
                </c:pt>
              </c:strCache>
            </c:strRef>
          </c:cat>
          <c:val>
            <c:numRef>
              <c:f>SUMMARY!$I$31:$I$36</c:f>
              <c:numCache>
                <c:formatCode>General</c:formatCode>
                <c:ptCount val="6"/>
                <c:pt idx="0">
                  <c:v>16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F6-4FB5-9EE6-8CB33ACAAB2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shape val="box"/>
        <c:axId val="346470656"/>
        <c:axId val="346480640"/>
        <c:axId val="0"/>
      </c:bar3DChart>
      <c:catAx>
        <c:axId val="346470656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480640"/>
        <c:crosses val="autoZero"/>
        <c:auto val="1"/>
        <c:lblAlgn val="ctr"/>
        <c:lblOffset val="100"/>
        <c:noMultiLvlLbl val="0"/>
      </c:catAx>
      <c:valAx>
        <c:axId val="346480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470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D"/>
              <a:t>PERSENTASE</a:t>
            </a:r>
            <a:r>
              <a:rPr lang="en-ID" baseline="0"/>
              <a:t> KONDISI PERALATAN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view3D>
      <c:rotX val="75"/>
      <c:rotY val="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20320197278846799"/>
          <c:y val="0.31625364314123311"/>
          <c:w val="0.65500861666777754"/>
          <c:h val="0.57668067565173986"/>
        </c:manualLayout>
      </c:layout>
      <c:pie3DChart>
        <c:varyColors val="1"/>
        <c:ser>
          <c:idx val="0"/>
          <c:order val="0"/>
          <c:dPt>
            <c:idx val="0"/>
            <c:bubble3D val="0"/>
            <c:explosion val="10"/>
            <c:spPr>
              <a:solidFill>
                <a:srgbClr val="00B0F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1E1B-4442-B18E-DEF9BBB03D6A}"/>
              </c:ext>
            </c:extLst>
          </c:dPt>
          <c:dPt>
            <c:idx val="1"/>
            <c:bubble3D val="0"/>
            <c:explosion val="10"/>
            <c:spPr>
              <a:solidFill>
                <a:srgbClr val="00B05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1E1B-4442-B18E-DEF9BBB03D6A}"/>
              </c:ext>
            </c:extLst>
          </c:dPt>
          <c:dPt>
            <c:idx val="2"/>
            <c:bubble3D val="0"/>
            <c:explosion val="10"/>
            <c:spPr>
              <a:solidFill>
                <a:srgbClr val="FFFF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1E1B-4442-B18E-DEF9BBB03D6A}"/>
              </c:ext>
            </c:extLst>
          </c:dPt>
          <c:dPt>
            <c:idx val="3"/>
            <c:bubble3D val="0"/>
            <c:explosion val="10"/>
            <c:spPr>
              <a:solidFill>
                <a:srgbClr val="FF0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1E1B-4442-B18E-DEF9BBB03D6A}"/>
              </c:ext>
            </c:extLst>
          </c:dPt>
          <c:dPt>
            <c:idx val="4"/>
            <c:bubble3D val="0"/>
            <c:explosion val="10"/>
            <c:spPr>
              <a:solidFill>
                <a:schemeClr val="bg1">
                  <a:lumMod val="95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DB3B-4C8E-84D8-A80E7A256561}"/>
              </c:ext>
            </c:extLst>
          </c:dPt>
          <c:dPt>
            <c:idx val="5"/>
            <c:bubble3D val="0"/>
            <c:explosion val="1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1E1B-4442-B18E-DEF9BBB03D6A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DB3B-4C8E-84D8-A80E7A256561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F-DB3B-4C8E-84D8-A80E7A256561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1-DB3B-4C8E-84D8-A80E7A256561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A-1E1B-4442-B18E-DEF9BBB03D6A}"/>
              </c:ext>
            </c:extLst>
          </c:dPt>
          <c:dLbls>
            <c:spPr>
              <a:solidFill>
                <a:schemeClr val="bg2">
                  <a:lumMod val="9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SUMMARY!$H$3:$H$8</c:f>
              <c:strCache>
                <c:ptCount val="6"/>
                <c:pt idx="0">
                  <c:v>Normal (FLIR)</c:v>
                </c:pt>
                <c:pt idx="1">
                  <c:v>Low (FLIR)</c:v>
                </c:pt>
                <c:pt idx="2">
                  <c:v>Medium (FLIR)</c:v>
                </c:pt>
                <c:pt idx="3">
                  <c:v>High (FLIR)</c:v>
                </c:pt>
                <c:pt idx="4">
                  <c:v>Critical (FLIR)</c:v>
                </c:pt>
                <c:pt idx="5">
                  <c:v>Standby</c:v>
                </c:pt>
              </c:strCache>
            </c:strRef>
          </c:cat>
          <c:val>
            <c:numRef>
              <c:f>SUMMARY!$J$3:$J$8</c:f>
              <c:numCache>
                <c:formatCode>0%</c:formatCode>
                <c:ptCount val="6"/>
                <c:pt idx="0">
                  <c:v>0.55963302752293576</c:v>
                </c:pt>
                <c:pt idx="1">
                  <c:v>0.13761467889908258</c:v>
                </c:pt>
                <c:pt idx="2">
                  <c:v>0.11009174311926606</c:v>
                </c:pt>
                <c:pt idx="3">
                  <c:v>0</c:v>
                </c:pt>
                <c:pt idx="4">
                  <c:v>0</c:v>
                </c:pt>
                <c:pt idx="5">
                  <c:v>0.19266055045871561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E1B-4442-B18E-DEF9BBB03D6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image" Target="../media/image1.jpe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184150</xdr:colOff>
      <xdr:row>43</xdr:row>
      <xdr:rowOff>107950</xdr:rowOff>
    </xdr:from>
    <xdr:to>
      <xdr:col>13</xdr:col>
      <xdr:colOff>558800</xdr:colOff>
      <xdr:row>60</xdr:row>
      <xdr:rowOff>86782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CDAD30-0D83-47D6-B13E-8B540788C9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190500</xdr:colOff>
      <xdr:row>17</xdr:row>
      <xdr:rowOff>76200</xdr:rowOff>
    </xdr:from>
    <xdr:to>
      <xdr:col>6</xdr:col>
      <xdr:colOff>527050</xdr:colOff>
      <xdr:row>29</xdr:row>
      <xdr:rowOff>31750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1DD7745-85F4-4FAC-90D8-F503CB8FCC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190500</xdr:colOff>
      <xdr:row>17</xdr:row>
      <xdr:rowOff>82550</xdr:rowOff>
    </xdr:from>
    <xdr:to>
      <xdr:col>13</xdr:col>
      <xdr:colOff>527050</xdr:colOff>
      <xdr:row>29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448A9EC-F773-4167-880D-90AAA6DC9E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190500</xdr:colOff>
      <xdr:row>30</xdr:row>
      <xdr:rowOff>146050</xdr:rowOff>
    </xdr:from>
    <xdr:to>
      <xdr:col>6</xdr:col>
      <xdr:colOff>527050</xdr:colOff>
      <xdr:row>42</xdr:row>
      <xdr:rowOff>425450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EE191F9-B6A2-48F4-A6D9-1BBC98D169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203200</xdr:colOff>
      <xdr:row>30</xdr:row>
      <xdr:rowOff>152400</xdr:rowOff>
    </xdr:from>
    <xdr:to>
      <xdr:col>13</xdr:col>
      <xdr:colOff>539750</xdr:colOff>
      <xdr:row>42</xdr:row>
      <xdr:rowOff>431800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65A159B-CBA7-4331-8BA8-F67871B98C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158750</xdr:colOff>
      <xdr:row>43</xdr:row>
      <xdr:rowOff>107950</xdr:rowOff>
    </xdr:from>
    <xdr:to>
      <xdr:col>5</xdr:col>
      <xdr:colOff>69850</xdr:colOff>
      <xdr:row>60</xdr:row>
      <xdr:rowOff>88900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9039C28-E000-4A4D-BF2D-BA0947B2D9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38100</xdr:colOff>
      <xdr:row>0</xdr:row>
      <xdr:rowOff>114300</xdr:rowOff>
    </xdr:from>
    <xdr:to>
      <xdr:col>2</xdr:col>
      <xdr:colOff>584418</xdr:colOff>
      <xdr:row>3</xdr:row>
      <xdr:rowOff>63500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487B5C0-FBC2-0012-47B9-F909A9B7CE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14300"/>
          <a:ext cx="1765518" cy="463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61"/>
  <sheetViews>
    <sheetView tabSelected="1" view="pageBreakPreview" zoomScaleNormal="100" zoomScaleSheetLayoutView="100" workbookViewId="0">
      <selection activeCell="K8" sqref="K8"/>
    </sheetView>
  </sheetViews>
  <sheetFormatPr defaultRowHeight="14.5" x14ac:dyDescent="0.35"/>
  <cols>
    <col min="1" max="1" width="5.7265625" customWidth="1"/>
    <col min="2" max="2" width="11.7265625" customWidth="1"/>
    <col min="7" max="7" width="9.54296875" customWidth="1"/>
    <col min="10" max="10" width="5.7265625" customWidth="1"/>
    <col min="11" max="11" width="9.7265625" customWidth="1"/>
    <col min="12" max="12" width="10.81640625" customWidth="1"/>
    <col min="15" max="15" width="3.1796875" customWidth="1"/>
  </cols>
  <sheetData>
    <row r="1" spans="1:36" s="64" customFormat="1" ht="13.5" customHeight="1" x14ac:dyDescent="0.35">
      <c r="A1" s="67"/>
      <c r="B1" s="68"/>
      <c r="C1" s="68"/>
      <c r="D1" s="132" t="s">
        <v>370</v>
      </c>
      <c r="E1" s="133"/>
      <c r="F1" s="133"/>
      <c r="G1" s="133"/>
      <c r="H1" s="133"/>
      <c r="I1" s="133"/>
      <c r="J1" s="133"/>
      <c r="K1" s="133"/>
      <c r="L1" s="69" t="s">
        <v>306</v>
      </c>
      <c r="M1" s="70" t="s">
        <v>307</v>
      </c>
      <c r="N1" s="71"/>
      <c r="O1" s="72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</row>
    <row r="2" spans="1:36" s="64" customFormat="1" ht="13.5" customHeight="1" x14ac:dyDescent="0.35">
      <c r="A2" s="73"/>
      <c r="B2"/>
      <c r="C2"/>
      <c r="D2" s="134" t="s">
        <v>366</v>
      </c>
      <c r="E2" s="135"/>
      <c r="F2" s="135"/>
      <c r="G2" s="135"/>
      <c r="H2" s="135"/>
      <c r="I2" s="135"/>
      <c r="J2" s="135"/>
      <c r="K2" s="135"/>
      <c r="L2" s="62" t="s">
        <v>308</v>
      </c>
      <c r="M2" s="63" t="s">
        <v>309</v>
      </c>
      <c r="N2" s="65"/>
      <c r="O2" s="74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</row>
    <row r="3" spans="1:36" s="64" customFormat="1" ht="13.5" customHeight="1" x14ac:dyDescent="0.35">
      <c r="A3" s="73"/>
      <c r="B3"/>
      <c r="C3"/>
      <c r="D3" s="134" t="s">
        <v>377</v>
      </c>
      <c r="E3" s="135"/>
      <c r="F3" s="135"/>
      <c r="G3" s="135"/>
      <c r="H3" s="135"/>
      <c r="I3" s="135"/>
      <c r="J3" s="135"/>
      <c r="K3" s="135"/>
      <c r="L3" s="62" t="s">
        <v>310</v>
      </c>
      <c r="M3" s="63" t="s">
        <v>311</v>
      </c>
      <c r="N3" s="65"/>
      <c r="O3" s="74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</row>
    <row r="4" spans="1:36" s="64" customFormat="1" ht="13.5" customHeight="1" x14ac:dyDescent="0.35">
      <c r="A4" s="75"/>
      <c r="B4" s="66"/>
      <c r="C4" s="66"/>
      <c r="D4" s="134" t="s">
        <v>314</v>
      </c>
      <c r="E4" s="135"/>
      <c r="F4" s="135"/>
      <c r="G4" s="135"/>
      <c r="H4" s="135"/>
      <c r="I4" s="135"/>
      <c r="J4" s="135"/>
      <c r="K4" s="135"/>
      <c r="L4" s="62" t="s">
        <v>312</v>
      </c>
      <c r="M4" s="63" t="s">
        <v>313</v>
      </c>
      <c r="N4" s="65"/>
      <c r="O4" s="7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</row>
    <row r="5" spans="1:36" s="64" customFormat="1" ht="13.5" customHeight="1" x14ac:dyDescent="0.35">
      <c r="A5" s="73"/>
      <c r="B5"/>
      <c r="C5"/>
      <c r="D5"/>
      <c r="E5"/>
      <c r="F5"/>
      <c r="G5"/>
      <c r="H5"/>
      <c r="I5"/>
      <c r="J5"/>
      <c r="K5"/>
      <c r="L5"/>
      <c r="M5"/>
      <c r="N5"/>
      <c r="O5" s="76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</row>
    <row r="6" spans="1:36" s="64" customFormat="1" ht="20.149999999999999" customHeight="1" x14ac:dyDescent="0.35">
      <c r="A6" s="73"/>
      <c r="B6" s="130" t="s">
        <v>375</v>
      </c>
      <c r="C6" s="131"/>
      <c r="D6" s="131"/>
      <c r="E6" s="131"/>
      <c r="F6" s="131"/>
      <c r="G6" s="131"/>
      <c r="H6" s="131"/>
      <c r="I6" s="131"/>
      <c r="J6" s="131"/>
      <c r="K6" s="131"/>
      <c r="L6" s="131"/>
      <c r="M6" s="131"/>
      <c r="N6"/>
      <c r="O6" s="7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</row>
    <row r="7" spans="1:36" ht="25" customHeight="1" x14ac:dyDescent="0.35">
      <c r="A7" s="73"/>
      <c r="B7" s="131"/>
      <c r="C7" s="131"/>
      <c r="D7" s="131"/>
      <c r="E7" s="131"/>
      <c r="F7" s="131"/>
      <c r="G7" s="131"/>
      <c r="H7" s="131"/>
      <c r="I7" s="131"/>
      <c r="J7" s="131"/>
      <c r="K7" s="131"/>
      <c r="L7" s="131"/>
      <c r="M7" s="131"/>
      <c r="O7" s="76"/>
    </row>
    <row r="8" spans="1:36" ht="25" customHeight="1" thickBot="1" x14ac:dyDescent="0.4">
      <c r="A8" s="73"/>
      <c r="B8" s="81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O8" s="76"/>
    </row>
    <row r="9" spans="1:36" ht="28" customHeight="1" x14ac:dyDescent="0.35">
      <c r="A9" s="73"/>
      <c r="B9" s="123" t="s">
        <v>322</v>
      </c>
      <c r="C9" s="124"/>
      <c r="D9" s="124" t="s">
        <v>323</v>
      </c>
      <c r="E9" s="124"/>
      <c r="F9" s="124"/>
      <c r="G9" s="124"/>
      <c r="H9" s="124"/>
      <c r="I9" s="127"/>
      <c r="O9" s="76"/>
    </row>
    <row r="10" spans="1:36" s="88" customFormat="1" x14ac:dyDescent="0.35">
      <c r="A10" s="86"/>
      <c r="B10" s="125"/>
      <c r="C10" s="126"/>
      <c r="D10" s="87" t="s">
        <v>315</v>
      </c>
      <c r="E10" s="82" t="s">
        <v>316</v>
      </c>
      <c r="F10" s="83" t="s">
        <v>317</v>
      </c>
      <c r="G10" s="84" t="s">
        <v>318</v>
      </c>
      <c r="H10" s="85" t="s">
        <v>320</v>
      </c>
      <c r="I10" s="90" t="s">
        <v>319</v>
      </c>
      <c r="K10" s="107" t="s">
        <v>334</v>
      </c>
      <c r="O10" s="89"/>
    </row>
    <row r="11" spans="1:36" x14ac:dyDescent="0.35">
      <c r="A11" s="73"/>
      <c r="B11" s="136" t="s">
        <v>324</v>
      </c>
      <c r="C11" s="137"/>
      <c r="D11" s="87">
        <f>COUNTIF(SUMMARY!E3:F27,"Normal")</f>
        <v>10</v>
      </c>
      <c r="E11" s="82">
        <f>COUNTIF(SUMMARY!E3:F27,"Low")</f>
        <v>7</v>
      </c>
      <c r="F11" s="83">
        <f>COUNTIF(SUMMARY!E3:F27,"MEDIUM")</f>
        <v>4</v>
      </c>
      <c r="G11" s="84">
        <f>COUNTIF(SUMMARY!E3:F27,"HIGH")</f>
        <v>0</v>
      </c>
      <c r="H11" s="85">
        <f>COUNTIF(SUMMARY!E3:F27,"CRITICAL")</f>
        <v>0</v>
      </c>
      <c r="I11" s="90">
        <f>COUNTIF(SUMMARY!E3:F27,"STD BY")</f>
        <v>4</v>
      </c>
      <c r="K11" s="105" t="s">
        <v>315</v>
      </c>
      <c r="L11" s="91" t="s">
        <v>329</v>
      </c>
      <c r="O11" s="76"/>
    </row>
    <row r="12" spans="1:36" x14ac:dyDescent="0.35">
      <c r="A12" s="73"/>
      <c r="B12" s="136" t="s">
        <v>325</v>
      </c>
      <c r="C12" s="137"/>
      <c r="D12" s="87">
        <f>COUNTIF(SUMMARY!E28:F46,"Normal")</f>
        <v>11</v>
      </c>
      <c r="E12" s="82">
        <f>COUNTIF(SUMMARY!E28:F46,"Low")</f>
        <v>4</v>
      </c>
      <c r="F12" s="83">
        <f>COUNTIF(SUMMARY!E28:F46,"MEDIUM")</f>
        <v>1</v>
      </c>
      <c r="G12" s="84">
        <f>COUNTIF(SUMMARY!E28:F46,"HIGH")</f>
        <v>0</v>
      </c>
      <c r="H12" s="85">
        <f>COUNTIF(SUMMARY!E28:F46,"CRITICAL")</f>
        <v>0</v>
      </c>
      <c r="I12" s="90">
        <f>COUNTIF(SUMMARY!E28:F46,"STD BY")</f>
        <v>3</v>
      </c>
      <c r="K12" s="99" t="s">
        <v>316</v>
      </c>
      <c r="L12" s="91" t="s">
        <v>330</v>
      </c>
      <c r="O12" s="76"/>
    </row>
    <row r="13" spans="1:36" x14ac:dyDescent="0.35">
      <c r="A13" s="73"/>
      <c r="B13" s="136" t="s">
        <v>326</v>
      </c>
      <c r="C13" s="137"/>
      <c r="D13" s="87">
        <f>COUNTIF(SUMMARY!E47:F80,"Normal")</f>
        <v>18</v>
      </c>
      <c r="E13" s="82">
        <f>COUNTIF(SUMMARY!E47:F80,"Low")</f>
        <v>4</v>
      </c>
      <c r="F13" s="83">
        <f>COUNTIF(SUMMARY!E47:F80,"MEDIUM")</f>
        <v>4</v>
      </c>
      <c r="G13" s="84">
        <f>COUNTIF(SUMMARY!E47:F80,"HIGH")</f>
        <v>0</v>
      </c>
      <c r="H13" s="85">
        <f>COUNTIF(SUMMARY!E47:F80,"CRITICAL")</f>
        <v>0</v>
      </c>
      <c r="I13" s="90">
        <f>COUNTIF(SUMMARY!E47:F80,"STD BY")</f>
        <v>7</v>
      </c>
      <c r="K13" s="100" t="s">
        <v>317</v>
      </c>
      <c r="L13" s="91" t="s">
        <v>331</v>
      </c>
      <c r="O13" s="76"/>
    </row>
    <row r="14" spans="1:36" x14ac:dyDescent="0.35">
      <c r="A14" s="73"/>
      <c r="B14" s="136" t="s">
        <v>327</v>
      </c>
      <c r="C14" s="137"/>
      <c r="D14" s="87">
        <f>COUNTIF(SUMMARY!E81:F98,"Normal")</f>
        <v>10</v>
      </c>
      <c r="E14" s="82">
        <f>COUNTIF(SUMMARY!E81:F98,"Low")</f>
        <v>0</v>
      </c>
      <c r="F14" s="83">
        <f>COUNTIF(SUMMARY!E81:F98,"MEDIUM")</f>
        <v>2</v>
      </c>
      <c r="G14" s="84">
        <f>COUNTIF(SUMMARY!E81:F98,"HIGH")</f>
        <v>0</v>
      </c>
      <c r="H14" s="85">
        <f>COUNTIF(SUMMARY!E81:F98,"CRITICAL")</f>
        <v>0</v>
      </c>
      <c r="I14" s="90">
        <f>COUNTIF(SUMMARY!E81:F98,"STD BY")</f>
        <v>6</v>
      </c>
      <c r="K14" s="101" t="s">
        <v>318</v>
      </c>
      <c r="L14" s="91" t="s">
        <v>332</v>
      </c>
      <c r="O14" s="76"/>
    </row>
    <row r="15" spans="1:36" x14ac:dyDescent="0.35">
      <c r="A15" s="73"/>
      <c r="B15" s="136" t="s">
        <v>321</v>
      </c>
      <c r="C15" s="137"/>
      <c r="D15" s="87">
        <f>SUM(D11:D14)</f>
        <v>49</v>
      </c>
      <c r="E15" s="82">
        <f t="shared" ref="E15:I15" si="0">SUM(E11:E14)</f>
        <v>15</v>
      </c>
      <c r="F15" s="83">
        <f t="shared" si="0"/>
        <v>11</v>
      </c>
      <c r="G15" s="84">
        <f t="shared" si="0"/>
        <v>0</v>
      </c>
      <c r="H15" s="85">
        <f t="shared" si="0"/>
        <v>0</v>
      </c>
      <c r="I15" s="90">
        <f t="shared" si="0"/>
        <v>20</v>
      </c>
      <c r="J15" s="98">
        <f>SUM(D15:I15)</f>
        <v>95</v>
      </c>
      <c r="K15" s="102" t="s">
        <v>320</v>
      </c>
      <c r="L15" s="91" t="s">
        <v>333</v>
      </c>
      <c r="O15" s="76"/>
    </row>
    <row r="16" spans="1:36" ht="15" thickBot="1" x14ac:dyDescent="0.4">
      <c r="A16" s="73"/>
      <c r="B16" s="128" t="s">
        <v>328</v>
      </c>
      <c r="C16" s="129"/>
      <c r="D16" s="92">
        <f>D15/J15*100</f>
        <v>51.578947368421055</v>
      </c>
      <c r="E16" s="93">
        <f>E15/J15*100</f>
        <v>15.789473684210526</v>
      </c>
      <c r="F16" s="94">
        <f>F15/J15*100</f>
        <v>11.578947368421053</v>
      </c>
      <c r="G16" s="95">
        <f>G15/J15*100</f>
        <v>0</v>
      </c>
      <c r="H16" s="96">
        <f>H15/J15*100</f>
        <v>0</v>
      </c>
      <c r="I16" s="97">
        <f>I15/J15*100</f>
        <v>21.052631578947366</v>
      </c>
      <c r="J16" s="104">
        <f>SUM(D16:I16)</f>
        <v>100</v>
      </c>
      <c r="K16" s="106" t="s">
        <v>319</v>
      </c>
      <c r="L16" s="103" t="s">
        <v>335</v>
      </c>
      <c r="O16" s="76"/>
    </row>
    <row r="17" spans="1:15" x14ac:dyDescent="0.35">
      <c r="A17" s="73"/>
      <c r="O17" s="76"/>
    </row>
    <row r="18" spans="1:15" x14ac:dyDescent="0.35">
      <c r="A18" s="73"/>
      <c r="O18" s="76"/>
    </row>
    <row r="19" spans="1:15" x14ac:dyDescent="0.35">
      <c r="A19" s="73"/>
      <c r="O19" s="76"/>
    </row>
    <row r="20" spans="1:15" x14ac:dyDescent="0.35">
      <c r="A20" s="73"/>
      <c r="O20" s="76"/>
    </row>
    <row r="21" spans="1:15" x14ac:dyDescent="0.35">
      <c r="A21" s="73"/>
      <c r="O21" s="76"/>
    </row>
    <row r="22" spans="1:15" ht="40" customHeight="1" x14ac:dyDescent="0.35">
      <c r="A22" s="73"/>
      <c r="O22" s="76"/>
    </row>
    <row r="23" spans="1:15" x14ac:dyDescent="0.35">
      <c r="A23" s="73"/>
      <c r="O23" s="76"/>
    </row>
    <row r="24" spans="1:15" x14ac:dyDescent="0.35">
      <c r="A24" s="73"/>
      <c r="O24" s="76"/>
    </row>
    <row r="25" spans="1:15" x14ac:dyDescent="0.35">
      <c r="A25" s="73"/>
      <c r="O25" s="76"/>
    </row>
    <row r="26" spans="1:15" x14ac:dyDescent="0.35">
      <c r="A26" s="73"/>
      <c r="O26" s="76"/>
    </row>
    <row r="27" spans="1:15" x14ac:dyDescent="0.35">
      <c r="A27" s="73"/>
      <c r="O27" s="76"/>
    </row>
    <row r="28" spans="1:15" x14ac:dyDescent="0.35">
      <c r="A28" s="73"/>
      <c r="O28" s="76"/>
    </row>
    <row r="29" spans="1:15" x14ac:dyDescent="0.35">
      <c r="A29" s="73"/>
      <c r="O29" s="76"/>
    </row>
    <row r="30" spans="1:15" x14ac:dyDescent="0.35">
      <c r="A30" s="73"/>
      <c r="O30" s="76"/>
    </row>
    <row r="31" spans="1:15" x14ac:dyDescent="0.35">
      <c r="A31" s="73"/>
      <c r="O31" s="76"/>
    </row>
    <row r="32" spans="1:15" x14ac:dyDescent="0.35">
      <c r="A32" s="73"/>
      <c r="O32" s="76"/>
    </row>
    <row r="33" spans="1:15" x14ac:dyDescent="0.35">
      <c r="A33" s="73"/>
      <c r="O33" s="76"/>
    </row>
    <row r="34" spans="1:15" x14ac:dyDescent="0.35">
      <c r="A34" s="73"/>
      <c r="O34" s="76"/>
    </row>
    <row r="35" spans="1:15" x14ac:dyDescent="0.35">
      <c r="A35" s="73"/>
      <c r="O35" s="76"/>
    </row>
    <row r="36" spans="1:15" x14ac:dyDescent="0.35">
      <c r="A36" s="73"/>
      <c r="O36" s="76"/>
    </row>
    <row r="37" spans="1:15" x14ac:dyDescent="0.35">
      <c r="A37" s="73"/>
      <c r="O37" s="76"/>
    </row>
    <row r="38" spans="1:15" x14ac:dyDescent="0.35">
      <c r="A38" s="73"/>
      <c r="O38" s="76"/>
    </row>
    <row r="39" spans="1:15" x14ac:dyDescent="0.35">
      <c r="A39" s="73"/>
      <c r="O39" s="76"/>
    </row>
    <row r="40" spans="1:15" x14ac:dyDescent="0.35">
      <c r="A40" s="73"/>
      <c r="O40" s="76"/>
    </row>
    <row r="41" spans="1:15" x14ac:dyDescent="0.35">
      <c r="A41" s="73"/>
      <c r="O41" s="76"/>
    </row>
    <row r="42" spans="1:15" x14ac:dyDescent="0.35">
      <c r="A42" s="73"/>
      <c r="O42" s="76"/>
    </row>
    <row r="43" spans="1:15" ht="40" customHeight="1" x14ac:dyDescent="0.35">
      <c r="A43" s="73"/>
      <c r="O43" s="76"/>
    </row>
    <row r="44" spans="1:15" x14ac:dyDescent="0.35">
      <c r="A44" s="73"/>
      <c r="O44" s="76"/>
    </row>
    <row r="45" spans="1:15" x14ac:dyDescent="0.35">
      <c r="A45" s="73"/>
      <c r="O45" s="76"/>
    </row>
    <row r="46" spans="1:15" x14ac:dyDescent="0.35">
      <c r="A46" s="73"/>
      <c r="O46" s="76"/>
    </row>
    <row r="47" spans="1:15" x14ac:dyDescent="0.35">
      <c r="A47" s="73"/>
      <c r="O47" s="76"/>
    </row>
    <row r="48" spans="1:15" x14ac:dyDescent="0.35">
      <c r="A48" s="73"/>
      <c r="O48" s="76"/>
    </row>
    <row r="49" spans="1:15" x14ac:dyDescent="0.35">
      <c r="A49" s="73"/>
      <c r="O49" s="76"/>
    </row>
    <row r="50" spans="1:15" x14ac:dyDescent="0.35">
      <c r="A50" s="73"/>
      <c r="O50" s="76"/>
    </row>
    <row r="51" spans="1:15" x14ac:dyDescent="0.35">
      <c r="A51" s="73"/>
      <c r="O51" s="76"/>
    </row>
    <row r="52" spans="1:15" x14ac:dyDescent="0.35">
      <c r="A52" s="73"/>
      <c r="O52" s="76"/>
    </row>
    <row r="53" spans="1:15" x14ac:dyDescent="0.35">
      <c r="A53" s="73"/>
      <c r="O53" s="76"/>
    </row>
    <row r="54" spans="1:15" x14ac:dyDescent="0.35">
      <c r="A54" s="73"/>
      <c r="O54" s="76"/>
    </row>
    <row r="55" spans="1:15" x14ac:dyDescent="0.35">
      <c r="A55" s="73"/>
      <c r="O55" s="76"/>
    </row>
    <row r="56" spans="1:15" x14ac:dyDescent="0.35">
      <c r="A56" s="73"/>
      <c r="O56" s="76"/>
    </row>
    <row r="57" spans="1:15" x14ac:dyDescent="0.35">
      <c r="A57" s="73"/>
      <c r="O57" s="76"/>
    </row>
    <row r="58" spans="1:15" x14ac:dyDescent="0.35">
      <c r="A58" s="73"/>
      <c r="O58" s="76"/>
    </row>
    <row r="59" spans="1:15" x14ac:dyDescent="0.35">
      <c r="A59" s="73"/>
      <c r="O59" s="76"/>
    </row>
    <row r="60" spans="1:15" x14ac:dyDescent="0.35">
      <c r="A60" s="73"/>
      <c r="O60" s="76"/>
    </row>
    <row r="61" spans="1:15" ht="15" thickBot="1" x14ac:dyDescent="0.4">
      <c r="A61" s="77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9"/>
    </row>
  </sheetData>
  <mergeCells count="13">
    <mergeCell ref="B9:C10"/>
    <mergeCell ref="D9:I9"/>
    <mergeCell ref="B16:C16"/>
    <mergeCell ref="B6:M7"/>
    <mergeCell ref="D1:K1"/>
    <mergeCell ref="D2:K2"/>
    <mergeCell ref="D3:K3"/>
    <mergeCell ref="D4:K4"/>
    <mergeCell ref="B15:C15"/>
    <mergeCell ref="B11:C11"/>
    <mergeCell ref="B12:C12"/>
    <mergeCell ref="B13:C13"/>
    <mergeCell ref="B14:C14"/>
  </mergeCells>
  <printOptions horizontalCentered="1"/>
  <pageMargins left="0.31496062992125984" right="0.31496062992125984" top="0.35433070866141736" bottom="0.31496062992125984" header="0.31496062992125984" footer="0.31496062992125984"/>
  <pageSetup paperSize="9" scale="77" orientation="portrait" r:id="rId1"/>
  <colBreaks count="1" manualBreakCount="1">
    <brk id="15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2"/>
  <sheetViews>
    <sheetView zoomScale="70" zoomScaleNormal="70" zoomScaleSheetLayoutView="100" workbookViewId="0">
      <selection activeCell="C31" sqref="C31"/>
    </sheetView>
  </sheetViews>
  <sheetFormatPr defaultRowHeight="14.5" x14ac:dyDescent="0.35"/>
  <cols>
    <col min="1" max="1" width="5.26953125" style="33" customWidth="1"/>
    <col min="2" max="2" width="20.1796875" style="33" customWidth="1"/>
    <col min="3" max="3" width="64" bestFit="1" customWidth="1"/>
    <col min="4" max="4" width="11.81640625" style="33" customWidth="1"/>
    <col min="5" max="5" width="5.54296875" style="33" customWidth="1"/>
    <col min="6" max="6" width="8.54296875" customWidth="1"/>
    <col min="7" max="7" width="18.54296875" customWidth="1"/>
    <col min="8" max="9" width="9.1796875" style="58" customWidth="1"/>
    <col min="10" max="10" width="8.7265625" style="61"/>
  </cols>
  <sheetData>
    <row r="1" spans="1:10" x14ac:dyDescent="0.35">
      <c r="A1" s="144" t="s">
        <v>0</v>
      </c>
      <c r="B1" s="146" t="s">
        <v>296</v>
      </c>
      <c r="C1" s="146" t="s">
        <v>2</v>
      </c>
      <c r="D1" s="146" t="s">
        <v>297</v>
      </c>
      <c r="E1" s="140" t="s">
        <v>298</v>
      </c>
      <c r="F1" s="141"/>
      <c r="G1" s="56"/>
    </row>
    <row r="2" spans="1:10" x14ac:dyDescent="0.35">
      <c r="A2" s="145"/>
      <c r="B2" s="146"/>
      <c r="C2" s="146"/>
      <c r="D2" s="146"/>
      <c r="E2" s="142"/>
      <c r="F2" s="143"/>
    </row>
    <row r="3" spans="1:10" x14ac:dyDescent="0.35">
      <c r="A3" s="55">
        <v>1</v>
      </c>
      <c r="B3" s="55" t="s">
        <v>14</v>
      </c>
      <c r="C3" s="54" t="s">
        <v>161</v>
      </c>
      <c r="D3" s="55" t="s">
        <v>16</v>
      </c>
      <c r="E3" s="138" t="str">
        <f>REKOMENDASI!I6</f>
        <v>Low</v>
      </c>
      <c r="F3" s="139"/>
      <c r="G3" s="57"/>
      <c r="H3" s="59" t="s">
        <v>301</v>
      </c>
      <c r="I3" s="60">
        <f>COUNTIF(E3:F112,"Normal")</f>
        <v>61</v>
      </c>
      <c r="J3" s="61">
        <f>I3/I9</f>
        <v>0.55963302752293576</v>
      </c>
    </row>
    <row r="4" spans="1:10" x14ac:dyDescent="0.35">
      <c r="A4" s="55">
        <v>1</v>
      </c>
      <c r="B4" s="55" t="s">
        <v>20</v>
      </c>
      <c r="C4" s="54" t="s">
        <v>162</v>
      </c>
      <c r="D4" s="55" t="s">
        <v>16</v>
      </c>
      <c r="E4" s="138" t="str">
        <f>REKOMENDASI!I13</f>
        <v>Normal</v>
      </c>
      <c r="F4" s="139"/>
      <c r="G4" s="57"/>
      <c r="H4" s="59" t="s">
        <v>302</v>
      </c>
      <c r="I4" s="60">
        <f>COUNTIF(E3:F112,"Low")</f>
        <v>15</v>
      </c>
      <c r="J4" s="61">
        <f>I4/I9</f>
        <v>0.13761467889908258</v>
      </c>
    </row>
    <row r="5" spans="1:10" x14ac:dyDescent="0.35">
      <c r="A5" s="55">
        <v>1</v>
      </c>
      <c r="B5" s="55" t="s">
        <v>21</v>
      </c>
      <c r="C5" s="54" t="s">
        <v>163</v>
      </c>
      <c r="D5" s="55" t="s">
        <v>16</v>
      </c>
      <c r="E5" s="138" t="str">
        <f>REKOMENDASI!I20</f>
        <v>STD BY</v>
      </c>
      <c r="F5" s="139"/>
      <c r="G5" s="57"/>
      <c r="H5" s="59" t="s">
        <v>303</v>
      </c>
      <c r="I5" s="60">
        <f>COUNTIF(E3:F112,"Medium")</f>
        <v>12</v>
      </c>
      <c r="J5" s="61">
        <f>I5/I9</f>
        <v>0.11009174311926606</v>
      </c>
    </row>
    <row r="6" spans="1:10" x14ac:dyDescent="0.35">
      <c r="A6" s="55">
        <v>1</v>
      </c>
      <c r="B6" s="55" t="s">
        <v>23</v>
      </c>
      <c r="C6" s="54" t="s">
        <v>164</v>
      </c>
      <c r="D6" s="55" t="s">
        <v>16</v>
      </c>
      <c r="E6" s="138" t="str">
        <f>REKOMENDASI!I30</f>
        <v>Medium</v>
      </c>
      <c r="F6" s="139"/>
      <c r="G6" s="57"/>
      <c r="H6" s="59" t="s">
        <v>304</v>
      </c>
      <c r="I6" s="60">
        <f>COUNTIF(E3:F112,"High")</f>
        <v>0</v>
      </c>
      <c r="J6" s="61">
        <f>I6/I9</f>
        <v>0</v>
      </c>
    </row>
    <row r="7" spans="1:10" x14ac:dyDescent="0.35">
      <c r="A7" s="55">
        <v>1</v>
      </c>
      <c r="B7" s="55" t="s">
        <v>24</v>
      </c>
      <c r="C7" s="54" t="s">
        <v>165</v>
      </c>
      <c r="D7" s="55" t="s">
        <v>16</v>
      </c>
      <c r="E7" s="138" t="str">
        <f>REKOMENDASI!I40</f>
        <v>Normal</v>
      </c>
      <c r="F7" s="139"/>
      <c r="G7" s="57"/>
      <c r="H7" s="59" t="s">
        <v>305</v>
      </c>
      <c r="I7" s="60">
        <f>COUNTIF(E3:F112,"Critical")</f>
        <v>0</v>
      </c>
      <c r="J7" s="61">
        <f>I7/I9</f>
        <v>0</v>
      </c>
    </row>
    <row r="8" spans="1:10" x14ac:dyDescent="0.35">
      <c r="A8" s="55">
        <v>1</v>
      </c>
      <c r="B8" s="55" t="s">
        <v>27</v>
      </c>
      <c r="C8" s="54" t="s">
        <v>166</v>
      </c>
      <c r="D8" s="55" t="s">
        <v>16</v>
      </c>
      <c r="E8" s="138" t="str">
        <f>REKOMENDASI!I48</f>
        <v>Low</v>
      </c>
      <c r="F8" s="139"/>
      <c r="G8" s="57"/>
      <c r="H8" s="59" t="s">
        <v>299</v>
      </c>
      <c r="I8" s="60">
        <f>COUNTIF(E3:F112,"STD BY")</f>
        <v>21</v>
      </c>
      <c r="J8" s="61">
        <f>I8/I9</f>
        <v>0.19266055045871561</v>
      </c>
    </row>
    <row r="9" spans="1:10" x14ac:dyDescent="0.35">
      <c r="A9" s="55">
        <v>1</v>
      </c>
      <c r="B9" s="55" t="s">
        <v>28</v>
      </c>
      <c r="C9" s="54" t="s">
        <v>167</v>
      </c>
      <c r="D9" s="55" t="s">
        <v>16</v>
      </c>
      <c r="E9" s="138" t="str">
        <f>REKOMENDASI!I56</f>
        <v>Low</v>
      </c>
      <c r="F9" s="139"/>
      <c r="G9" s="57"/>
      <c r="H9" s="59" t="s">
        <v>218</v>
      </c>
      <c r="I9" s="60">
        <f>SUM(I3:I8)</f>
        <v>109</v>
      </c>
    </row>
    <row r="10" spans="1:10" x14ac:dyDescent="0.35">
      <c r="A10" s="55">
        <v>1</v>
      </c>
      <c r="B10" s="55" t="s">
        <v>29</v>
      </c>
      <c r="C10" s="54" t="s">
        <v>168</v>
      </c>
      <c r="D10" s="55" t="s">
        <v>16</v>
      </c>
      <c r="E10" s="138" t="str">
        <f>REKOMENDASI!I64</f>
        <v>Low</v>
      </c>
      <c r="F10" s="139"/>
      <c r="G10" s="57"/>
      <c r="H10" s="59" t="s">
        <v>301</v>
      </c>
      <c r="I10" s="60">
        <f>COUNTIF(E3:F32,"Normal")</f>
        <v>14</v>
      </c>
    </row>
    <row r="11" spans="1:10" x14ac:dyDescent="0.35">
      <c r="A11" s="55">
        <v>1</v>
      </c>
      <c r="B11" s="55" t="s">
        <v>30</v>
      </c>
      <c r="C11" s="54" t="s">
        <v>169</v>
      </c>
      <c r="D11" s="55" t="s">
        <v>16</v>
      </c>
      <c r="E11" s="138" t="str">
        <f>REKOMENDASI!I72</f>
        <v>Normal</v>
      </c>
      <c r="F11" s="139"/>
      <c r="G11" s="57"/>
      <c r="H11" s="59" t="s">
        <v>302</v>
      </c>
      <c r="I11" s="60">
        <f>COUNTIF(E3:F32,"Low")</f>
        <v>7</v>
      </c>
    </row>
    <row r="12" spans="1:10" x14ac:dyDescent="0.35">
      <c r="A12" s="55">
        <v>1</v>
      </c>
      <c r="B12" s="55" t="s">
        <v>31</v>
      </c>
      <c r="C12" s="54" t="s">
        <v>170</v>
      </c>
      <c r="D12" s="55" t="s">
        <v>16</v>
      </c>
      <c r="E12" s="138" t="str">
        <f>REKOMENDASI!I80</f>
        <v>Low</v>
      </c>
      <c r="F12" s="139"/>
      <c r="G12" s="57"/>
      <c r="H12" s="59" t="s">
        <v>303</v>
      </c>
      <c r="I12" s="60">
        <f>COUNTIF(E3:F32,"Medium")</f>
        <v>5</v>
      </c>
    </row>
    <row r="13" spans="1:10" x14ac:dyDescent="0.35">
      <c r="A13" s="55">
        <v>1</v>
      </c>
      <c r="B13" s="55" t="s">
        <v>32</v>
      </c>
      <c r="C13" s="54" t="s">
        <v>171</v>
      </c>
      <c r="D13" s="55" t="s">
        <v>16</v>
      </c>
      <c r="E13" s="138" t="str">
        <f>REKOMENDASI!I88</f>
        <v>STD BY</v>
      </c>
      <c r="F13" s="139"/>
      <c r="G13" s="57"/>
      <c r="H13" s="59" t="s">
        <v>304</v>
      </c>
      <c r="I13" s="60">
        <f>COUNTIF(E3:F32,"High")</f>
        <v>0</v>
      </c>
    </row>
    <row r="14" spans="1:10" x14ac:dyDescent="0.35">
      <c r="A14" s="55">
        <v>1</v>
      </c>
      <c r="B14" s="55" t="s">
        <v>36</v>
      </c>
      <c r="C14" s="54" t="s">
        <v>172</v>
      </c>
      <c r="D14" s="55" t="s">
        <v>16</v>
      </c>
      <c r="E14" s="138" t="str">
        <f>REKOMENDASI!I95</f>
        <v>Low</v>
      </c>
      <c r="F14" s="139"/>
      <c r="G14" s="57"/>
      <c r="H14" s="59" t="s">
        <v>305</v>
      </c>
      <c r="I14" s="60">
        <f>COUNTIF(E3:F32,"Critical")</f>
        <v>0</v>
      </c>
    </row>
    <row r="15" spans="1:10" x14ac:dyDescent="0.35">
      <c r="A15" s="55">
        <v>1</v>
      </c>
      <c r="B15" s="55" t="s">
        <v>37</v>
      </c>
      <c r="C15" s="54" t="s">
        <v>173</v>
      </c>
      <c r="D15" s="55" t="s">
        <v>16</v>
      </c>
      <c r="E15" s="138" t="str">
        <f>REKOMENDASI!I102</f>
        <v>Medium</v>
      </c>
      <c r="F15" s="139"/>
      <c r="G15" s="57"/>
      <c r="H15" s="59" t="s">
        <v>299</v>
      </c>
      <c r="I15" s="60">
        <f>COUNTIF(E3:F32,"STD BY")</f>
        <v>4</v>
      </c>
    </row>
    <row r="16" spans="1:10" x14ac:dyDescent="0.35">
      <c r="A16" s="55">
        <v>1</v>
      </c>
      <c r="B16" s="55" t="s">
        <v>38</v>
      </c>
      <c r="C16" s="54" t="s">
        <v>174</v>
      </c>
      <c r="D16" s="55" t="s">
        <v>16</v>
      </c>
      <c r="E16" s="138" t="str">
        <f>REKOMENDASI!I109</f>
        <v>Medium</v>
      </c>
      <c r="F16" s="139"/>
      <c r="G16" s="57"/>
      <c r="H16" s="59" t="s">
        <v>300</v>
      </c>
      <c r="I16" s="60"/>
    </row>
    <row r="17" spans="1:9" x14ac:dyDescent="0.35">
      <c r="A17" s="55">
        <v>1</v>
      </c>
      <c r="B17" s="55" t="s">
        <v>39</v>
      </c>
      <c r="C17" s="54" t="s">
        <v>175</v>
      </c>
      <c r="D17" s="55" t="s">
        <v>16</v>
      </c>
      <c r="E17" s="138" t="str">
        <f>REKOMENDASI!I116</f>
        <v>Medium</v>
      </c>
      <c r="F17" s="139"/>
      <c r="G17" s="57"/>
      <c r="H17" s="59" t="s">
        <v>301</v>
      </c>
      <c r="I17" s="60">
        <f>COUNTIF(E33:F56,"Normal")</f>
        <v>14</v>
      </c>
    </row>
    <row r="18" spans="1:9" x14ac:dyDescent="0.35">
      <c r="A18" s="55">
        <v>1</v>
      </c>
      <c r="B18" s="55" t="s">
        <v>40</v>
      </c>
      <c r="C18" s="54" t="s">
        <v>176</v>
      </c>
      <c r="D18" s="55" t="s">
        <v>16</v>
      </c>
      <c r="E18" s="138" t="str">
        <f>REKOMENDASI!I124</f>
        <v>Low</v>
      </c>
      <c r="F18" s="139"/>
      <c r="G18" s="57"/>
      <c r="H18" s="59" t="s">
        <v>302</v>
      </c>
      <c r="I18" s="60">
        <f>COUNTIF(E33:F56,"Low")</f>
        <v>4</v>
      </c>
    </row>
    <row r="19" spans="1:9" x14ac:dyDescent="0.35">
      <c r="A19" s="55">
        <v>1</v>
      </c>
      <c r="B19" s="55" t="s">
        <v>130</v>
      </c>
      <c r="C19" s="54" t="s">
        <v>177</v>
      </c>
      <c r="D19" s="55" t="s">
        <v>16</v>
      </c>
      <c r="E19" s="138" t="str">
        <f>REKOMENDASI!I132</f>
        <v>Normal</v>
      </c>
      <c r="F19" s="139"/>
      <c r="G19" s="57"/>
      <c r="H19" s="59" t="s">
        <v>303</v>
      </c>
      <c r="I19" s="60">
        <f>COUNTIF(E33:F56,"Medium")</f>
        <v>1</v>
      </c>
    </row>
    <row r="20" spans="1:9" x14ac:dyDescent="0.35">
      <c r="A20" s="55">
        <v>1</v>
      </c>
      <c r="B20" s="55" t="s">
        <v>131</v>
      </c>
      <c r="C20" s="54" t="s">
        <v>178</v>
      </c>
      <c r="D20" s="55" t="s">
        <v>16</v>
      </c>
      <c r="E20" s="138" t="str">
        <f>REKOMENDASI!I135</f>
        <v>STD BY</v>
      </c>
      <c r="F20" s="139"/>
      <c r="G20" s="57"/>
      <c r="H20" s="59" t="s">
        <v>304</v>
      </c>
      <c r="I20" s="60">
        <f>COUNTIF(E33:F56,"High")</f>
        <v>0</v>
      </c>
    </row>
    <row r="21" spans="1:9" x14ac:dyDescent="0.35">
      <c r="A21" s="55">
        <v>1</v>
      </c>
      <c r="B21" s="55" t="s">
        <v>132</v>
      </c>
      <c r="C21" s="54" t="s">
        <v>179</v>
      </c>
      <c r="D21" s="55" t="s">
        <v>16</v>
      </c>
      <c r="E21" s="138" t="str">
        <f>REKOMENDASI!I138</f>
        <v>STD BY</v>
      </c>
      <c r="F21" s="139"/>
      <c r="G21" s="57"/>
      <c r="H21" s="59" t="s">
        <v>305</v>
      </c>
      <c r="I21" s="60">
        <f>COUNTIF(E33:F56,"Critical")</f>
        <v>0</v>
      </c>
    </row>
    <row r="22" spans="1:9" x14ac:dyDescent="0.35">
      <c r="A22" s="55">
        <v>1</v>
      </c>
      <c r="B22" s="55" t="s">
        <v>133</v>
      </c>
      <c r="C22" s="54" t="s">
        <v>180</v>
      </c>
      <c r="D22" s="55" t="s">
        <v>16</v>
      </c>
      <c r="E22" s="138" t="str">
        <f>REKOMENDASI!I141</f>
        <v>Normal</v>
      </c>
      <c r="F22" s="139"/>
      <c r="G22" s="57"/>
      <c r="H22" s="59" t="s">
        <v>299</v>
      </c>
      <c r="I22" s="60">
        <f>COUNTIF(E33:F56,"STD BY")</f>
        <v>5</v>
      </c>
    </row>
    <row r="23" spans="1:9" x14ac:dyDescent="0.35">
      <c r="A23" s="55">
        <v>1</v>
      </c>
      <c r="B23" s="55" t="s">
        <v>134</v>
      </c>
      <c r="C23" s="54" t="s">
        <v>181</v>
      </c>
      <c r="D23" s="55" t="s">
        <v>16</v>
      </c>
      <c r="E23" s="138" t="str">
        <f>REKOMENDASI!I144</f>
        <v>Normal</v>
      </c>
      <c r="F23" s="139"/>
      <c r="G23" s="57"/>
      <c r="H23" s="59" t="s">
        <v>219</v>
      </c>
      <c r="I23" s="60"/>
    </row>
    <row r="24" spans="1:9" x14ac:dyDescent="0.35">
      <c r="A24" s="55">
        <v>1</v>
      </c>
      <c r="B24" s="55" t="s">
        <v>43</v>
      </c>
      <c r="C24" s="54" t="s">
        <v>44</v>
      </c>
      <c r="D24" s="55" t="s">
        <v>16</v>
      </c>
      <c r="E24" s="138" t="str">
        <f>REKOMENDASI!I146</f>
        <v>Normal</v>
      </c>
      <c r="F24" s="139"/>
      <c r="G24" s="57"/>
      <c r="H24" s="59" t="s">
        <v>301</v>
      </c>
      <c r="I24" s="60">
        <f>COUNTIF(E57:F94,"Normal")</f>
        <v>17</v>
      </c>
    </row>
    <row r="25" spans="1:9" x14ac:dyDescent="0.35">
      <c r="A25" s="55">
        <v>1</v>
      </c>
      <c r="B25" s="55" t="s">
        <v>349</v>
      </c>
      <c r="C25" s="54" t="s">
        <v>347</v>
      </c>
      <c r="D25" s="55" t="s">
        <v>16</v>
      </c>
      <c r="E25" s="138" t="str">
        <f>REKOMENDASI!I149</f>
        <v>Normal</v>
      </c>
      <c r="F25" s="139"/>
      <c r="G25" s="57"/>
      <c r="H25" s="59" t="s">
        <v>302</v>
      </c>
      <c r="I25" s="60">
        <f>COUNTIF(E57:F94,"Low")</f>
        <v>4</v>
      </c>
    </row>
    <row r="26" spans="1:9" x14ac:dyDescent="0.35">
      <c r="A26" s="55">
        <v>1</v>
      </c>
      <c r="B26" s="55" t="s">
        <v>350</v>
      </c>
      <c r="C26" s="54" t="s">
        <v>348</v>
      </c>
      <c r="D26" s="55" t="s">
        <v>16</v>
      </c>
      <c r="E26" s="138" t="str">
        <f>REKOMENDASI!I157</f>
        <v>Normal</v>
      </c>
      <c r="F26" s="139"/>
      <c r="G26" s="57"/>
      <c r="H26" s="59" t="s">
        <v>303</v>
      </c>
      <c r="I26" s="60">
        <f>COUNTIF(E57:F94,"Medium")</f>
        <v>5</v>
      </c>
    </row>
    <row r="27" spans="1:9" x14ac:dyDescent="0.35">
      <c r="A27" s="55">
        <v>1</v>
      </c>
      <c r="B27" s="55" t="s">
        <v>351</v>
      </c>
      <c r="C27" s="54" t="s">
        <v>337</v>
      </c>
      <c r="D27" s="55" t="s">
        <v>16</v>
      </c>
      <c r="E27" s="138" t="str">
        <f>REKOMENDASI!I165</f>
        <v>Normal</v>
      </c>
      <c r="F27" s="139"/>
      <c r="G27" s="57"/>
      <c r="H27" s="59" t="s">
        <v>304</v>
      </c>
      <c r="I27" s="60">
        <f>COUNTIF(E57:F94,"High")</f>
        <v>0</v>
      </c>
    </row>
    <row r="28" spans="1:9" x14ac:dyDescent="0.35">
      <c r="A28" s="55">
        <v>1</v>
      </c>
      <c r="B28" s="55" t="s">
        <v>343</v>
      </c>
      <c r="C28" s="54" t="s">
        <v>344</v>
      </c>
      <c r="D28" s="55" t="s">
        <v>16</v>
      </c>
      <c r="E28" s="138" t="str">
        <f>REKOMENDASI!I173</f>
        <v>Medium</v>
      </c>
      <c r="F28" s="139"/>
      <c r="G28" s="57"/>
      <c r="H28" s="59" t="s">
        <v>305</v>
      </c>
      <c r="I28" s="60">
        <f>COUNTIF(E57:F94,"Critical")</f>
        <v>0</v>
      </c>
    </row>
    <row r="29" spans="1:9" x14ac:dyDescent="0.35">
      <c r="A29" s="55">
        <v>1</v>
      </c>
      <c r="B29" s="55" t="s">
        <v>345</v>
      </c>
      <c r="C29" s="54" t="s">
        <v>346</v>
      </c>
      <c r="D29" s="55" t="s">
        <v>16</v>
      </c>
      <c r="E29" s="138" t="str">
        <f>REKOMENDASI!I178</f>
        <v>Normal</v>
      </c>
      <c r="F29" s="139"/>
      <c r="G29" s="57"/>
      <c r="H29" s="59" t="s">
        <v>299</v>
      </c>
      <c r="I29" s="60">
        <f>COUNTIF(E57:F94,"STD BY")</f>
        <v>11</v>
      </c>
    </row>
    <row r="30" spans="1:9" x14ac:dyDescent="0.35">
      <c r="A30" s="55">
        <v>1</v>
      </c>
      <c r="B30" s="55" t="s">
        <v>45</v>
      </c>
      <c r="C30" s="54" t="s">
        <v>46</v>
      </c>
      <c r="D30" s="55" t="s">
        <v>16</v>
      </c>
      <c r="E30" s="138" t="str">
        <f>REKOMENDASI!I183</f>
        <v>Normal</v>
      </c>
      <c r="F30" s="139"/>
      <c r="G30" s="57"/>
      <c r="H30" s="59" t="s">
        <v>365</v>
      </c>
      <c r="I30" s="60"/>
    </row>
    <row r="31" spans="1:9" x14ac:dyDescent="0.35">
      <c r="A31" s="55">
        <v>1</v>
      </c>
      <c r="B31" s="55" t="s">
        <v>259</v>
      </c>
      <c r="C31" s="54" t="s">
        <v>260</v>
      </c>
      <c r="D31" s="55" t="s">
        <v>16</v>
      </c>
      <c r="E31" s="138" t="str">
        <f>REKOMENDASI!I193</f>
        <v>Normal</v>
      </c>
      <c r="F31" s="139"/>
      <c r="G31" s="57"/>
      <c r="H31" s="59" t="s">
        <v>301</v>
      </c>
      <c r="I31" s="60">
        <f>COUNTIF(E95:F112,"Normal")</f>
        <v>16</v>
      </c>
    </row>
    <row r="32" spans="1:9" x14ac:dyDescent="0.35">
      <c r="A32" s="55">
        <v>1</v>
      </c>
      <c r="B32" s="55" t="s">
        <v>261</v>
      </c>
      <c r="C32" s="54" t="s">
        <v>262</v>
      </c>
      <c r="D32" s="55" t="s">
        <v>16</v>
      </c>
      <c r="E32" s="138" t="str">
        <f>REKOMENDASI!I204</f>
        <v>Normal</v>
      </c>
      <c r="F32" s="139"/>
      <c r="G32" s="57"/>
      <c r="H32" s="59" t="s">
        <v>302</v>
      </c>
      <c r="I32" s="60">
        <f>COUNTIF(E95:F112,"Low")</f>
        <v>0</v>
      </c>
    </row>
    <row r="33" spans="1:9" x14ac:dyDescent="0.35">
      <c r="A33" s="55">
        <v>2</v>
      </c>
      <c r="B33" s="55" t="s">
        <v>237</v>
      </c>
      <c r="C33" s="54" t="s">
        <v>221</v>
      </c>
      <c r="D33" s="55" t="s">
        <v>16</v>
      </c>
      <c r="E33" s="138" t="str">
        <f>REKOMENDASI!I215</f>
        <v>STD BY</v>
      </c>
      <c r="F33" s="139"/>
      <c r="G33" s="57"/>
      <c r="H33" s="59" t="s">
        <v>303</v>
      </c>
      <c r="I33" s="60">
        <f>COUNTIF(E95:F112,"Medium")</f>
        <v>1</v>
      </c>
    </row>
    <row r="34" spans="1:9" x14ac:dyDescent="0.35">
      <c r="A34" s="55">
        <v>2</v>
      </c>
      <c r="B34" s="55" t="s">
        <v>238</v>
      </c>
      <c r="C34" s="54" t="s">
        <v>229</v>
      </c>
      <c r="D34" s="55" t="s">
        <v>16</v>
      </c>
      <c r="E34" s="138" t="str">
        <f>REKOMENDASI!I222</f>
        <v>Normal</v>
      </c>
      <c r="F34" s="139"/>
      <c r="G34" s="57"/>
      <c r="H34" s="59" t="s">
        <v>304</v>
      </c>
      <c r="I34" s="60">
        <f>COUNTIF(E95:F112,"High")</f>
        <v>0</v>
      </c>
    </row>
    <row r="35" spans="1:9" x14ac:dyDescent="0.35">
      <c r="A35" s="55">
        <v>2</v>
      </c>
      <c r="B35" s="55" t="s">
        <v>239</v>
      </c>
      <c r="C35" s="54" t="s">
        <v>222</v>
      </c>
      <c r="D35" s="55" t="s">
        <v>16</v>
      </c>
      <c r="E35" s="138" t="str">
        <f>REKOMENDASI!I229</f>
        <v>STD BY</v>
      </c>
      <c r="F35" s="139"/>
      <c r="G35" s="57"/>
      <c r="H35" s="59" t="s">
        <v>305</v>
      </c>
      <c r="I35" s="60">
        <f>COUNTIF(E95:F112,"Critical")</f>
        <v>0</v>
      </c>
    </row>
    <row r="36" spans="1:9" x14ac:dyDescent="0.35">
      <c r="A36" s="55">
        <v>2</v>
      </c>
      <c r="B36" s="55" t="s">
        <v>240</v>
      </c>
      <c r="C36" s="54" t="s">
        <v>230</v>
      </c>
      <c r="D36" s="55" t="s">
        <v>16</v>
      </c>
      <c r="E36" s="138" t="str">
        <f>REKOMENDASI!I239</f>
        <v>Low</v>
      </c>
      <c r="F36" s="139"/>
      <c r="G36" s="57"/>
      <c r="H36" s="59" t="s">
        <v>299</v>
      </c>
      <c r="I36" s="60">
        <f>COUNTIF(E95:F112,"STD BY")</f>
        <v>1</v>
      </c>
    </row>
    <row r="37" spans="1:9" x14ac:dyDescent="0.35">
      <c r="A37" s="55">
        <v>2</v>
      </c>
      <c r="B37" s="55" t="s">
        <v>241</v>
      </c>
      <c r="C37" s="54" t="s">
        <v>223</v>
      </c>
      <c r="D37" s="55" t="s">
        <v>16</v>
      </c>
      <c r="E37" s="138" t="str">
        <f>REKOMENDASI!I249</f>
        <v>Normal</v>
      </c>
      <c r="F37" s="139"/>
      <c r="G37" s="57"/>
      <c r="H37" s="59"/>
      <c r="I37" s="60"/>
    </row>
    <row r="38" spans="1:9" x14ac:dyDescent="0.35">
      <c r="A38" s="55">
        <v>2</v>
      </c>
      <c r="B38" s="55" t="s">
        <v>242</v>
      </c>
      <c r="C38" s="54" t="s">
        <v>231</v>
      </c>
      <c r="D38" s="55" t="s">
        <v>16</v>
      </c>
      <c r="E38" s="138" t="str">
        <f>REKOMENDASI!I257</f>
        <v>Normal</v>
      </c>
      <c r="F38" s="139"/>
      <c r="G38" s="57"/>
      <c r="H38" s="59"/>
      <c r="I38" s="60"/>
    </row>
    <row r="39" spans="1:9" x14ac:dyDescent="0.35">
      <c r="A39" s="55">
        <v>2</v>
      </c>
      <c r="B39" s="55" t="s">
        <v>243</v>
      </c>
      <c r="C39" s="54" t="s">
        <v>224</v>
      </c>
      <c r="D39" s="55" t="s">
        <v>16</v>
      </c>
      <c r="E39" s="138" t="str">
        <f>REKOMENDASI!I265</f>
        <v>Low</v>
      </c>
      <c r="F39" s="139"/>
      <c r="G39" s="57"/>
    </row>
    <row r="40" spans="1:9" x14ac:dyDescent="0.35">
      <c r="A40" s="55">
        <v>2</v>
      </c>
      <c r="B40" s="55" t="s">
        <v>244</v>
      </c>
      <c r="C40" s="54" t="s">
        <v>232</v>
      </c>
      <c r="D40" s="55" t="s">
        <v>16</v>
      </c>
      <c r="E40" s="138" t="str">
        <f>REKOMENDASI!I273</f>
        <v>Low</v>
      </c>
      <c r="F40" s="139"/>
      <c r="G40" s="57"/>
    </row>
    <row r="41" spans="1:9" x14ac:dyDescent="0.35">
      <c r="A41" s="55">
        <v>2</v>
      </c>
      <c r="B41" s="55" t="s">
        <v>245</v>
      </c>
      <c r="C41" s="54" t="s">
        <v>225</v>
      </c>
      <c r="D41" s="55" t="s">
        <v>16</v>
      </c>
      <c r="E41" s="138" t="str">
        <f>REKOMENDASI!I281</f>
        <v>Low</v>
      </c>
      <c r="F41" s="139"/>
      <c r="G41" s="57"/>
    </row>
    <row r="42" spans="1:9" x14ac:dyDescent="0.35">
      <c r="A42" s="55">
        <v>2</v>
      </c>
      <c r="B42" s="55" t="s">
        <v>246</v>
      </c>
      <c r="C42" s="54" t="s">
        <v>233</v>
      </c>
      <c r="D42" s="55" t="s">
        <v>16</v>
      </c>
      <c r="E42" s="138" t="str">
        <f>REKOMENDASI!I289</f>
        <v>Normal</v>
      </c>
      <c r="F42" s="139"/>
      <c r="G42" s="57"/>
    </row>
    <row r="43" spans="1:9" x14ac:dyDescent="0.35">
      <c r="A43" s="55">
        <v>2</v>
      </c>
      <c r="B43" s="55" t="s">
        <v>247</v>
      </c>
      <c r="C43" s="54" t="s">
        <v>226</v>
      </c>
      <c r="D43" s="55" t="s">
        <v>16</v>
      </c>
      <c r="E43" s="138" t="str">
        <f>REKOMENDASI!I297</f>
        <v>STD BY</v>
      </c>
      <c r="F43" s="139"/>
      <c r="G43" s="57"/>
    </row>
    <row r="44" spans="1:9" x14ac:dyDescent="0.35">
      <c r="A44" s="55">
        <v>2</v>
      </c>
      <c r="B44" s="55" t="s">
        <v>248</v>
      </c>
      <c r="C44" s="54" t="s">
        <v>234</v>
      </c>
      <c r="D44" s="55" t="s">
        <v>16</v>
      </c>
      <c r="E44" s="138" t="str">
        <f>REKOMENDASI!I304</f>
        <v>Normal</v>
      </c>
      <c r="F44" s="139"/>
      <c r="G44" s="57"/>
    </row>
    <row r="45" spans="1:9" x14ac:dyDescent="0.35">
      <c r="A45" s="55">
        <v>2</v>
      </c>
      <c r="B45" s="55" t="s">
        <v>249</v>
      </c>
      <c r="C45" s="54" t="s">
        <v>227</v>
      </c>
      <c r="D45" s="55" t="s">
        <v>16</v>
      </c>
      <c r="E45" s="138" t="str">
        <f>REKOMENDASI!I311</f>
        <v>Normal</v>
      </c>
      <c r="F45" s="139"/>
      <c r="G45" s="57"/>
    </row>
    <row r="46" spans="1:9" x14ac:dyDescent="0.35">
      <c r="A46" s="55">
        <v>2</v>
      </c>
      <c r="B46" s="55" t="s">
        <v>250</v>
      </c>
      <c r="C46" s="54" t="s">
        <v>235</v>
      </c>
      <c r="D46" s="55" t="s">
        <v>16</v>
      </c>
      <c r="E46" s="138" t="str">
        <f>REKOMENDASI!I318</f>
        <v>Normal</v>
      </c>
      <c r="F46" s="139"/>
      <c r="G46" s="57"/>
    </row>
    <row r="47" spans="1:9" x14ac:dyDescent="0.35">
      <c r="A47" s="55">
        <v>2</v>
      </c>
      <c r="B47" s="55" t="s">
        <v>251</v>
      </c>
      <c r="C47" s="54" t="s">
        <v>228</v>
      </c>
      <c r="D47" s="55" t="s">
        <v>16</v>
      </c>
      <c r="E47" s="138" t="str">
        <f>REKOMENDASI!I325</f>
        <v>Normal</v>
      </c>
      <c r="F47" s="139"/>
      <c r="G47" s="57"/>
    </row>
    <row r="48" spans="1:9" x14ac:dyDescent="0.35">
      <c r="A48" s="55">
        <v>2</v>
      </c>
      <c r="B48" s="55" t="s">
        <v>252</v>
      </c>
      <c r="C48" s="54" t="s">
        <v>236</v>
      </c>
      <c r="D48" s="55" t="s">
        <v>16</v>
      </c>
      <c r="E48" s="138" t="str">
        <f>REKOMENDASI!I333</f>
        <v>Medium</v>
      </c>
      <c r="F48" s="139"/>
      <c r="G48" s="57"/>
    </row>
    <row r="49" spans="1:7" x14ac:dyDescent="0.35">
      <c r="A49" s="55">
        <v>2</v>
      </c>
      <c r="B49" s="55" t="s">
        <v>253</v>
      </c>
      <c r="C49" s="54" t="s">
        <v>258</v>
      </c>
      <c r="D49" s="55" t="s">
        <v>16</v>
      </c>
      <c r="E49" s="138" t="str">
        <f>REKOMENDASI!I341</f>
        <v>Normal</v>
      </c>
      <c r="F49" s="139"/>
      <c r="G49" s="57"/>
    </row>
    <row r="50" spans="1:7" x14ac:dyDescent="0.35">
      <c r="A50" s="55">
        <v>2</v>
      </c>
      <c r="B50" s="55" t="s">
        <v>254</v>
      </c>
      <c r="C50" s="54" t="s">
        <v>257</v>
      </c>
      <c r="D50" s="55" t="s">
        <v>16</v>
      </c>
      <c r="E50" s="138" t="str">
        <f>REKOMENDASI!I343</f>
        <v>Normal</v>
      </c>
      <c r="F50" s="139"/>
      <c r="G50" s="57"/>
    </row>
    <row r="51" spans="1:7" x14ac:dyDescent="0.35">
      <c r="A51" s="55">
        <v>2</v>
      </c>
      <c r="B51" s="55" t="s">
        <v>353</v>
      </c>
      <c r="C51" s="54" t="s">
        <v>354</v>
      </c>
      <c r="D51" s="55" t="s">
        <v>16</v>
      </c>
      <c r="E51" s="138" t="str">
        <f>REKOMENDASI!I346</f>
        <v>Normal</v>
      </c>
      <c r="F51" s="139"/>
      <c r="G51" s="57"/>
    </row>
    <row r="52" spans="1:7" x14ac:dyDescent="0.35">
      <c r="A52" s="55">
        <v>2</v>
      </c>
      <c r="B52" s="55" t="s">
        <v>352</v>
      </c>
      <c r="C52" s="54" t="s">
        <v>355</v>
      </c>
      <c r="D52" s="55" t="s">
        <v>16</v>
      </c>
      <c r="E52" s="138" t="str">
        <f>REKOMENDASI!I354</f>
        <v>Normal</v>
      </c>
      <c r="F52" s="139"/>
      <c r="G52" s="57"/>
    </row>
    <row r="53" spans="1:7" x14ac:dyDescent="0.35">
      <c r="A53" s="55">
        <v>2</v>
      </c>
      <c r="B53" s="55" t="s">
        <v>356</v>
      </c>
      <c r="C53" s="54" t="s">
        <v>337</v>
      </c>
      <c r="D53" s="55" t="s">
        <v>16</v>
      </c>
      <c r="E53" s="138" t="str">
        <f>REKOMENDASI!I362</f>
        <v>Normal</v>
      </c>
      <c r="F53" s="139"/>
      <c r="G53" s="57"/>
    </row>
    <row r="54" spans="1:7" x14ac:dyDescent="0.35">
      <c r="A54" s="55">
        <v>2</v>
      </c>
      <c r="B54" s="55" t="s">
        <v>339</v>
      </c>
      <c r="C54" s="54" t="s">
        <v>340</v>
      </c>
      <c r="D54" s="55" t="s">
        <v>16</v>
      </c>
      <c r="E54" s="138" t="str">
        <f>REKOMENDASI!I370</f>
        <v>STD BY</v>
      </c>
      <c r="F54" s="139"/>
      <c r="G54" s="57"/>
    </row>
    <row r="55" spans="1:7" x14ac:dyDescent="0.35">
      <c r="A55" s="55">
        <v>2</v>
      </c>
      <c r="B55" s="55" t="s">
        <v>341</v>
      </c>
      <c r="C55" s="54" t="s">
        <v>342</v>
      </c>
      <c r="D55" s="55" t="s">
        <v>16</v>
      </c>
      <c r="E55" s="138" t="str">
        <f>REKOMENDASI!I375</f>
        <v>STD BY</v>
      </c>
      <c r="F55" s="139"/>
      <c r="G55" s="57"/>
    </row>
    <row r="56" spans="1:7" x14ac:dyDescent="0.35">
      <c r="A56" s="55">
        <v>2</v>
      </c>
      <c r="B56" s="55" t="s">
        <v>255</v>
      </c>
      <c r="C56" s="54" t="s">
        <v>256</v>
      </c>
      <c r="D56" s="55" t="s">
        <v>16</v>
      </c>
      <c r="E56" s="138" t="str">
        <f>REKOMENDASI!I380</f>
        <v>Normal</v>
      </c>
      <c r="F56" s="139"/>
      <c r="G56" s="57"/>
    </row>
    <row r="57" spans="1:7" x14ac:dyDescent="0.35">
      <c r="A57" s="55">
        <v>3</v>
      </c>
      <c r="B57" s="55" t="s">
        <v>51</v>
      </c>
      <c r="C57" s="54" t="s">
        <v>197</v>
      </c>
      <c r="D57" s="55" t="s">
        <v>16</v>
      </c>
      <c r="E57" s="138" t="str">
        <f>REKOMENDASI!I390</f>
        <v>Low</v>
      </c>
      <c r="F57" s="139"/>
      <c r="G57" s="57"/>
    </row>
    <row r="58" spans="1:7" x14ac:dyDescent="0.35">
      <c r="A58" s="55">
        <v>3</v>
      </c>
      <c r="B58" s="55" t="s">
        <v>52</v>
      </c>
      <c r="C58" s="54" t="s">
        <v>198</v>
      </c>
      <c r="D58" s="55" t="s">
        <v>16</v>
      </c>
      <c r="E58" s="138" t="str">
        <f>REKOMENDASI!I399</f>
        <v>Normal</v>
      </c>
      <c r="F58" s="139"/>
      <c r="G58" s="57"/>
    </row>
    <row r="59" spans="1:7" x14ac:dyDescent="0.35">
      <c r="A59" s="55">
        <v>3</v>
      </c>
      <c r="B59" s="55" t="s">
        <v>53</v>
      </c>
      <c r="C59" s="54" t="s">
        <v>199</v>
      </c>
      <c r="D59" s="55" t="s">
        <v>16</v>
      </c>
      <c r="E59" s="138" t="str">
        <f>REKOMENDASI!I408</f>
        <v>Normal</v>
      </c>
      <c r="F59" s="139"/>
      <c r="G59" s="57"/>
    </row>
    <row r="60" spans="1:7" x14ac:dyDescent="0.35">
      <c r="A60" s="55">
        <v>3</v>
      </c>
      <c r="B60" s="55" t="s">
        <v>54</v>
      </c>
      <c r="C60" s="54" t="s">
        <v>200</v>
      </c>
      <c r="D60" s="55" t="s">
        <v>16</v>
      </c>
      <c r="E60" s="138" t="str">
        <f>REKOMENDASI!I417</f>
        <v>Normal</v>
      </c>
      <c r="F60" s="139"/>
      <c r="G60" s="57"/>
    </row>
    <row r="61" spans="1:7" x14ac:dyDescent="0.35">
      <c r="A61" s="55">
        <v>3</v>
      </c>
      <c r="B61" s="55" t="s">
        <v>55</v>
      </c>
      <c r="C61" s="54" t="s">
        <v>201</v>
      </c>
      <c r="D61" s="55" t="s">
        <v>16</v>
      </c>
      <c r="E61" s="138" t="str">
        <f>REKOMENDASI!I426</f>
        <v>STD BY</v>
      </c>
      <c r="F61" s="139"/>
      <c r="G61" s="57"/>
    </row>
    <row r="62" spans="1:7" x14ac:dyDescent="0.35">
      <c r="A62" s="55">
        <v>3</v>
      </c>
      <c r="B62" s="55" t="s">
        <v>56</v>
      </c>
      <c r="C62" s="54" t="s">
        <v>202</v>
      </c>
      <c r="D62" s="55" t="s">
        <v>16</v>
      </c>
      <c r="E62" s="138" t="str">
        <f>REKOMENDASI!I435</f>
        <v>Medium</v>
      </c>
      <c r="F62" s="139"/>
      <c r="G62" s="57"/>
    </row>
    <row r="63" spans="1:7" x14ac:dyDescent="0.35">
      <c r="A63" s="55">
        <v>3</v>
      </c>
      <c r="B63" s="55" t="s">
        <v>57</v>
      </c>
      <c r="C63" s="54" t="s">
        <v>203</v>
      </c>
      <c r="D63" s="55" t="s">
        <v>16</v>
      </c>
      <c r="E63" s="138" t="str">
        <f>REKOMENDASI!I445</f>
        <v>STD BY</v>
      </c>
      <c r="F63" s="139"/>
      <c r="G63" s="57"/>
    </row>
    <row r="64" spans="1:7" x14ac:dyDescent="0.35">
      <c r="A64" s="55">
        <v>3</v>
      </c>
      <c r="B64" s="55" t="s">
        <v>58</v>
      </c>
      <c r="C64" s="54" t="s">
        <v>204</v>
      </c>
      <c r="D64" s="55" t="s">
        <v>16</v>
      </c>
      <c r="E64" s="138" t="str">
        <f>REKOMENDASI!I455</f>
        <v>Normal</v>
      </c>
      <c r="F64" s="139"/>
      <c r="G64" s="57"/>
    </row>
    <row r="65" spans="1:7" x14ac:dyDescent="0.35">
      <c r="A65" s="55">
        <v>3</v>
      </c>
      <c r="B65" s="55" t="s">
        <v>59</v>
      </c>
      <c r="C65" s="54" t="s">
        <v>205</v>
      </c>
      <c r="D65" s="55" t="s">
        <v>16</v>
      </c>
      <c r="E65" s="138" t="str">
        <f>REKOMENDASI!I464</f>
        <v>Medium</v>
      </c>
      <c r="F65" s="139"/>
      <c r="G65" s="57"/>
    </row>
    <row r="66" spans="1:7" x14ac:dyDescent="0.35">
      <c r="A66" s="55">
        <v>3</v>
      </c>
      <c r="B66" s="55" t="s">
        <v>60</v>
      </c>
      <c r="C66" s="54" t="s">
        <v>206</v>
      </c>
      <c r="D66" s="55" t="s">
        <v>16</v>
      </c>
      <c r="E66" s="138" t="str">
        <f>REKOMENDASI!I473</f>
        <v>Normal</v>
      </c>
      <c r="F66" s="139"/>
      <c r="G66" s="57"/>
    </row>
    <row r="67" spans="1:7" x14ac:dyDescent="0.35">
      <c r="A67" s="55">
        <v>3</v>
      </c>
      <c r="B67" s="55" t="s">
        <v>61</v>
      </c>
      <c r="C67" s="54" t="s">
        <v>207</v>
      </c>
      <c r="D67" s="55" t="s">
        <v>16</v>
      </c>
      <c r="E67" s="138" t="str">
        <f>REKOMENDASI!I481</f>
        <v>Low</v>
      </c>
      <c r="F67" s="139"/>
      <c r="G67" s="57"/>
    </row>
    <row r="68" spans="1:7" x14ac:dyDescent="0.35">
      <c r="A68" s="55">
        <v>3</v>
      </c>
      <c r="B68" s="55" t="s">
        <v>62</v>
      </c>
      <c r="C68" s="54" t="s">
        <v>63</v>
      </c>
      <c r="D68" s="55" t="s">
        <v>16</v>
      </c>
      <c r="E68" s="138" t="str">
        <f>REKOMENDASI!I489</f>
        <v>Normal</v>
      </c>
      <c r="F68" s="139"/>
      <c r="G68" s="57"/>
    </row>
    <row r="69" spans="1:7" x14ac:dyDescent="0.35">
      <c r="A69" s="55">
        <v>3</v>
      </c>
      <c r="B69" s="55" t="s">
        <v>64</v>
      </c>
      <c r="C69" s="54" t="s">
        <v>65</v>
      </c>
      <c r="D69" s="55" t="s">
        <v>16</v>
      </c>
      <c r="E69" s="138" t="str">
        <f>REKOMENDASI!I497</f>
        <v>Normal</v>
      </c>
      <c r="F69" s="139"/>
      <c r="G69" s="57"/>
    </row>
    <row r="70" spans="1:7" x14ac:dyDescent="0.35">
      <c r="A70" s="55">
        <v>3</v>
      </c>
      <c r="B70" s="55" t="s">
        <v>66</v>
      </c>
      <c r="C70" s="54" t="s">
        <v>208</v>
      </c>
      <c r="D70" s="55" t="s">
        <v>16</v>
      </c>
      <c r="E70" s="138" t="str">
        <f>REKOMENDASI!I505</f>
        <v>STD BY</v>
      </c>
      <c r="F70" s="139"/>
      <c r="G70" s="57"/>
    </row>
    <row r="71" spans="1:7" x14ac:dyDescent="0.35">
      <c r="A71" s="55">
        <v>3</v>
      </c>
      <c r="B71" s="55" t="s">
        <v>69</v>
      </c>
      <c r="C71" s="54" t="s">
        <v>209</v>
      </c>
      <c r="D71" s="55" t="s">
        <v>16</v>
      </c>
      <c r="E71" s="138" t="str">
        <f>REKOMENDASI!I516</f>
        <v>Normal</v>
      </c>
      <c r="F71" s="139"/>
      <c r="G71" s="57"/>
    </row>
    <row r="72" spans="1:7" x14ac:dyDescent="0.35">
      <c r="A72" s="55">
        <v>3</v>
      </c>
      <c r="B72" s="55" t="s">
        <v>70</v>
      </c>
      <c r="C72" s="54" t="s">
        <v>210</v>
      </c>
      <c r="D72" s="55" t="s">
        <v>16</v>
      </c>
      <c r="E72" s="138" t="str">
        <f>REKOMENDASI!I527</f>
        <v>Low</v>
      </c>
      <c r="F72" s="139"/>
      <c r="G72" s="57"/>
    </row>
    <row r="73" spans="1:7" x14ac:dyDescent="0.35">
      <c r="A73" s="55">
        <v>3</v>
      </c>
      <c r="B73" s="55" t="s">
        <v>71</v>
      </c>
      <c r="C73" s="54" t="s">
        <v>211</v>
      </c>
      <c r="D73" s="55" t="s">
        <v>16</v>
      </c>
      <c r="E73" s="138" t="str">
        <f>REKOMENDASI!I535</f>
        <v>Low</v>
      </c>
      <c r="F73" s="139"/>
      <c r="G73" s="57"/>
    </row>
    <row r="74" spans="1:7" x14ac:dyDescent="0.35">
      <c r="A74" s="55">
        <v>3</v>
      </c>
      <c r="B74" s="55" t="s">
        <v>72</v>
      </c>
      <c r="C74" s="54" t="s">
        <v>212</v>
      </c>
      <c r="D74" s="55" t="s">
        <v>16</v>
      </c>
      <c r="E74" s="138" t="str">
        <f>REKOMENDASI!I543</f>
        <v>STD BY</v>
      </c>
      <c r="F74" s="139"/>
      <c r="G74" s="57"/>
    </row>
    <row r="75" spans="1:7" x14ac:dyDescent="0.35">
      <c r="A75" s="55">
        <v>3</v>
      </c>
      <c r="B75" s="55" t="s">
        <v>73</v>
      </c>
      <c r="C75" s="54" t="s">
        <v>213</v>
      </c>
      <c r="D75" s="55" t="s">
        <v>16</v>
      </c>
      <c r="E75" s="138" t="str">
        <f>REKOMENDASI!I550</f>
        <v>Normal</v>
      </c>
      <c r="F75" s="139"/>
      <c r="G75" s="57"/>
    </row>
    <row r="76" spans="1:7" x14ac:dyDescent="0.35">
      <c r="A76" s="55">
        <v>3</v>
      </c>
      <c r="B76" s="55" t="s">
        <v>149</v>
      </c>
      <c r="C76" s="54" t="s">
        <v>214</v>
      </c>
      <c r="D76" s="55" t="s">
        <v>16</v>
      </c>
      <c r="E76" s="138" t="str">
        <f>REKOMENDASI!I557</f>
        <v>Normal</v>
      </c>
      <c r="F76" s="139"/>
      <c r="G76" s="57"/>
    </row>
    <row r="77" spans="1:7" x14ac:dyDescent="0.35">
      <c r="A77" s="55">
        <v>3</v>
      </c>
      <c r="B77" s="55" t="s">
        <v>150</v>
      </c>
      <c r="C77" s="54" t="s">
        <v>215</v>
      </c>
      <c r="D77" s="55" t="s">
        <v>16</v>
      </c>
      <c r="E77" s="138" t="str">
        <f>REKOMENDASI!I560</f>
        <v>-</v>
      </c>
      <c r="F77" s="139"/>
      <c r="G77" s="57"/>
    </row>
    <row r="78" spans="1:7" x14ac:dyDescent="0.35">
      <c r="A78" s="55">
        <v>3</v>
      </c>
      <c r="B78" s="55" t="s">
        <v>127</v>
      </c>
      <c r="C78" s="54" t="s">
        <v>216</v>
      </c>
      <c r="D78" s="55" t="s">
        <v>16</v>
      </c>
      <c r="E78" s="138" t="str">
        <f>REKOMENDASI!I563</f>
        <v>Normal</v>
      </c>
      <c r="F78" s="139"/>
      <c r="G78" s="57"/>
    </row>
    <row r="79" spans="1:7" x14ac:dyDescent="0.35">
      <c r="A79" s="55">
        <v>3</v>
      </c>
      <c r="B79" s="55" t="s">
        <v>128</v>
      </c>
      <c r="C79" s="54" t="s">
        <v>217</v>
      </c>
      <c r="D79" s="55" t="s">
        <v>16</v>
      </c>
      <c r="E79" s="138" t="str">
        <f>REKOMENDASI!I566</f>
        <v>STD BY</v>
      </c>
      <c r="F79" s="139"/>
      <c r="G79" s="57"/>
    </row>
    <row r="80" spans="1:7" x14ac:dyDescent="0.35">
      <c r="A80" s="55">
        <v>3</v>
      </c>
      <c r="B80" s="55" t="s">
        <v>74</v>
      </c>
      <c r="C80" s="54" t="s">
        <v>75</v>
      </c>
      <c r="D80" s="55" t="s">
        <v>16</v>
      </c>
      <c r="E80" s="138" t="str">
        <f>REKOMENDASI!I569</f>
        <v>Medium</v>
      </c>
      <c r="F80" s="139"/>
      <c r="G80" s="57"/>
    </row>
    <row r="81" spans="1:7" x14ac:dyDescent="0.35">
      <c r="A81" s="55">
        <v>3</v>
      </c>
      <c r="B81" s="55" t="s">
        <v>129</v>
      </c>
      <c r="C81" s="54" t="s">
        <v>220</v>
      </c>
      <c r="D81" s="55" t="s">
        <v>16</v>
      </c>
      <c r="E81" s="138" t="str">
        <f>REKOMENDASI!I578</f>
        <v>Medium</v>
      </c>
      <c r="F81" s="139"/>
      <c r="G81" s="57"/>
    </row>
    <row r="82" spans="1:7" x14ac:dyDescent="0.35">
      <c r="A82" s="55">
        <v>3</v>
      </c>
      <c r="B82" s="55" t="s">
        <v>76</v>
      </c>
      <c r="C82" s="54" t="s">
        <v>77</v>
      </c>
      <c r="D82" s="55" t="s">
        <v>16</v>
      </c>
      <c r="E82" s="138" t="str">
        <f>REKOMENDASI!I582</f>
        <v>Normal</v>
      </c>
      <c r="F82" s="139"/>
      <c r="G82" s="57"/>
    </row>
    <row r="83" spans="1:7" x14ac:dyDescent="0.35">
      <c r="A83" s="55">
        <v>3</v>
      </c>
      <c r="B83" s="55" t="s">
        <v>78</v>
      </c>
      <c r="C83" s="54" t="s">
        <v>79</v>
      </c>
      <c r="D83" s="55" t="s">
        <v>16</v>
      </c>
      <c r="E83" s="138" t="str">
        <f>REKOMENDASI!I592</f>
        <v>Normal</v>
      </c>
      <c r="F83" s="139"/>
      <c r="G83" s="57"/>
    </row>
    <row r="84" spans="1:7" x14ac:dyDescent="0.35">
      <c r="A84" s="55">
        <v>3</v>
      </c>
      <c r="B84" s="55" t="s">
        <v>281</v>
      </c>
      <c r="C84" s="54" t="s">
        <v>263</v>
      </c>
      <c r="D84" s="55" t="s">
        <v>16</v>
      </c>
      <c r="E84" s="138" t="str">
        <f>REKOMENDASI!I603</f>
        <v>Normal</v>
      </c>
      <c r="F84" s="139"/>
      <c r="G84" s="57"/>
    </row>
    <row r="85" spans="1:7" x14ac:dyDescent="0.35">
      <c r="A85" s="55">
        <v>3</v>
      </c>
      <c r="B85" s="55" t="s">
        <v>282</v>
      </c>
      <c r="C85" s="54" t="s">
        <v>264</v>
      </c>
      <c r="D85" s="55" t="s">
        <v>16</v>
      </c>
      <c r="E85" s="138" t="str">
        <f>REKOMENDASI!I606</f>
        <v>STD BY</v>
      </c>
      <c r="F85" s="139"/>
      <c r="G85" s="57"/>
    </row>
    <row r="86" spans="1:7" x14ac:dyDescent="0.35">
      <c r="A86" s="55">
        <v>3</v>
      </c>
      <c r="B86" s="55" t="s">
        <v>286</v>
      </c>
      <c r="C86" s="54" t="s">
        <v>287</v>
      </c>
      <c r="D86" s="55" t="s">
        <v>16</v>
      </c>
      <c r="E86" s="138" t="str">
        <f>REKOMENDASI!I609</f>
        <v>Medium</v>
      </c>
      <c r="F86" s="139"/>
      <c r="G86" s="57"/>
    </row>
    <row r="87" spans="1:7" x14ac:dyDescent="0.35">
      <c r="A87" s="55">
        <v>3</v>
      </c>
      <c r="B87" s="55" t="s">
        <v>288</v>
      </c>
      <c r="C87" s="54" t="s">
        <v>289</v>
      </c>
      <c r="D87" s="55" t="s">
        <v>16</v>
      </c>
      <c r="E87" s="138" t="str">
        <f>REKOMENDASI!I614</f>
        <v>Normal</v>
      </c>
      <c r="F87" s="139"/>
      <c r="G87" s="57"/>
    </row>
    <row r="88" spans="1:7" x14ac:dyDescent="0.35">
      <c r="A88" s="55">
        <v>3</v>
      </c>
      <c r="B88" s="55" t="s">
        <v>283</v>
      </c>
      <c r="C88" s="54" t="s">
        <v>367</v>
      </c>
      <c r="D88" s="55" t="s">
        <v>16</v>
      </c>
      <c r="E88" s="138" t="str">
        <f>REKOMENDASI!I619</f>
        <v>Normal</v>
      </c>
      <c r="F88" s="139"/>
      <c r="G88" s="57"/>
    </row>
    <row r="89" spans="1:7" x14ac:dyDescent="0.35">
      <c r="A89" s="55">
        <v>3</v>
      </c>
      <c r="B89" s="55" t="s">
        <v>285</v>
      </c>
      <c r="C89" s="54" t="s">
        <v>368</v>
      </c>
      <c r="D89" s="55" t="s">
        <v>16</v>
      </c>
      <c r="E89" s="138" t="str">
        <f>REKOMENDASI!I627</f>
        <v>Normal</v>
      </c>
      <c r="F89" s="139"/>
      <c r="G89" s="57"/>
    </row>
    <row r="90" spans="1:7" x14ac:dyDescent="0.35">
      <c r="A90" s="55">
        <v>3</v>
      </c>
      <c r="B90" s="55" t="s">
        <v>284</v>
      </c>
      <c r="C90" s="54" t="s">
        <v>369</v>
      </c>
      <c r="D90" s="55" t="s">
        <v>16</v>
      </c>
      <c r="E90" s="138" t="str">
        <f>REKOMENDASI!I635</f>
        <v>STD BY</v>
      </c>
      <c r="F90" s="139"/>
      <c r="G90" s="57"/>
    </row>
    <row r="91" spans="1:7" x14ac:dyDescent="0.35">
      <c r="A91" s="55">
        <v>3</v>
      </c>
      <c r="B91" s="55" t="s">
        <v>357</v>
      </c>
      <c r="C91" s="54" t="s">
        <v>358</v>
      </c>
      <c r="D91" s="55" t="s">
        <v>16</v>
      </c>
      <c r="E91" s="138" t="str">
        <f>REKOMENDASI!I643</f>
        <v>STD BY</v>
      </c>
      <c r="F91" s="139"/>
      <c r="G91" s="57"/>
    </row>
    <row r="92" spans="1:7" x14ac:dyDescent="0.35">
      <c r="A92" s="55">
        <v>3</v>
      </c>
      <c r="B92" s="55" t="s">
        <v>359</v>
      </c>
      <c r="C92" s="54" t="s">
        <v>360</v>
      </c>
      <c r="D92" s="55" t="s">
        <v>16</v>
      </c>
      <c r="E92" s="138" t="str">
        <f>REKOMENDASI!I646</f>
        <v>STD BY</v>
      </c>
      <c r="F92" s="139"/>
      <c r="G92" s="57"/>
    </row>
    <row r="93" spans="1:7" x14ac:dyDescent="0.35">
      <c r="A93" s="55">
        <v>3</v>
      </c>
      <c r="B93" s="55" t="s">
        <v>363</v>
      </c>
      <c r="C93" s="54" t="s">
        <v>361</v>
      </c>
      <c r="D93" s="55" t="s">
        <v>16</v>
      </c>
      <c r="E93" s="138" t="str">
        <f>REKOMENDASI!I649</f>
        <v>STD BY</v>
      </c>
      <c r="F93" s="139"/>
      <c r="G93" s="57"/>
    </row>
    <row r="94" spans="1:7" x14ac:dyDescent="0.35">
      <c r="A94" s="55">
        <v>3</v>
      </c>
      <c r="B94" s="55" t="s">
        <v>364</v>
      </c>
      <c r="C94" s="54" t="s">
        <v>362</v>
      </c>
      <c r="D94" s="55" t="s">
        <v>16</v>
      </c>
      <c r="E94" s="138" t="str">
        <f>REKOMENDASI!I654</f>
        <v>STD BY</v>
      </c>
      <c r="F94" s="139"/>
      <c r="G94" s="57"/>
    </row>
    <row r="95" spans="1:7" x14ac:dyDescent="0.35">
      <c r="A95" s="55">
        <v>0</v>
      </c>
      <c r="B95" s="55" t="s">
        <v>84</v>
      </c>
      <c r="C95" s="54" t="s">
        <v>85</v>
      </c>
      <c r="D95" s="55" t="s">
        <v>16</v>
      </c>
      <c r="E95" s="138" t="str">
        <f>REKOMENDASI!I659</f>
        <v>Normal</v>
      </c>
      <c r="F95" s="139"/>
      <c r="G95" s="57"/>
    </row>
    <row r="96" spans="1:7" x14ac:dyDescent="0.35">
      <c r="A96" s="55">
        <v>0</v>
      </c>
      <c r="B96" s="55" t="s">
        <v>92</v>
      </c>
      <c r="C96" s="54" t="s">
        <v>93</v>
      </c>
      <c r="D96" s="55" t="s">
        <v>16</v>
      </c>
      <c r="E96" s="138" t="str">
        <f>REKOMENDASI!I669</f>
        <v>Normal</v>
      </c>
      <c r="F96" s="139"/>
      <c r="G96" s="57"/>
    </row>
    <row r="97" spans="1:7" x14ac:dyDescent="0.35">
      <c r="A97" s="55">
        <v>0</v>
      </c>
      <c r="B97" s="55" t="s">
        <v>94</v>
      </c>
      <c r="C97" s="54" t="s">
        <v>95</v>
      </c>
      <c r="D97" s="55" t="s">
        <v>16</v>
      </c>
      <c r="E97" s="138" t="str">
        <f>REKOMENDASI!I679</f>
        <v>Normal</v>
      </c>
      <c r="F97" s="139"/>
      <c r="G97" s="57"/>
    </row>
    <row r="98" spans="1:7" x14ac:dyDescent="0.35">
      <c r="A98" s="55">
        <v>0</v>
      </c>
      <c r="B98" s="55" t="s">
        <v>96</v>
      </c>
      <c r="C98" s="54" t="s">
        <v>97</v>
      </c>
      <c r="D98" s="55" t="s">
        <v>16</v>
      </c>
      <c r="E98" s="138" t="str">
        <f>REKOMENDASI!I689</f>
        <v>Normal</v>
      </c>
      <c r="F98" s="139"/>
      <c r="G98" s="57"/>
    </row>
    <row r="99" spans="1:7" x14ac:dyDescent="0.35">
      <c r="A99" s="55">
        <v>0</v>
      </c>
      <c r="B99" s="55" t="s">
        <v>98</v>
      </c>
      <c r="C99" s="54" t="s">
        <v>99</v>
      </c>
      <c r="D99" s="55" t="s">
        <v>16</v>
      </c>
      <c r="E99" s="138" t="str">
        <f>REKOMENDASI!I699</f>
        <v>Normal</v>
      </c>
      <c r="F99" s="139"/>
    </row>
    <row r="100" spans="1:7" x14ac:dyDescent="0.35">
      <c r="A100" s="55">
        <v>0</v>
      </c>
      <c r="B100" s="55" t="s">
        <v>100</v>
      </c>
      <c r="C100" s="54" t="s">
        <v>101</v>
      </c>
      <c r="D100" s="55" t="s">
        <v>16</v>
      </c>
      <c r="E100" s="138" t="str">
        <f>REKOMENDASI!I709</f>
        <v>Normal</v>
      </c>
      <c r="F100" s="139"/>
    </row>
    <row r="101" spans="1:7" x14ac:dyDescent="0.35">
      <c r="A101" s="55">
        <v>0</v>
      </c>
      <c r="B101" s="55" t="s">
        <v>102</v>
      </c>
      <c r="C101" s="54" t="s">
        <v>103</v>
      </c>
      <c r="D101" s="55" t="s">
        <v>16</v>
      </c>
      <c r="E101" s="138" t="str">
        <f>REKOMENDASI!I719</f>
        <v>Normal</v>
      </c>
      <c r="F101" s="139"/>
    </row>
    <row r="102" spans="1:7" x14ac:dyDescent="0.35">
      <c r="A102" s="55">
        <v>0</v>
      </c>
      <c r="B102" s="55" t="s">
        <v>104</v>
      </c>
      <c r="C102" s="54" t="s">
        <v>105</v>
      </c>
      <c r="D102" s="55" t="s">
        <v>16</v>
      </c>
      <c r="E102" s="138" t="str">
        <f>REKOMENDASI!I729</f>
        <v>Medium</v>
      </c>
      <c r="F102" s="139"/>
    </row>
    <row r="103" spans="1:7" x14ac:dyDescent="0.35">
      <c r="A103" s="55">
        <v>0</v>
      </c>
      <c r="B103" s="55" t="s">
        <v>106</v>
      </c>
      <c r="C103" s="54" t="s">
        <v>107</v>
      </c>
      <c r="D103" s="55" t="s">
        <v>16</v>
      </c>
      <c r="E103" s="138" t="str">
        <f>REKOMENDASI!I739</f>
        <v>Normal</v>
      </c>
      <c r="F103" s="139"/>
    </row>
    <row r="104" spans="1:7" x14ac:dyDescent="0.35">
      <c r="A104" s="55">
        <v>0</v>
      </c>
      <c r="B104" s="55" t="s">
        <v>108</v>
      </c>
      <c r="C104" s="54" t="s">
        <v>109</v>
      </c>
      <c r="D104" s="55" t="s">
        <v>16</v>
      </c>
      <c r="E104" s="138" t="str">
        <f>REKOMENDASI!I748</f>
        <v>Normal</v>
      </c>
      <c r="F104" s="139"/>
    </row>
    <row r="105" spans="1:7" x14ac:dyDescent="0.35">
      <c r="A105" s="55">
        <v>0</v>
      </c>
      <c r="B105" s="55" t="s">
        <v>110</v>
      </c>
      <c r="C105" s="54" t="s">
        <v>111</v>
      </c>
      <c r="D105" s="55" t="s">
        <v>16</v>
      </c>
      <c r="E105" s="138" t="str">
        <f>REKOMENDASI!I757</f>
        <v>Normal</v>
      </c>
      <c r="F105" s="139"/>
    </row>
    <row r="106" spans="1:7" x14ac:dyDescent="0.35">
      <c r="A106" s="55">
        <v>0</v>
      </c>
      <c r="B106" s="55" t="s">
        <v>114</v>
      </c>
      <c r="C106" s="54" t="s">
        <v>115</v>
      </c>
      <c r="D106" s="55" t="s">
        <v>16</v>
      </c>
      <c r="E106" s="138" t="str">
        <f>REKOMENDASI!I765</f>
        <v>Normal</v>
      </c>
      <c r="F106" s="139"/>
    </row>
    <row r="107" spans="1:7" x14ac:dyDescent="0.35">
      <c r="A107" s="55">
        <v>0</v>
      </c>
      <c r="B107" s="55" t="s">
        <v>116</v>
      </c>
      <c r="C107" s="54" t="s">
        <v>117</v>
      </c>
      <c r="D107" s="55" t="s">
        <v>16</v>
      </c>
      <c r="E107" s="138" t="str">
        <f>REKOMENDASI!I773</f>
        <v>Normal</v>
      </c>
      <c r="F107" s="139"/>
    </row>
    <row r="108" spans="1:7" x14ac:dyDescent="0.35">
      <c r="A108" s="55">
        <v>0</v>
      </c>
      <c r="B108" s="55" t="s">
        <v>119</v>
      </c>
      <c r="C108" s="54" t="s">
        <v>120</v>
      </c>
      <c r="D108" s="55" t="s">
        <v>16</v>
      </c>
      <c r="E108" s="138" t="str">
        <f>REKOMENDASI!I777</f>
        <v>Normal</v>
      </c>
      <c r="F108" s="139"/>
    </row>
    <row r="109" spans="1:7" x14ac:dyDescent="0.35">
      <c r="A109" s="55">
        <v>0</v>
      </c>
      <c r="B109" s="55" t="s">
        <v>182</v>
      </c>
      <c r="C109" s="54" t="s">
        <v>152</v>
      </c>
      <c r="D109" s="55" t="s">
        <v>16</v>
      </c>
      <c r="E109" s="138" t="str">
        <f>REKOMENDASI!I781</f>
        <v>Normal</v>
      </c>
      <c r="F109" s="139"/>
    </row>
    <row r="110" spans="1:7" x14ac:dyDescent="0.35">
      <c r="A110" s="55">
        <v>0</v>
      </c>
      <c r="B110" s="55" t="s">
        <v>183</v>
      </c>
      <c r="C110" s="54" t="s">
        <v>155</v>
      </c>
      <c r="D110" s="55" t="s">
        <v>16</v>
      </c>
      <c r="E110" s="138" t="str">
        <f>REKOMENDASI!I786</f>
        <v>Normal</v>
      </c>
      <c r="F110" s="139"/>
    </row>
    <row r="111" spans="1:7" x14ac:dyDescent="0.35">
      <c r="A111" s="55">
        <v>0</v>
      </c>
      <c r="B111" s="55" t="s">
        <v>184</v>
      </c>
      <c r="C111" s="54" t="s">
        <v>190</v>
      </c>
      <c r="D111" s="55" t="s">
        <v>16</v>
      </c>
      <c r="E111" s="138" t="str">
        <f>REKOMENDASI!I791</f>
        <v>STD BY</v>
      </c>
      <c r="F111" s="139"/>
    </row>
    <row r="112" spans="1:7" x14ac:dyDescent="0.35">
      <c r="A112" s="55">
        <v>0</v>
      </c>
      <c r="B112" s="55" t="s">
        <v>191</v>
      </c>
      <c r="C112" s="54" t="s">
        <v>189</v>
      </c>
      <c r="D112" s="55" t="s">
        <v>16</v>
      </c>
      <c r="E112" s="138" t="str">
        <f>REKOMENDASI!I802</f>
        <v>Normal</v>
      </c>
      <c r="F112" s="139"/>
    </row>
  </sheetData>
  <autoFilter ref="A2:J112" xr:uid="{00000000-0009-0000-0000-000001000000}">
    <filterColumn colId="4" showButton="0"/>
  </autoFilter>
  <mergeCells count="115">
    <mergeCell ref="E108:F108"/>
    <mergeCell ref="E109:F109"/>
    <mergeCell ref="E110:F110"/>
    <mergeCell ref="E111:F111"/>
    <mergeCell ref="E112:F112"/>
    <mergeCell ref="E99:F99"/>
    <mergeCell ref="E100:F100"/>
    <mergeCell ref="E101:F101"/>
    <mergeCell ref="E102:F102"/>
    <mergeCell ref="E103:F103"/>
    <mergeCell ref="E104:F104"/>
    <mergeCell ref="E105:F105"/>
    <mergeCell ref="E106:F106"/>
    <mergeCell ref="E107:F107"/>
    <mergeCell ref="A1:A2"/>
    <mergeCell ref="B1:B2"/>
    <mergeCell ref="C1:C2"/>
    <mergeCell ref="D1:D2"/>
    <mergeCell ref="E7:F7"/>
    <mergeCell ref="E8:F8"/>
    <mergeCell ref="E9:F9"/>
    <mergeCell ref="E10:F10"/>
    <mergeCell ref="E11:F11"/>
    <mergeCell ref="E29:F29"/>
    <mergeCell ref="E31:F31"/>
    <mergeCell ref="E32:F32"/>
    <mergeCell ref="E33:F33"/>
    <mergeCell ref="E34:F34"/>
    <mergeCell ref="E25:F25"/>
    <mergeCell ref="E28:F28"/>
    <mergeCell ref="E14:F14"/>
    <mergeCell ref="E15:F15"/>
    <mergeCell ref="E16:F16"/>
    <mergeCell ref="E13:F13"/>
    <mergeCell ref="E24:F24"/>
    <mergeCell ref="E1:F2"/>
    <mergeCell ref="E3:F3"/>
    <mergeCell ref="E4:F4"/>
    <mergeCell ref="E5:F5"/>
    <mergeCell ref="E18:F18"/>
    <mergeCell ref="E12:F12"/>
    <mergeCell ref="E6:F6"/>
    <mergeCell ref="E21:F21"/>
    <mergeCell ref="E22:F22"/>
    <mergeCell ref="E23:F23"/>
    <mergeCell ref="E47:F47"/>
    <mergeCell ref="E48:F48"/>
    <mergeCell ref="E49:F49"/>
    <mergeCell ref="E50:F50"/>
    <mergeCell ref="E51:F51"/>
    <mergeCell ref="E52:F52"/>
    <mergeCell ref="E17:F17"/>
    <mergeCell ref="E19:F19"/>
    <mergeCell ref="E20:F20"/>
    <mergeCell ref="E41:F41"/>
    <mergeCell ref="E42:F42"/>
    <mergeCell ref="E43:F43"/>
    <mergeCell ref="E44:F44"/>
    <mergeCell ref="E45:F45"/>
    <mergeCell ref="E46:F46"/>
    <mergeCell ref="E36:F36"/>
    <mergeCell ref="E37:F37"/>
    <mergeCell ref="E38:F38"/>
    <mergeCell ref="E39:F39"/>
    <mergeCell ref="E40:F40"/>
    <mergeCell ref="E26:F26"/>
    <mergeCell ref="E27:F27"/>
    <mergeCell ref="E35:F35"/>
    <mergeCell ref="E30:F30"/>
    <mergeCell ref="E59:F59"/>
    <mergeCell ref="E60:F60"/>
    <mergeCell ref="E61:F61"/>
    <mergeCell ref="E62:F62"/>
    <mergeCell ref="E63:F63"/>
    <mergeCell ref="E64:F64"/>
    <mergeCell ref="E53:F53"/>
    <mergeCell ref="E54:F54"/>
    <mergeCell ref="E55:F55"/>
    <mergeCell ref="E56:F56"/>
    <mergeCell ref="E57:F57"/>
    <mergeCell ref="E58:F58"/>
    <mergeCell ref="E65:F65"/>
    <mergeCell ref="E66:F66"/>
    <mergeCell ref="E67:F67"/>
    <mergeCell ref="E75:F75"/>
    <mergeCell ref="E76:F76"/>
    <mergeCell ref="E77:F77"/>
    <mergeCell ref="E78:F78"/>
    <mergeCell ref="E79:F79"/>
    <mergeCell ref="E80:F80"/>
    <mergeCell ref="E74:F74"/>
    <mergeCell ref="E68:F68"/>
    <mergeCell ref="E69:F69"/>
    <mergeCell ref="E70:F70"/>
    <mergeCell ref="E96:F96"/>
    <mergeCell ref="E97:F97"/>
    <mergeCell ref="E98:F98"/>
    <mergeCell ref="E71:F71"/>
    <mergeCell ref="E72:F72"/>
    <mergeCell ref="E73:F73"/>
    <mergeCell ref="E81:F81"/>
    <mergeCell ref="E82:F82"/>
    <mergeCell ref="E83:F83"/>
    <mergeCell ref="E90:F90"/>
    <mergeCell ref="E91:F91"/>
    <mergeCell ref="E92:F92"/>
    <mergeCell ref="E93:F93"/>
    <mergeCell ref="E94:F94"/>
    <mergeCell ref="E95:F95"/>
    <mergeCell ref="E84:F84"/>
    <mergeCell ref="E85:F85"/>
    <mergeCell ref="E86:F86"/>
    <mergeCell ref="E87:F87"/>
    <mergeCell ref="E88:F88"/>
    <mergeCell ref="E89:F89"/>
  </mergeCells>
  <conditionalFormatting sqref="G3:G98 E3:E112">
    <cfRule type="cellIs" dxfId="927" priority="1" operator="equal">
      <formula>"Repair Immediately"</formula>
    </cfRule>
    <cfRule type="cellIs" dxfId="926" priority="2" operator="equal">
      <formula>"Schedule Unplanned Outage"</formula>
    </cfRule>
    <cfRule type="cellIs" dxfId="925" priority="3" operator="equal">
      <formula>"Repair at Planned Outage"</formula>
    </cfRule>
    <cfRule type="cellIs" dxfId="924" priority="4" operator="equal">
      <formula>"Monitor"</formula>
    </cfRule>
    <cfRule type="cellIs" dxfId="923" priority="5" operator="equal">
      <formula>" Normal"</formula>
    </cfRule>
    <cfRule type="cellIs" dxfId="922" priority="6" operator="equal">
      <formula>"Critical"</formula>
    </cfRule>
    <cfRule type="cellIs" dxfId="921" priority="7" operator="equal">
      <formula>"High"</formula>
    </cfRule>
    <cfRule type="cellIs" dxfId="920" priority="8" operator="equal">
      <formula>"Medium"</formula>
    </cfRule>
    <cfRule type="cellIs" dxfId="919" priority="9" operator="equal">
      <formula>"Low"</formula>
    </cfRule>
    <cfRule type="cellIs" dxfId="918" priority="10" operator="equal">
      <formula>"Normal"</formula>
    </cfRule>
  </conditionalFormatting>
  <pageMargins left="0.70866141732283472" right="0.70866141732283472" top="0.74803149606299213" bottom="0.74803149606299213" header="0.31496062992125984" footer="0.31496062992125984"/>
  <pageSetup paperSize="9" scale="7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838"/>
  <sheetViews>
    <sheetView view="pageBreakPreview" zoomScaleNormal="100" zoomScaleSheetLayoutView="100" workbookViewId="0">
      <selection activeCell="L689" sqref="L689:M698"/>
    </sheetView>
  </sheetViews>
  <sheetFormatPr defaultRowHeight="14.5" x14ac:dyDescent="0.35"/>
  <cols>
    <col min="1" max="1" width="4.1796875" style="33" customWidth="1"/>
    <col min="2" max="2" width="17.1796875" customWidth="1"/>
    <col min="3" max="3" width="17.7265625" customWidth="1"/>
    <col min="4" max="4" width="20" customWidth="1"/>
    <col min="5" max="6" width="8" customWidth="1"/>
    <col min="7" max="7" width="7.26953125" customWidth="1"/>
    <col min="8" max="8" width="10.54296875" customWidth="1"/>
    <col min="9" max="9" width="11.54296875" customWidth="1"/>
    <col min="10" max="10" width="6.453125" customWidth="1"/>
    <col min="11" max="11" width="7.81640625" customWidth="1"/>
    <col min="12" max="12" width="10.453125" customWidth="1"/>
    <col min="13" max="13" width="8.26953125" style="1" customWidth="1"/>
    <col min="14" max="14" width="27.7265625" style="2" customWidth="1"/>
  </cols>
  <sheetData>
    <row r="1" spans="1:14" ht="13.5" customHeight="1" x14ac:dyDescent="0.35">
      <c r="A1" s="179" t="s">
        <v>374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1"/>
    </row>
    <row r="2" spans="1:14" ht="13.5" customHeight="1" thickBot="1" x14ac:dyDescent="0.4">
      <c r="A2" s="182"/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83"/>
    </row>
    <row r="3" spans="1:14" ht="15" customHeight="1" x14ac:dyDescent="0.35">
      <c r="A3" s="176" t="s">
        <v>0</v>
      </c>
      <c r="B3" s="169" t="s">
        <v>1</v>
      </c>
      <c r="C3" s="169" t="s">
        <v>2</v>
      </c>
      <c r="D3" s="169" t="s">
        <v>3</v>
      </c>
      <c r="E3" s="166" t="s">
        <v>4</v>
      </c>
      <c r="F3" s="166" t="s">
        <v>5</v>
      </c>
      <c r="G3" s="169" t="s">
        <v>6</v>
      </c>
      <c r="H3" s="169" t="s">
        <v>7</v>
      </c>
      <c r="I3" s="169" t="s">
        <v>8</v>
      </c>
      <c r="J3" s="169" t="s">
        <v>9</v>
      </c>
      <c r="K3" s="169" t="s">
        <v>10</v>
      </c>
      <c r="L3" s="172" t="s">
        <v>11</v>
      </c>
      <c r="M3" s="173"/>
      <c r="N3" s="184" t="s">
        <v>151</v>
      </c>
    </row>
    <row r="4" spans="1:14" x14ac:dyDescent="0.35">
      <c r="A4" s="177"/>
      <c r="B4" s="170"/>
      <c r="C4" s="170"/>
      <c r="D4" s="170"/>
      <c r="E4" s="167"/>
      <c r="F4" s="167"/>
      <c r="G4" s="170"/>
      <c r="H4" s="170"/>
      <c r="I4" s="170"/>
      <c r="J4" s="170"/>
      <c r="K4" s="170"/>
      <c r="L4" s="174"/>
      <c r="M4" s="175"/>
      <c r="N4" s="185"/>
    </row>
    <row r="5" spans="1:14" x14ac:dyDescent="0.35">
      <c r="A5" s="178"/>
      <c r="B5" s="171"/>
      <c r="C5" s="171"/>
      <c r="D5" s="171"/>
      <c r="E5" s="168"/>
      <c r="F5" s="168"/>
      <c r="G5" s="171"/>
      <c r="H5" s="171"/>
      <c r="I5" s="171"/>
      <c r="J5" s="171"/>
      <c r="K5" s="171"/>
      <c r="L5" s="32" t="s">
        <v>12</v>
      </c>
      <c r="M5" s="32" t="s">
        <v>13</v>
      </c>
      <c r="N5" s="185"/>
    </row>
    <row r="6" spans="1:14" ht="15" customHeight="1" x14ac:dyDescent="0.35">
      <c r="A6" s="26">
        <v>1</v>
      </c>
      <c r="B6" s="152" t="s">
        <v>14</v>
      </c>
      <c r="C6" s="152" t="s">
        <v>161</v>
      </c>
      <c r="D6" s="8" t="s">
        <v>15</v>
      </c>
      <c r="E6" s="7">
        <f t="shared" ref="E6:E103" si="0">(K6+11)</f>
        <v>71</v>
      </c>
      <c r="F6" s="7">
        <f t="shared" ref="F6:F103" si="1">(E6+10)</f>
        <v>81</v>
      </c>
      <c r="G6" s="9" t="s">
        <v>16</v>
      </c>
      <c r="H6" s="27" t="str">
        <f t="shared" ref="H6:H59" si="2">IF(J6="",("-"),(IF(J6="STD BY",("STD BY"),(IF(J6="N/A",("N/A"),(IF(J6&lt;5,("Normal"),(IF(J6&lt;11,("Low"),(IF(J6&lt;21,("Medium"),(IF(J6&lt;41,("High"),("Critical"))))))))))))))</f>
        <v>Normal</v>
      </c>
      <c r="I6" s="155" t="str">
        <f>IF(COUNTIF(H6:H12,"-")&gt;0,("-"),(IF(COUNTIF(H6:H12,"STD BY")&gt;0,("STD BY"),(IF(COUNTIF(H6:H12,"N/A")&gt;0,("N/A"),(IF(COUNTIF(H6:H12,"Critical")&gt;0,("Critical"),(IF(COUNTIF(H6:H12,"High")&gt;0,("High"),(IF(COUNTIF(H6:H12,"Medium")&gt;0,("Medium"),(IF(COUNTIF(H6:H12,"Low")&gt;0,("Low"),("Normal"))))))))))))))</f>
        <v>Low</v>
      </c>
      <c r="J6" s="7">
        <f t="shared" ref="J6:J12" si="3">IF(M6="",(""),(IF(M6="STD BY",("STD BY"),(IF(M6="N/A",("N/A"),(IF(M6-K6&gt;0,(M6-K6),(0))))))))</f>
        <v>0</v>
      </c>
      <c r="K6" s="14">
        <v>60</v>
      </c>
      <c r="L6" s="4">
        <v>46217</v>
      </c>
      <c r="M6" s="5">
        <v>56</v>
      </c>
      <c r="N6" s="147" t="s">
        <v>372</v>
      </c>
    </row>
    <row r="7" spans="1:14" x14ac:dyDescent="0.35">
      <c r="A7" s="19"/>
      <c r="B7" s="153"/>
      <c r="C7" s="153"/>
      <c r="D7" s="10" t="s">
        <v>17</v>
      </c>
      <c r="E7" s="7">
        <f t="shared" si="0"/>
        <v>61</v>
      </c>
      <c r="F7" s="7">
        <f t="shared" si="1"/>
        <v>71</v>
      </c>
      <c r="G7" s="9" t="s">
        <v>16</v>
      </c>
      <c r="H7" s="27" t="str">
        <f t="shared" si="2"/>
        <v>Normal</v>
      </c>
      <c r="I7" s="156"/>
      <c r="J7" s="7">
        <f t="shared" si="3"/>
        <v>0</v>
      </c>
      <c r="K7" s="14">
        <v>50</v>
      </c>
      <c r="L7" s="4">
        <v>46217</v>
      </c>
      <c r="M7" s="5">
        <v>44.7</v>
      </c>
      <c r="N7" s="188"/>
    </row>
    <row r="8" spans="1:14" x14ac:dyDescent="0.35">
      <c r="A8" s="19"/>
      <c r="B8" s="153"/>
      <c r="C8" s="153"/>
      <c r="D8" s="10" t="s">
        <v>18</v>
      </c>
      <c r="E8" s="7">
        <f t="shared" si="0"/>
        <v>61</v>
      </c>
      <c r="F8" s="7">
        <f t="shared" si="1"/>
        <v>71</v>
      </c>
      <c r="G8" s="9" t="s">
        <v>16</v>
      </c>
      <c r="H8" s="27" t="str">
        <f t="shared" si="2"/>
        <v>Normal</v>
      </c>
      <c r="I8" s="156"/>
      <c r="J8" s="7">
        <f t="shared" si="3"/>
        <v>0</v>
      </c>
      <c r="K8" s="14">
        <v>50</v>
      </c>
      <c r="L8" s="4">
        <v>46217</v>
      </c>
      <c r="M8" s="5">
        <v>46.1</v>
      </c>
      <c r="N8" s="188"/>
    </row>
    <row r="9" spans="1:14" x14ac:dyDescent="0.35">
      <c r="A9" s="19"/>
      <c r="B9" s="153"/>
      <c r="C9" s="153"/>
      <c r="D9" s="10" t="s">
        <v>19</v>
      </c>
      <c r="E9" s="7">
        <f t="shared" si="0"/>
        <v>61</v>
      </c>
      <c r="F9" s="7">
        <f t="shared" si="1"/>
        <v>71</v>
      </c>
      <c r="G9" s="9" t="s">
        <v>16</v>
      </c>
      <c r="H9" s="27" t="str">
        <f t="shared" si="2"/>
        <v>Low</v>
      </c>
      <c r="I9" s="156"/>
      <c r="J9" s="7">
        <f t="shared" si="3"/>
        <v>5.3999999999999986</v>
      </c>
      <c r="K9" s="14">
        <v>50</v>
      </c>
      <c r="L9" s="4">
        <v>46217</v>
      </c>
      <c r="M9" s="5">
        <v>55.4</v>
      </c>
      <c r="N9" s="188"/>
    </row>
    <row r="10" spans="1:14" x14ac:dyDescent="0.35">
      <c r="A10" s="19"/>
      <c r="B10" s="153"/>
      <c r="C10" s="153"/>
      <c r="D10" s="10" t="s">
        <v>33</v>
      </c>
      <c r="E10" s="7">
        <f t="shared" si="0"/>
        <v>41</v>
      </c>
      <c r="F10" s="7">
        <f t="shared" si="1"/>
        <v>51</v>
      </c>
      <c r="G10" s="9" t="s">
        <v>16</v>
      </c>
      <c r="H10" s="27" t="str">
        <f t="shared" si="2"/>
        <v>Normal</v>
      </c>
      <c r="I10" s="156"/>
      <c r="J10" s="7">
        <f t="shared" si="3"/>
        <v>2.5</v>
      </c>
      <c r="K10" s="14">
        <v>30</v>
      </c>
      <c r="L10" s="4">
        <v>46217</v>
      </c>
      <c r="M10" s="5">
        <v>32.5</v>
      </c>
      <c r="N10" s="188"/>
    </row>
    <row r="11" spans="1:14" x14ac:dyDescent="0.35">
      <c r="A11" s="19"/>
      <c r="B11" s="153"/>
      <c r="C11" s="153"/>
      <c r="D11" s="10" t="s">
        <v>34</v>
      </c>
      <c r="E11" s="7">
        <f t="shared" si="0"/>
        <v>41</v>
      </c>
      <c r="F11" s="7">
        <f t="shared" si="1"/>
        <v>51</v>
      </c>
      <c r="G11" s="9" t="s">
        <v>16</v>
      </c>
      <c r="H11" s="27" t="str">
        <f t="shared" si="2"/>
        <v>Normal</v>
      </c>
      <c r="I11" s="156"/>
      <c r="J11" s="7">
        <f t="shared" si="3"/>
        <v>2.2000000000000028</v>
      </c>
      <c r="K11" s="14">
        <v>30</v>
      </c>
      <c r="L11" s="4">
        <v>46217</v>
      </c>
      <c r="M11" s="5">
        <v>32.200000000000003</v>
      </c>
      <c r="N11" s="188"/>
    </row>
    <row r="12" spans="1:14" x14ac:dyDescent="0.35">
      <c r="A12" s="19"/>
      <c r="B12" s="154"/>
      <c r="C12" s="154"/>
      <c r="D12" s="10" t="s">
        <v>35</v>
      </c>
      <c r="E12" s="7">
        <f t="shared" si="0"/>
        <v>41</v>
      </c>
      <c r="F12" s="7">
        <f t="shared" si="1"/>
        <v>51</v>
      </c>
      <c r="G12" s="9" t="s">
        <v>16</v>
      </c>
      <c r="H12" s="27" t="str">
        <f t="shared" si="2"/>
        <v>Normal</v>
      </c>
      <c r="I12" s="157"/>
      <c r="J12" s="7">
        <f t="shared" si="3"/>
        <v>2.2000000000000028</v>
      </c>
      <c r="K12" s="14">
        <v>30</v>
      </c>
      <c r="L12" s="4">
        <v>46217</v>
      </c>
      <c r="M12" s="5">
        <v>32.200000000000003</v>
      </c>
      <c r="N12" s="189"/>
    </row>
    <row r="13" spans="1:14" ht="15" customHeight="1" x14ac:dyDescent="0.35">
      <c r="A13" s="18">
        <v>1</v>
      </c>
      <c r="B13" s="152" t="s">
        <v>20</v>
      </c>
      <c r="C13" s="152" t="s">
        <v>162</v>
      </c>
      <c r="D13" s="8" t="s">
        <v>15</v>
      </c>
      <c r="E13" s="7">
        <f t="shared" si="0"/>
        <v>71</v>
      </c>
      <c r="F13" s="7">
        <f t="shared" si="1"/>
        <v>81</v>
      </c>
      <c r="G13" s="9" t="s">
        <v>16</v>
      </c>
      <c r="H13" s="27" t="str">
        <f t="shared" si="2"/>
        <v>Normal</v>
      </c>
      <c r="I13" s="155" t="str">
        <f>IF(COUNTIF(H13:H19,"-")&gt;0,("-"),(IF(COUNTIF(H13:H19,"STD BY")&gt;0,("STD BY"),(IF(COUNTIF(H13:H19,"N/A")&gt;0,("N/A"),(IF(COUNTIF(H13:H19,"Critical")&gt;0,("Critical"),(IF(COUNTIF(H13:H19,"High")&gt;0,("High"),(IF(COUNTIF(H13:H19,"Medium")&gt;0,("Medium"),(IF(COUNTIF(H13:H19,"Low")&gt;0,("Low"),("Normal"))))))))))))))</f>
        <v>Normal</v>
      </c>
      <c r="J13" s="7">
        <f t="shared" ref="J13:J19" si="4">IF(M13="",(""),(IF(M13="STD BY",("STD BY"),(IF(M13="N/A",("N/A"),(IF(M13-K13&gt;0,(M13-K13),(0))))))))</f>
        <v>0</v>
      </c>
      <c r="K13" s="14">
        <v>60</v>
      </c>
      <c r="L13" s="4">
        <v>46226</v>
      </c>
      <c r="M13" s="5">
        <v>52.7</v>
      </c>
      <c r="N13" s="147" t="s">
        <v>372</v>
      </c>
    </row>
    <row r="14" spans="1:14" x14ac:dyDescent="0.35">
      <c r="A14" s="19"/>
      <c r="B14" s="153"/>
      <c r="C14" s="153"/>
      <c r="D14" s="10" t="s">
        <v>17</v>
      </c>
      <c r="E14" s="7">
        <f t="shared" si="0"/>
        <v>61</v>
      </c>
      <c r="F14" s="7">
        <f t="shared" si="1"/>
        <v>71</v>
      </c>
      <c r="G14" s="9" t="s">
        <v>16</v>
      </c>
      <c r="H14" s="27" t="str">
        <f t="shared" si="2"/>
        <v>Normal</v>
      </c>
      <c r="I14" s="156"/>
      <c r="J14" s="7">
        <f t="shared" si="4"/>
        <v>0</v>
      </c>
      <c r="K14" s="14">
        <v>50</v>
      </c>
      <c r="L14" s="4">
        <v>46226</v>
      </c>
      <c r="M14" s="5">
        <v>47.6</v>
      </c>
      <c r="N14" s="188"/>
    </row>
    <row r="15" spans="1:14" x14ac:dyDescent="0.35">
      <c r="A15" s="19"/>
      <c r="B15" s="153"/>
      <c r="C15" s="153"/>
      <c r="D15" s="10" t="s">
        <v>18</v>
      </c>
      <c r="E15" s="7">
        <f t="shared" si="0"/>
        <v>61</v>
      </c>
      <c r="F15" s="7">
        <f t="shared" si="1"/>
        <v>71</v>
      </c>
      <c r="G15" s="9" t="s">
        <v>16</v>
      </c>
      <c r="H15" s="27" t="str">
        <f t="shared" si="2"/>
        <v>Normal</v>
      </c>
      <c r="I15" s="156"/>
      <c r="J15" s="7">
        <f t="shared" si="4"/>
        <v>0</v>
      </c>
      <c r="K15" s="14">
        <v>50</v>
      </c>
      <c r="L15" s="4">
        <v>46226</v>
      </c>
      <c r="M15" s="5">
        <v>49.3</v>
      </c>
      <c r="N15" s="188"/>
    </row>
    <row r="16" spans="1:14" x14ac:dyDescent="0.35">
      <c r="A16" s="19"/>
      <c r="B16" s="153"/>
      <c r="C16" s="153"/>
      <c r="D16" s="10" t="s">
        <v>19</v>
      </c>
      <c r="E16" s="7">
        <f t="shared" si="0"/>
        <v>61</v>
      </c>
      <c r="F16" s="7">
        <f t="shared" si="1"/>
        <v>71</v>
      </c>
      <c r="G16" s="9" t="s">
        <v>16</v>
      </c>
      <c r="H16" s="27" t="str">
        <f t="shared" si="2"/>
        <v>Normal</v>
      </c>
      <c r="I16" s="156"/>
      <c r="J16" s="7">
        <f t="shared" si="4"/>
        <v>0</v>
      </c>
      <c r="K16" s="14">
        <v>50</v>
      </c>
      <c r="L16" s="4">
        <v>46226</v>
      </c>
      <c r="M16" s="5">
        <v>50</v>
      </c>
      <c r="N16" s="188"/>
    </row>
    <row r="17" spans="1:14" x14ac:dyDescent="0.35">
      <c r="A17" s="19"/>
      <c r="B17" s="153"/>
      <c r="C17" s="153"/>
      <c r="D17" s="10" t="s">
        <v>33</v>
      </c>
      <c r="E17" s="7">
        <f t="shared" si="0"/>
        <v>41</v>
      </c>
      <c r="F17" s="7">
        <f t="shared" si="1"/>
        <v>51</v>
      </c>
      <c r="G17" s="9" t="s">
        <v>16</v>
      </c>
      <c r="H17" s="27" t="str">
        <f t="shared" si="2"/>
        <v>Normal</v>
      </c>
      <c r="I17" s="156"/>
      <c r="J17" s="7">
        <f t="shared" si="4"/>
        <v>3.6000000000000014</v>
      </c>
      <c r="K17" s="14">
        <v>30</v>
      </c>
      <c r="L17" s="4">
        <v>46226</v>
      </c>
      <c r="M17" s="5">
        <v>33.6</v>
      </c>
      <c r="N17" s="188"/>
    </row>
    <row r="18" spans="1:14" x14ac:dyDescent="0.35">
      <c r="A18" s="19"/>
      <c r="B18" s="153"/>
      <c r="C18" s="153"/>
      <c r="D18" s="10" t="s">
        <v>34</v>
      </c>
      <c r="E18" s="7">
        <f t="shared" si="0"/>
        <v>41</v>
      </c>
      <c r="F18" s="7">
        <f t="shared" si="1"/>
        <v>51</v>
      </c>
      <c r="G18" s="9" t="s">
        <v>16</v>
      </c>
      <c r="H18" s="27" t="str">
        <f t="shared" si="2"/>
        <v>Normal</v>
      </c>
      <c r="I18" s="156"/>
      <c r="J18" s="7">
        <f t="shared" si="4"/>
        <v>3.5</v>
      </c>
      <c r="K18" s="14">
        <v>30</v>
      </c>
      <c r="L18" s="4">
        <v>46226</v>
      </c>
      <c r="M18" s="5">
        <v>33.5</v>
      </c>
      <c r="N18" s="188"/>
    </row>
    <row r="19" spans="1:14" x14ac:dyDescent="0.35">
      <c r="A19" s="19"/>
      <c r="B19" s="154"/>
      <c r="C19" s="154"/>
      <c r="D19" s="10" t="s">
        <v>35</v>
      </c>
      <c r="E19" s="7">
        <f t="shared" si="0"/>
        <v>41</v>
      </c>
      <c r="F19" s="7">
        <f t="shared" si="1"/>
        <v>51</v>
      </c>
      <c r="G19" s="9" t="s">
        <v>16</v>
      </c>
      <c r="H19" s="27" t="str">
        <f t="shared" si="2"/>
        <v>Normal</v>
      </c>
      <c r="I19" s="157"/>
      <c r="J19" s="7">
        <f t="shared" si="4"/>
        <v>3.2999999999999972</v>
      </c>
      <c r="K19" s="14">
        <v>30</v>
      </c>
      <c r="L19" s="4">
        <v>46226</v>
      </c>
      <c r="M19" s="5">
        <v>33.299999999999997</v>
      </c>
      <c r="N19" s="189"/>
    </row>
    <row r="20" spans="1:14" ht="15" customHeight="1" x14ac:dyDescent="0.35">
      <c r="A20" s="18">
        <v>1</v>
      </c>
      <c r="B20" s="152" t="s">
        <v>21</v>
      </c>
      <c r="C20" s="152" t="s">
        <v>163</v>
      </c>
      <c r="D20" s="8" t="s">
        <v>15</v>
      </c>
      <c r="E20" s="7">
        <f t="shared" si="0"/>
        <v>71</v>
      </c>
      <c r="F20" s="7">
        <f t="shared" si="1"/>
        <v>81</v>
      </c>
      <c r="G20" s="9" t="s">
        <v>16</v>
      </c>
      <c r="H20" s="27" t="str">
        <f t="shared" si="2"/>
        <v>STD BY</v>
      </c>
      <c r="I20" s="155" t="str">
        <f>IF(COUNTIF(H20:H29,"-")&gt;0,("-"),(IF(COUNTIF(H20:H29,"STD BY")&gt;0,("STD BY"),(IF(COUNTIF(H20:H29,"N/A")&gt;0,("N/A"),(IF(COUNTIF(H20:H29,"Critical")&gt;0,("Critical"),(IF(COUNTIF(H20:H29,"High")&gt;0,("High"),(IF(COUNTIF(H20:H29,"Medium")&gt;0,("Medium"),(IF(COUNTIF(H20:H29,"Low")&gt;0,("Low"),("Normal"))))))))))))))</f>
        <v>STD BY</v>
      </c>
      <c r="J20" s="7" t="str">
        <f t="shared" ref="J20:J55" si="5">IF(M20="",(""),(IF(M20="STD BY",("STD BY"),(IF(M20="N/A",("N/A"),(IF(M20-K20&gt;0,(M20-K20),(0))))))))</f>
        <v>STD BY</v>
      </c>
      <c r="K20" s="14">
        <v>60</v>
      </c>
      <c r="L20" s="4"/>
      <c r="M20" s="5" t="s">
        <v>376</v>
      </c>
      <c r="N20" s="203" t="s">
        <v>371</v>
      </c>
    </row>
    <row r="21" spans="1:14" x14ac:dyDescent="0.35">
      <c r="A21" s="19"/>
      <c r="B21" s="153"/>
      <c r="C21" s="153"/>
      <c r="D21" s="10" t="s">
        <v>17</v>
      </c>
      <c r="E21" s="7">
        <f t="shared" si="0"/>
        <v>66</v>
      </c>
      <c r="F21" s="7">
        <f t="shared" si="1"/>
        <v>76</v>
      </c>
      <c r="G21" s="9" t="s">
        <v>16</v>
      </c>
      <c r="H21" s="27" t="str">
        <f t="shared" si="2"/>
        <v>STD BY</v>
      </c>
      <c r="I21" s="156"/>
      <c r="J21" s="7" t="str">
        <f t="shared" si="5"/>
        <v>STD BY</v>
      </c>
      <c r="K21" s="14">
        <v>55</v>
      </c>
      <c r="L21" s="4"/>
      <c r="M21" s="5" t="s">
        <v>376</v>
      </c>
      <c r="N21" s="204"/>
    </row>
    <row r="22" spans="1:14" x14ac:dyDescent="0.35">
      <c r="A22" s="19"/>
      <c r="B22" s="153"/>
      <c r="C22" s="153"/>
      <c r="D22" s="10" t="s">
        <v>18</v>
      </c>
      <c r="E22" s="7">
        <f t="shared" si="0"/>
        <v>61</v>
      </c>
      <c r="F22" s="7">
        <f t="shared" si="1"/>
        <v>71</v>
      </c>
      <c r="G22" s="9" t="s">
        <v>16</v>
      </c>
      <c r="H22" s="27" t="str">
        <f t="shared" si="2"/>
        <v>STD BY</v>
      </c>
      <c r="I22" s="156"/>
      <c r="J22" s="7" t="str">
        <f t="shared" si="5"/>
        <v>STD BY</v>
      </c>
      <c r="K22" s="14">
        <v>50</v>
      </c>
      <c r="L22" s="4"/>
      <c r="M22" s="5" t="s">
        <v>376</v>
      </c>
      <c r="N22" s="204"/>
    </row>
    <row r="23" spans="1:14" x14ac:dyDescent="0.35">
      <c r="A23" s="19"/>
      <c r="B23" s="153"/>
      <c r="C23" s="153"/>
      <c r="D23" s="10" t="s">
        <v>157</v>
      </c>
      <c r="E23" s="7">
        <f t="shared" si="0"/>
        <v>61</v>
      </c>
      <c r="F23" s="7">
        <f t="shared" si="1"/>
        <v>71</v>
      </c>
      <c r="G23" s="9" t="s">
        <v>16</v>
      </c>
      <c r="H23" s="27" t="str">
        <f t="shared" si="2"/>
        <v>STD BY</v>
      </c>
      <c r="I23" s="156"/>
      <c r="J23" s="7" t="str">
        <f t="shared" si="5"/>
        <v>STD BY</v>
      </c>
      <c r="K23" s="14">
        <v>50</v>
      </c>
      <c r="L23" s="4"/>
      <c r="M23" s="5" t="s">
        <v>376</v>
      </c>
      <c r="N23" s="204"/>
    </row>
    <row r="24" spans="1:14" x14ac:dyDescent="0.35">
      <c r="A24" s="19"/>
      <c r="B24" s="153"/>
      <c r="C24" s="153"/>
      <c r="D24" s="10" t="s">
        <v>158</v>
      </c>
      <c r="E24" s="7">
        <f t="shared" si="0"/>
        <v>61</v>
      </c>
      <c r="F24" s="7">
        <f t="shared" si="1"/>
        <v>71</v>
      </c>
      <c r="G24" s="9" t="s">
        <v>16</v>
      </c>
      <c r="H24" s="27" t="str">
        <f t="shared" si="2"/>
        <v>STD BY</v>
      </c>
      <c r="I24" s="156"/>
      <c r="J24" s="7" t="str">
        <f t="shared" si="5"/>
        <v>STD BY</v>
      </c>
      <c r="K24" s="14">
        <v>50</v>
      </c>
      <c r="L24" s="4"/>
      <c r="M24" s="5" t="s">
        <v>376</v>
      </c>
      <c r="N24" s="204"/>
    </row>
    <row r="25" spans="1:14" x14ac:dyDescent="0.35">
      <c r="A25" s="19"/>
      <c r="B25" s="153"/>
      <c r="C25" s="153"/>
      <c r="D25" s="10" t="s">
        <v>159</v>
      </c>
      <c r="E25" s="7">
        <f t="shared" si="0"/>
        <v>61</v>
      </c>
      <c r="F25" s="7">
        <f t="shared" si="1"/>
        <v>71</v>
      </c>
      <c r="G25" s="9" t="s">
        <v>16</v>
      </c>
      <c r="H25" s="27" t="str">
        <f t="shared" si="2"/>
        <v>STD BY</v>
      </c>
      <c r="I25" s="156"/>
      <c r="J25" s="7" t="str">
        <f t="shared" si="5"/>
        <v>STD BY</v>
      </c>
      <c r="K25" s="14">
        <v>50</v>
      </c>
      <c r="L25" s="4"/>
      <c r="M25" s="5" t="s">
        <v>376</v>
      </c>
      <c r="N25" s="204"/>
    </row>
    <row r="26" spans="1:14" x14ac:dyDescent="0.35">
      <c r="A26" s="19"/>
      <c r="B26" s="153"/>
      <c r="C26" s="153"/>
      <c r="D26" s="10" t="s">
        <v>160</v>
      </c>
      <c r="E26" s="7">
        <f t="shared" si="0"/>
        <v>61</v>
      </c>
      <c r="F26" s="7">
        <f t="shared" si="1"/>
        <v>71</v>
      </c>
      <c r="G26" s="9" t="s">
        <v>16</v>
      </c>
      <c r="H26" s="27" t="str">
        <f t="shared" si="2"/>
        <v>STD BY</v>
      </c>
      <c r="I26" s="156"/>
      <c r="J26" s="7" t="str">
        <f t="shared" si="5"/>
        <v>STD BY</v>
      </c>
      <c r="K26" s="14">
        <v>50</v>
      </c>
      <c r="L26" s="4"/>
      <c r="M26" s="5" t="s">
        <v>376</v>
      </c>
      <c r="N26" s="204"/>
    </row>
    <row r="27" spans="1:14" x14ac:dyDescent="0.35">
      <c r="A27" s="19"/>
      <c r="B27" s="153"/>
      <c r="C27" s="153"/>
      <c r="D27" s="10" t="s">
        <v>33</v>
      </c>
      <c r="E27" s="7">
        <f t="shared" si="0"/>
        <v>41</v>
      </c>
      <c r="F27" s="7">
        <f t="shared" si="1"/>
        <v>51</v>
      </c>
      <c r="G27" s="9" t="s">
        <v>16</v>
      </c>
      <c r="H27" s="27" t="str">
        <f t="shared" si="2"/>
        <v>STD BY</v>
      </c>
      <c r="I27" s="156"/>
      <c r="J27" s="7" t="str">
        <f t="shared" si="5"/>
        <v>STD BY</v>
      </c>
      <c r="K27" s="14">
        <v>30</v>
      </c>
      <c r="L27" s="4"/>
      <c r="M27" s="5" t="s">
        <v>376</v>
      </c>
      <c r="N27" s="204"/>
    </row>
    <row r="28" spans="1:14" x14ac:dyDescent="0.35">
      <c r="A28" s="19"/>
      <c r="B28" s="153"/>
      <c r="C28" s="153"/>
      <c r="D28" s="10" t="s">
        <v>34</v>
      </c>
      <c r="E28" s="7">
        <f t="shared" si="0"/>
        <v>41</v>
      </c>
      <c r="F28" s="7">
        <f t="shared" si="1"/>
        <v>51</v>
      </c>
      <c r="G28" s="9" t="s">
        <v>16</v>
      </c>
      <c r="H28" s="27" t="str">
        <f t="shared" si="2"/>
        <v>STD BY</v>
      </c>
      <c r="I28" s="156"/>
      <c r="J28" s="7" t="str">
        <f t="shared" si="5"/>
        <v>STD BY</v>
      </c>
      <c r="K28" s="14">
        <v>30</v>
      </c>
      <c r="L28" s="4"/>
      <c r="M28" s="5" t="s">
        <v>376</v>
      </c>
      <c r="N28" s="204"/>
    </row>
    <row r="29" spans="1:14" x14ac:dyDescent="0.35">
      <c r="A29" s="19"/>
      <c r="B29" s="154"/>
      <c r="C29" s="154"/>
      <c r="D29" s="10" t="s">
        <v>35</v>
      </c>
      <c r="E29" s="7">
        <f t="shared" si="0"/>
        <v>41</v>
      </c>
      <c r="F29" s="7">
        <f t="shared" si="1"/>
        <v>51</v>
      </c>
      <c r="G29" s="9" t="s">
        <v>16</v>
      </c>
      <c r="H29" s="27" t="str">
        <f t="shared" si="2"/>
        <v>STD BY</v>
      </c>
      <c r="I29" s="157"/>
      <c r="J29" s="7" t="str">
        <f t="shared" si="5"/>
        <v>STD BY</v>
      </c>
      <c r="K29" s="14">
        <v>30</v>
      </c>
      <c r="L29" s="4"/>
      <c r="M29" s="5" t="s">
        <v>376</v>
      </c>
      <c r="N29" s="204"/>
    </row>
    <row r="30" spans="1:14" ht="15" customHeight="1" x14ac:dyDescent="0.35">
      <c r="A30" s="18">
        <v>1</v>
      </c>
      <c r="B30" s="152" t="s">
        <v>23</v>
      </c>
      <c r="C30" s="152" t="s">
        <v>164</v>
      </c>
      <c r="D30" s="8" t="s">
        <v>15</v>
      </c>
      <c r="E30" s="7">
        <f t="shared" si="0"/>
        <v>71</v>
      </c>
      <c r="F30" s="7">
        <f t="shared" si="1"/>
        <v>81</v>
      </c>
      <c r="G30" s="9" t="s">
        <v>16</v>
      </c>
      <c r="H30" s="27" t="str">
        <f t="shared" si="2"/>
        <v>Low</v>
      </c>
      <c r="I30" s="155" t="str">
        <f>IF(COUNTIF(H30:H39,"-")&gt;0,("-"),(IF(COUNTIF(H30:H39,"STD BY")&gt;0,("STD BY"),(IF(COUNTIF(H30:H39,"N/A")&gt;0,("N/A"),(IF(COUNTIF(H30:H39,"Critical")&gt;0,("Critical"),(IF(COUNTIF(H30:H39,"High")&gt;0,("High"),(IF(COUNTIF(H30:H39,"Medium")&gt;0,("Medium"),(IF(COUNTIF(H30:H39,"Low")&gt;0,("Low"),("Normal"))))))))))))))</f>
        <v>Medium</v>
      </c>
      <c r="J30" s="7">
        <f t="shared" ref="J30:J39" si="6">IF(M30="",(""),(IF(M30="STD BY",("STD BY"),(IF(M30="N/A",("N/A"),(IF(M30-K30&gt;0,(M30-K30),(0))))))))</f>
        <v>8.7000000000000028</v>
      </c>
      <c r="K30" s="14">
        <v>60</v>
      </c>
      <c r="L30" s="4">
        <v>46223</v>
      </c>
      <c r="M30" s="3">
        <v>68.7</v>
      </c>
      <c r="N30" s="203" t="s">
        <v>372</v>
      </c>
    </row>
    <row r="31" spans="1:14" x14ac:dyDescent="0.35">
      <c r="A31" s="19"/>
      <c r="B31" s="153"/>
      <c r="C31" s="153"/>
      <c r="D31" s="10" t="s">
        <v>17</v>
      </c>
      <c r="E31" s="7">
        <f t="shared" si="0"/>
        <v>66</v>
      </c>
      <c r="F31" s="7">
        <f t="shared" si="1"/>
        <v>76</v>
      </c>
      <c r="G31" s="9" t="s">
        <v>16</v>
      </c>
      <c r="H31" s="27" t="str">
        <f t="shared" si="2"/>
        <v>Normal</v>
      </c>
      <c r="I31" s="156"/>
      <c r="J31" s="7">
        <f t="shared" si="6"/>
        <v>3.5</v>
      </c>
      <c r="K31" s="14">
        <v>55</v>
      </c>
      <c r="L31" s="4">
        <v>46223</v>
      </c>
      <c r="M31" s="3">
        <v>58.5</v>
      </c>
      <c r="N31" s="204"/>
    </row>
    <row r="32" spans="1:14" x14ac:dyDescent="0.35">
      <c r="A32" s="19"/>
      <c r="B32" s="153"/>
      <c r="C32" s="153"/>
      <c r="D32" s="10" t="s">
        <v>18</v>
      </c>
      <c r="E32" s="7">
        <f t="shared" si="0"/>
        <v>61</v>
      </c>
      <c r="F32" s="7">
        <f t="shared" si="1"/>
        <v>71</v>
      </c>
      <c r="G32" s="9" t="s">
        <v>16</v>
      </c>
      <c r="H32" s="27" t="str">
        <f t="shared" si="2"/>
        <v>Normal</v>
      </c>
      <c r="I32" s="156"/>
      <c r="J32" s="7">
        <f t="shared" si="6"/>
        <v>0.29999999999999716</v>
      </c>
      <c r="K32" s="14">
        <v>50</v>
      </c>
      <c r="L32" s="4">
        <v>46223</v>
      </c>
      <c r="M32" s="3">
        <v>50.3</v>
      </c>
      <c r="N32" s="204"/>
    </row>
    <row r="33" spans="1:14" x14ac:dyDescent="0.35">
      <c r="A33" s="19"/>
      <c r="B33" s="153"/>
      <c r="C33" s="153"/>
      <c r="D33" s="10" t="s">
        <v>157</v>
      </c>
      <c r="E33" s="7">
        <f t="shared" si="0"/>
        <v>61</v>
      </c>
      <c r="F33" s="7">
        <f t="shared" si="1"/>
        <v>71</v>
      </c>
      <c r="G33" s="9" t="s">
        <v>16</v>
      </c>
      <c r="H33" s="27" t="str">
        <f t="shared" si="2"/>
        <v>Normal</v>
      </c>
      <c r="I33" s="156"/>
      <c r="J33" s="7">
        <f t="shared" si="6"/>
        <v>1.1000000000000014</v>
      </c>
      <c r="K33" s="14">
        <v>50</v>
      </c>
      <c r="L33" s="4">
        <v>46223</v>
      </c>
      <c r="M33" s="3">
        <v>51.1</v>
      </c>
      <c r="N33" s="204"/>
    </row>
    <row r="34" spans="1:14" x14ac:dyDescent="0.35">
      <c r="A34" s="19"/>
      <c r="B34" s="153"/>
      <c r="C34" s="153"/>
      <c r="D34" s="10" t="s">
        <v>158</v>
      </c>
      <c r="E34" s="7">
        <f t="shared" si="0"/>
        <v>61</v>
      </c>
      <c r="F34" s="7">
        <f t="shared" si="1"/>
        <v>71</v>
      </c>
      <c r="G34" s="9" t="s">
        <v>16</v>
      </c>
      <c r="H34" s="27" t="str">
        <f t="shared" si="2"/>
        <v>Normal</v>
      </c>
      <c r="I34" s="156"/>
      <c r="J34" s="7">
        <f t="shared" si="6"/>
        <v>0.10000000000000142</v>
      </c>
      <c r="K34" s="14">
        <v>50</v>
      </c>
      <c r="L34" s="4">
        <v>46223</v>
      </c>
      <c r="M34" s="3">
        <v>50.1</v>
      </c>
      <c r="N34" s="204"/>
    </row>
    <row r="35" spans="1:14" x14ac:dyDescent="0.35">
      <c r="A35" s="19"/>
      <c r="B35" s="153"/>
      <c r="C35" s="153"/>
      <c r="D35" s="10" t="s">
        <v>159</v>
      </c>
      <c r="E35" s="7">
        <f t="shared" si="0"/>
        <v>61</v>
      </c>
      <c r="F35" s="7">
        <f t="shared" si="1"/>
        <v>71</v>
      </c>
      <c r="G35" s="9" t="s">
        <v>16</v>
      </c>
      <c r="H35" s="27" t="str">
        <f t="shared" si="2"/>
        <v>Normal</v>
      </c>
      <c r="I35" s="156"/>
      <c r="J35" s="7">
        <f t="shared" si="6"/>
        <v>0.60000000000000142</v>
      </c>
      <c r="K35" s="14">
        <v>50</v>
      </c>
      <c r="L35" s="4">
        <v>46223</v>
      </c>
      <c r="M35" s="3">
        <v>50.6</v>
      </c>
      <c r="N35" s="204"/>
    </row>
    <row r="36" spans="1:14" x14ac:dyDescent="0.35">
      <c r="A36" s="19"/>
      <c r="B36" s="153"/>
      <c r="C36" s="153"/>
      <c r="D36" s="10" t="s">
        <v>160</v>
      </c>
      <c r="E36" s="7">
        <f t="shared" si="0"/>
        <v>61</v>
      </c>
      <c r="F36" s="7">
        <f t="shared" si="1"/>
        <v>71</v>
      </c>
      <c r="G36" s="9" t="s">
        <v>16</v>
      </c>
      <c r="H36" s="27" t="str">
        <f t="shared" si="2"/>
        <v>Medium</v>
      </c>
      <c r="I36" s="156"/>
      <c r="J36" s="7">
        <f t="shared" si="6"/>
        <v>17.099999999999994</v>
      </c>
      <c r="K36" s="14">
        <v>50</v>
      </c>
      <c r="L36" s="4">
        <v>46223</v>
      </c>
      <c r="M36" s="3">
        <v>67.099999999999994</v>
      </c>
      <c r="N36" s="204"/>
    </row>
    <row r="37" spans="1:14" x14ac:dyDescent="0.35">
      <c r="A37" s="19"/>
      <c r="B37" s="153"/>
      <c r="C37" s="153"/>
      <c r="D37" s="10" t="s">
        <v>33</v>
      </c>
      <c r="E37" s="7">
        <f t="shared" si="0"/>
        <v>41</v>
      </c>
      <c r="F37" s="7">
        <f t="shared" si="1"/>
        <v>51</v>
      </c>
      <c r="G37" s="9" t="s">
        <v>16</v>
      </c>
      <c r="H37" s="27" t="str">
        <f t="shared" si="2"/>
        <v>Normal</v>
      </c>
      <c r="I37" s="156"/>
      <c r="J37" s="7">
        <f t="shared" si="6"/>
        <v>0.89999999999999858</v>
      </c>
      <c r="K37" s="14">
        <v>30</v>
      </c>
      <c r="L37" s="4">
        <v>46223</v>
      </c>
      <c r="M37" s="3">
        <v>30.9</v>
      </c>
      <c r="N37" s="204"/>
    </row>
    <row r="38" spans="1:14" x14ac:dyDescent="0.35">
      <c r="A38" s="19"/>
      <c r="B38" s="153"/>
      <c r="C38" s="153"/>
      <c r="D38" s="10" t="s">
        <v>34</v>
      </c>
      <c r="E38" s="7">
        <f t="shared" si="0"/>
        <v>41</v>
      </c>
      <c r="F38" s="7">
        <f t="shared" si="1"/>
        <v>51</v>
      </c>
      <c r="G38" s="9" t="s">
        <v>16</v>
      </c>
      <c r="H38" s="27" t="str">
        <f t="shared" si="2"/>
        <v>Normal</v>
      </c>
      <c r="I38" s="156"/>
      <c r="J38" s="7">
        <f t="shared" si="6"/>
        <v>0.89999999999999858</v>
      </c>
      <c r="K38" s="14">
        <v>30</v>
      </c>
      <c r="L38" s="4">
        <v>46223</v>
      </c>
      <c r="M38" s="3">
        <v>30.9</v>
      </c>
      <c r="N38" s="204"/>
    </row>
    <row r="39" spans="1:14" x14ac:dyDescent="0.35">
      <c r="A39" s="19"/>
      <c r="B39" s="154"/>
      <c r="C39" s="154"/>
      <c r="D39" s="10" t="s">
        <v>35</v>
      </c>
      <c r="E39" s="7">
        <f t="shared" si="0"/>
        <v>41</v>
      </c>
      <c r="F39" s="7">
        <f t="shared" si="1"/>
        <v>51</v>
      </c>
      <c r="G39" s="9" t="s">
        <v>16</v>
      </c>
      <c r="H39" s="27" t="str">
        <f t="shared" si="2"/>
        <v>Normal</v>
      </c>
      <c r="I39" s="157"/>
      <c r="J39" s="7">
        <f t="shared" si="6"/>
        <v>0.89999999999999858</v>
      </c>
      <c r="K39" s="14">
        <v>30</v>
      </c>
      <c r="L39" s="4">
        <v>46223</v>
      </c>
      <c r="M39" s="3">
        <v>30.9</v>
      </c>
      <c r="N39" s="204"/>
    </row>
    <row r="40" spans="1:14" ht="15" customHeight="1" x14ac:dyDescent="0.35">
      <c r="A40" s="18">
        <v>1</v>
      </c>
      <c r="B40" s="152" t="s">
        <v>24</v>
      </c>
      <c r="C40" s="152" t="s">
        <v>165</v>
      </c>
      <c r="D40" s="8" t="s">
        <v>15</v>
      </c>
      <c r="E40" s="7">
        <f t="shared" si="0"/>
        <v>71</v>
      </c>
      <c r="F40" s="7">
        <f t="shared" si="1"/>
        <v>81</v>
      </c>
      <c r="G40" s="9" t="s">
        <v>16</v>
      </c>
      <c r="H40" s="27" t="str">
        <f t="shared" si="2"/>
        <v>Normal</v>
      </c>
      <c r="I40" s="155" t="str">
        <f>IF(COUNTIF(H40:H47,"-")&gt;0,("-"),(IF(COUNTIF(H40:H47,"STD BY")&gt;0,("STD BY"),(IF(COUNTIF(H40:H47,"N/A")&gt;0,("N/A"),(IF(COUNTIF(H40:H47,"Critical")&gt;0,("Critical"),(IF(COUNTIF(H40:H47,"High")&gt;0,("High"),(IF(COUNTIF(H40:H47,"Medium")&gt;0,("Medium"),(IF(COUNTIF(H40:H47,"Low")&gt;0,("Low"),("Normal"))))))))))))))</f>
        <v>Normal</v>
      </c>
      <c r="J40" s="7">
        <f t="shared" ref="J40:J47" si="7">IF(M40="",(""),(IF(M40="STD BY",("STD BY"),(IF(M40="N/A",("N/A"),(IF(M40-K40&gt;0,(M40-K40),(0))))))))</f>
        <v>0.89999999999999858</v>
      </c>
      <c r="K40" s="14">
        <v>60</v>
      </c>
      <c r="L40" s="4">
        <v>46216</v>
      </c>
      <c r="M40" s="3">
        <v>60.9</v>
      </c>
      <c r="N40" s="192" t="s">
        <v>372</v>
      </c>
    </row>
    <row r="41" spans="1:14" x14ac:dyDescent="0.35">
      <c r="A41" s="19"/>
      <c r="B41" s="153"/>
      <c r="C41" s="153"/>
      <c r="D41" s="10" t="s">
        <v>17</v>
      </c>
      <c r="E41" s="7">
        <f t="shared" si="0"/>
        <v>61</v>
      </c>
      <c r="F41" s="7">
        <f t="shared" si="1"/>
        <v>71</v>
      </c>
      <c r="G41" s="9" t="s">
        <v>16</v>
      </c>
      <c r="H41" s="27" t="str">
        <f t="shared" si="2"/>
        <v>Normal</v>
      </c>
      <c r="I41" s="156"/>
      <c r="J41" s="7">
        <f t="shared" si="7"/>
        <v>0</v>
      </c>
      <c r="K41" s="14">
        <v>50</v>
      </c>
      <c r="L41" s="4">
        <v>46216</v>
      </c>
      <c r="M41" s="3">
        <v>35.5</v>
      </c>
      <c r="N41" s="193"/>
    </row>
    <row r="42" spans="1:14" x14ac:dyDescent="0.35">
      <c r="A42" s="19"/>
      <c r="B42" s="153"/>
      <c r="C42" s="153"/>
      <c r="D42" s="10" t="s">
        <v>18</v>
      </c>
      <c r="E42" s="7">
        <f t="shared" si="0"/>
        <v>61</v>
      </c>
      <c r="F42" s="7">
        <f t="shared" si="1"/>
        <v>71</v>
      </c>
      <c r="G42" s="9" t="s">
        <v>16</v>
      </c>
      <c r="H42" s="27" t="str">
        <f t="shared" si="2"/>
        <v>Normal</v>
      </c>
      <c r="I42" s="156"/>
      <c r="J42" s="7">
        <f t="shared" si="7"/>
        <v>2.7000000000000028</v>
      </c>
      <c r="K42" s="14">
        <v>50</v>
      </c>
      <c r="L42" s="4">
        <v>46216</v>
      </c>
      <c r="M42" s="3">
        <v>52.7</v>
      </c>
      <c r="N42" s="193"/>
    </row>
    <row r="43" spans="1:14" x14ac:dyDescent="0.35">
      <c r="A43" s="19"/>
      <c r="B43" s="153"/>
      <c r="C43" s="153"/>
      <c r="D43" s="10" t="s">
        <v>25</v>
      </c>
      <c r="E43" s="7">
        <f t="shared" si="0"/>
        <v>61</v>
      </c>
      <c r="F43" s="7">
        <f t="shared" si="1"/>
        <v>71</v>
      </c>
      <c r="G43" s="9" t="s">
        <v>16</v>
      </c>
      <c r="H43" s="27" t="str">
        <f t="shared" si="2"/>
        <v>Normal</v>
      </c>
      <c r="I43" s="156"/>
      <c r="J43" s="7">
        <f t="shared" si="7"/>
        <v>0</v>
      </c>
      <c r="K43" s="14">
        <v>50</v>
      </c>
      <c r="L43" s="4">
        <v>46216</v>
      </c>
      <c r="M43" s="3">
        <v>48.8</v>
      </c>
      <c r="N43" s="193"/>
    </row>
    <row r="44" spans="1:14" x14ac:dyDescent="0.35">
      <c r="A44" s="19"/>
      <c r="B44" s="153"/>
      <c r="C44" s="153"/>
      <c r="D44" s="10" t="s">
        <v>26</v>
      </c>
      <c r="E44" s="7">
        <f t="shared" si="0"/>
        <v>61</v>
      </c>
      <c r="F44" s="7">
        <f t="shared" si="1"/>
        <v>71</v>
      </c>
      <c r="G44" s="9" t="s">
        <v>16</v>
      </c>
      <c r="H44" s="27" t="str">
        <f t="shared" si="2"/>
        <v>Normal</v>
      </c>
      <c r="I44" s="156"/>
      <c r="J44" s="7">
        <f t="shared" si="7"/>
        <v>0</v>
      </c>
      <c r="K44" s="14">
        <v>50</v>
      </c>
      <c r="L44" s="4">
        <v>46216</v>
      </c>
      <c r="M44" s="3">
        <v>48.8</v>
      </c>
      <c r="N44" s="193"/>
    </row>
    <row r="45" spans="1:14" x14ac:dyDescent="0.35">
      <c r="A45" s="19"/>
      <c r="B45" s="153"/>
      <c r="C45" s="153"/>
      <c r="D45" s="10" t="s">
        <v>33</v>
      </c>
      <c r="E45" s="7">
        <f t="shared" si="0"/>
        <v>41</v>
      </c>
      <c r="F45" s="7">
        <f t="shared" si="1"/>
        <v>51</v>
      </c>
      <c r="G45" s="9" t="s">
        <v>16</v>
      </c>
      <c r="H45" s="27" t="str">
        <f t="shared" si="2"/>
        <v>Normal</v>
      </c>
      <c r="I45" s="156"/>
      <c r="J45" s="7">
        <f t="shared" si="7"/>
        <v>0</v>
      </c>
      <c r="K45" s="14">
        <v>30</v>
      </c>
      <c r="L45" s="4">
        <v>46216</v>
      </c>
      <c r="M45" s="3">
        <v>27.7</v>
      </c>
      <c r="N45" s="193"/>
    </row>
    <row r="46" spans="1:14" x14ac:dyDescent="0.35">
      <c r="A46" s="19"/>
      <c r="B46" s="153"/>
      <c r="C46" s="153"/>
      <c r="D46" s="10" t="s">
        <v>34</v>
      </c>
      <c r="E46" s="7">
        <f t="shared" si="0"/>
        <v>41</v>
      </c>
      <c r="F46" s="7">
        <f t="shared" si="1"/>
        <v>51</v>
      </c>
      <c r="G46" s="9" t="s">
        <v>16</v>
      </c>
      <c r="H46" s="27" t="str">
        <f t="shared" si="2"/>
        <v>Normal</v>
      </c>
      <c r="I46" s="156"/>
      <c r="J46" s="7">
        <f t="shared" si="7"/>
        <v>0</v>
      </c>
      <c r="K46" s="14">
        <v>30</v>
      </c>
      <c r="L46" s="4">
        <v>46216</v>
      </c>
      <c r="M46" s="3">
        <v>27.7</v>
      </c>
      <c r="N46" s="193"/>
    </row>
    <row r="47" spans="1:14" x14ac:dyDescent="0.35">
      <c r="A47" s="20"/>
      <c r="B47" s="154"/>
      <c r="C47" s="154"/>
      <c r="D47" s="10" t="s">
        <v>35</v>
      </c>
      <c r="E47" s="7">
        <f t="shared" si="0"/>
        <v>41</v>
      </c>
      <c r="F47" s="7">
        <f t="shared" si="1"/>
        <v>51</v>
      </c>
      <c r="G47" s="9" t="s">
        <v>16</v>
      </c>
      <c r="H47" s="27" t="str">
        <f t="shared" si="2"/>
        <v>Normal</v>
      </c>
      <c r="I47" s="157"/>
      <c r="J47" s="7">
        <f t="shared" si="7"/>
        <v>0</v>
      </c>
      <c r="K47" s="14">
        <v>30</v>
      </c>
      <c r="L47" s="4">
        <v>46216</v>
      </c>
      <c r="M47" s="3">
        <v>27.8</v>
      </c>
      <c r="N47" s="194"/>
    </row>
    <row r="48" spans="1:14" ht="15" customHeight="1" x14ac:dyDescent="0.35">
      <c r="A48" s="18">
        <v>1</v>
      </c>
      <c r="B48" s="152" t="s">
        <v>27</v>
      </c>
      <c r="C48" s="152" t="s">
        <v>166</v>
      </c>
      <c r="D48" s="8" t="s">
        <v>15</v>
      </c>
      <c r="E48" s="7">
        <f t="shared" si="0"/>
        <v>71</v>
      </c>
      <c r="F48" s="7">
        <f t="shared" si="1"/>
        <v>81</v>
      </c>
      <c r="G48" s="9" t="s">
        <v>16</v>
      </c>
      <c r="H48" s="27" t="str">
        <f t="shared" si="2"/>
        <v>Normal</v>
      </c>
      <c r="I48" s="155" t="str">
        <f>IF(COUNTIF(H48:H55,"-")&gt;0,("-"),(IF(COUNTIF(H48:H55,"STD BY")&gt;0,("STD BY"),(IF(COUNTIF(H48:H55,"N/A")&gt;0,("N/A"),(IF(COUNTIF(H48:H55,"Critical")&gt;0,("Critical"),(IF(COUNTIF(H48:H55,"High")&gt;0,("High"),(IF(COUNTIF(H48:H55,"Medium")&gt;0,("Medium"),(IF(COUNTIF(H48:H55,"Low")&gt;0,("Low"),("Normal"))))))))))))))</f>
        <v>Low</v>
      </c>
      <c r="J48" s="7">
        <f t="shared" si="5"/>
        <v>0</v>
      </c>
      <c r="K48" s="14">
        <v>60</v>
      </c>
      <c r="L48" s="4">
        <v>46230</v>
      </c>
      <c r="M48" s="3">
        <v>57.8</v>
      </c>
      <c r="N48" s="192" t="s">
        <v>372</v>
      </c>
    </row>
    <row r="49" spans="1:14" x14ac:dyDescent="0.35">
      <c r="A49" s="19"/>
      <c r="B49" s="153"/>
      <c r="C49" s="153"/>
      <c r="D49" s="10" t="s">
        <v>17</v>
      </c>
      <c r="E49" s="7">
        <f t="shared" si="0"/>
        <v>61</v>
      </c>
      <c r="F49" s="7">
        <f t="shared" si="1"/>
        <v>71</v>
      </c>
      <c r="G49" s="9" t="s">
        <v>16</v>
      </c>
      <c r="H49" s="27" t="str">
        <f t="shared" si="2"/>
        <v>Normal</v>
      </c>
      <c r="I49" s="156"/>
      <c r="J49" s="7">
        <f t="shared" si="5"/>
        <v>0</v>
      </c>
      <c r="K49" s="14">
        <v>50</v>
      </c>
      <c r="L49" s="4">
        <v>46230</v>
      </c>
      <c r="M49" s="3">
        <v>38.1</v>
      </c>
      <c r="N49" s="193"/>
    </row>
    <row r="50" spans="1:14" x14ac:dyDescent="0.35">
      <c r="A50" s="19"/>
      <c r="B50" s="153"/>
      <c r="C50" s="153"/>
      <c r="D50" s="10" t="s">
        <v>18</v>
      </c>
      <c r="E50" s="7">
        <f t="shared" si="0"/>
        <v>61</v>
      </c>
      <c r="F50" s="7">
        <f t="shared" si="1"/>
        <v>71</v>
      </c>
      <c r="G50" s="9" t="s">
        <v>16</v>
      </c>
      <c r="H50" s="27" t="str">
        <f t="shared" si="2"/>
        <v>Low</v>
      </c>
      <c r="I50" s="156"/>
      <c r="J50" s="7">
        <f t="shared" si="5"/>
        <v>7.7000000000000028</v>
      </c>
      <c r="K50" s="14">
        <v>50</v>
      </c>
      <c r="L50" s="4">
        <v>46230</v>
      </c>
      <c r="M50" s="3">
        <v>57.7</v>
      </c>
      <c r="N50" s="193"/>
    </row>
    <row r="51" spans="1:14" x14ac:dyDescent="0.35">
      <c r="A51" s="19"/>
      <c r="B51" s="153"/>
      <c r="C51" s="153"/>
      <c r="D51" s="10" t="s">
        <v>25</v>
      </c>
      <c r="E51" s="7">
        <f t="shared" si="0"/>
        <v>61</v>
      </c>
      <c r="F51" s="7">
        <f t="shared" si="1"/>
        <v>71</v>
      </c>
      <c r="G51" s="9" t="s">
        <v>16</v>
      </c>
      <c r="H51" s="27" t="str">
        <f t="shared" si="2"/>
        <v>Normal</v>
      </c>
      <c r="I51" s="156"/>
      <c r="J51" s="7">
        <f t="shared" si="5"/>
        <v>0</v>
      </c>
      <c r="K51" s="14">
        <v>50</v>
      </c>
      <c r="L51" s="4">
        <v>46230</v>
      </c>
      <c r="M51" s="3">
        <v>46.1</v>
      </c>
      <c r="N51" s="193"/>
    </row>
    <row r="52" spans="1:14" x14ac:dyDescent="0.35">
      <c r="A52" s="19"/>
      <c r="B52" s="153"/>
      <c r="C52" s="153"/>
      <c r="D52" s="10" t="s">
        <v>26</v>
      </c>
      <c r="E52" s="7">
        <f t="shared" si="0"/>
        <v>61</v>
      </c>
      <c r="F52" s="7">
        <f t="shared" si="1"/>
        <v>71</v>
      </c>
      <c r="G52" s="9" t="s">
        <v>16</v>
      </c>
      <c r="H52" s="27" t="str">
        <f t="shared" si="2"/>
        <v>Normal</v>
      </c>
      <c r="I52" s="156"/>
      <c r="J52" s="7">
        <f t="shared" si="5"/>
        <v>0</v>
      </c>
      <c r="K52" s="14">
        <v>50</v>
      </c>
      <c r="L52" s="4">
        <v>46230</v>
      </c>
      <c r="M52" s="3">
        <v>47.3</v>
      </c>
      <c r="N52" s="193"/>
    </row>
    <row r="53" spans="1:14" x14ac:dyDescent="0.35">
      <c r="A53" s="19"/>
      <c r="B53" s="153"/>
      <c r="C53" s="153"/>
      <c r="D53" s="10" t="s">
        <v>33</v>
      </c>
      <c r="E53" s="7">
        <f t="shared" si="0"/>
        <v>41</v>
      </c>
      <c r="F53" s="7">
        <f t="shared" si="1"/>
        <v>51</v>
      </c>
      <c r="G53" s="9" t="s">
        <v>16</v>
      </c>
      <c r="H53" s="27" t="str">
        <f t="shared" si="2"/>
        <v>Normal</v>
      </c>
      <c r="I53" s="156"/>
      <c r="J53" s="7">
        <f t="shared" si="5"/>
        <v>2.3999999999999986</v>
      </c>
      <c r="K53" s="14">
        <v>30</v>
      </c>
      <c r="L53" s="4">
        <v>46230</v>
      </c>
      <c r="M53" s="3">
        <v>32.4</v>
      </c>
      <c r="N53" s="193"/>
    </row>
    <row r="54" spans="1:14" x14ac:dyDescent="0.35">
      <c r="A54" s="19"/>
      <c r="B54" s="153"/>
      <c r="C54" s="153"/>
      <c r="D54" s="10" t="s">
        <v>34</v>
      </c>
      <c r="E54" s="7">
        <f t="shared" si="0"/>
        <v>41</v>
      </c>
      <c r="F54" s="7">
        <f t="shared" si="1"/>
        <v>51</v>
      </c>
      <c r="G54" s="9" t="s">
        <v>16</v>
      </c>
      <c r="H54" s="27" t="str">
        <f t="shared" si="2"/>
        <v>Normal</v>
      </c>
      <c r="I54" s="156"/>
      <c r="J54" s="7">
        <f t="shared" si="5"/>
        <v>3.3999999999999986</v>
      </c>
      <c r="K54" s="14">
        <v>30</v>
      </c>
      <c r="L54" s="4">
        <v>46230</v>
      </c>
      <c r="M54" s="3">
        <v>33.4</v>
      </c>
      <c r="N54" s="193"/>
    </row>
    <row r="55" spans="1:14" x14ac:dyDescent="0.35">
      <c r="A55" s="19"/>
      <c r="B55" s="154"/>
      <c r="C55" s="154"/>
      <c r="D55" s="10" t="s">
        <v>35</v>
      </c>
      <c r="E55" s="7">
        <f t="shared" si="0"/>
        <v>41</v>
      </c>
      <c r="F55" s="7">
        <f t="shared" si="1"/>
        <v>51</v>
      </c>
      <c r="G55" s="9" t="s">
        <v>16</v>
      </c>
      <c r="H55" s="27" t="str">
        <f t="shared" si="2"/>
        <v>Normal</v>
      </c>
      <c r="I55" s="157"/>
      <c r="J55" s="7">
        <f t="shared" si="5"/>
        <v>2.8999999999999986</v>
      </c>
      <c r="K55" s="14">
        <v>30</v>
      </c>
      <c r="L55" s="4">
        <v>46230</v>
      </c>
      <c r="M55" s="3">
        <v>32.9</v>
      </c>
      <c r="N55" s="194"/>
    </row>
    <row r="56" spans="1:14" ht="15" customHeight="1" x14ac:dyDescent="0.35">
      <c r="A56" s="18">
        <v>1</v>
      </c>
      <c r="B56" s="152" t="s">
        <v>28</v>
      </c>
      <c r="C56" s="152" t="s">
        <v>167</v>
      </c>
      <c r="D56" s="8" t="s">
        <v>15</v>
      </c>
      <c r="E56" s="7">
        <f t="shared" si="0"/>
        <v>71</v>
      </c>
      <c r="F56" s="7">
        <f t="shared" si="1"/>
        <v>81</v>
      </c>
      <c r="G56" s="9" t="s">
        <v>16</v>
      </c>
      <c r="H56" s="27" t="str">
        <f t="shared" si="2"/>
        <v>Normal</v>
      </c>
      <c r="I56" s="155" t="str">
        <f>IF(COUNTIF(H56:H63,"-")&gt;0,("-"),(IF(COUNTIF(H56:H63,"STD BY")&gt;0,("STD BY"),(IF(COUNTIF(H56:H63,"N/A")&gt;0,("N/A"),(IF(COUNTIF(H56:H63,"Critical")&gt;0,("Critical"),(IF(COUNTIF(H56:H63,"High")&gt;0,("High"),(IF(COUNTIF(H56:H63,"Medium")&gt;0,("Medium"),(IF(COUNTIF(H56:H63,"Low")&gt;0,("Low"),("Normal"))))))))))))))</f>
        <v>Low</v>
      </c>
      <c r="J56" s="7">
        <f t="shared" ref="J56:J63" si="8">IF(M56="",(""),(IF(M56="STD BY",("STD BY"),(IF(M56="N/A",("N/A"),(IF(M56-K56&gt;0,(M56-K56),(0))))))))</f>
        <v>0</v>
      </c>
      <c r="K56" s="14">
        <v>60</v>
      </c>
      <c r="L56" s="4">
        <v>46216</v>
      </c>
      <c r="M56" s="3">
        <v>51.9</v>
      </c>
      <c r="N56" s="192" t="s">
        <v>372</v>
      </c>
    </row>
    <row r="57" spans="1:14" x14ac:dyDescent="0.35">
      <c r="A57" s="19"/>
      <c r="B57" s="153"/>
      <c r="C57" s="153"/>
      <c r="D57" s="10" t="s">
        <v>17</v>
      </c>
      <c r="E57" s="7">
        <f t="shared" si="0"/>
        <v>51</v>
      </c>
      <c r="F57" s="7">
        <f t="shared" si="1"/>
        <v>61</v>
      </c>
      <c r="G57" s="9" t="s">
        <v>16</v>
      </c>
      <c r="H57" s="27" t="str">
        <f t="shared" si="2"/>
        <v>Normal</v>
      </c>
      <c r="I57" s="156"/>
      <c r="J57" s="7">
        <f t="shared" si="8"/>
        <v>0</v>
      </c>
      <c r="K57" s="14">
        <v>40</v>
      </c>
      <c r="L57" s="4">
        <v>46216</v>
      </c>
      <c r="M57" s="3">
        <v>34.9</v>
      </c>
      <c r="N57" s="193"/>
    </row>
    <row r="58" spans="1:14" x14ac:dyDescent="0.35">
      <c r="A58" s="19"/>
      <c r="B58" s="153"/>
      <c r="C58" s="153"/>
      <c r="D58" s="10" t="s">
        <v>18</v>
      </c>
      <c r="E58" s="7">
        <f t="shared" si="0"/>
        <v>61</v>
      </c>
      <c r="F58" s="7">
        <f t="shared" si="1"/>
        <v>71</v>
      </c>
      <c r="G58" s="9" t="s">
        <v>16</v>
      </c>
      <c r="H58" s="27" t="str">
        <f t="shared" si="2"/>
        <v>Normal</v>
      </c>
      <c r="I58" s="156"/>
      <c r="J58" s="7">
        <f t="shared" si="8"/>
        <v>3.7000000000000028</v>
      </c>
      <c r="K58" s="14">
        <v>50</v>
      </c>
      <c r="L58" s="4">
        <v>46216</v>
      </c>
      <c r="M58" s="3">
        <v>53.7</v>
      </c>
      <c r="N58" s="193"/>
    </row>
    <row r="59" spans="1:14" x14ac:dyDescent="0.35">
      <c r="A59" s="19"/>
      <c r="B59" s="153"/>
      <c r="C59" s="153"/>
      <c r="D59" s="10" t="s">
        <v>25</v>
      </c>
      <c r="E59" s="7">
        <f t="shared" si="0"/>
        <v>61</v>
      </c>
      <c r="F59" s="7">
        <f t="shared" si="1"/>
        <v>71</v>
      </c>
      <c r="G59" s="9" t="s">
        <v>16</v>
      </c>
      <c r="H59" s="27" t="str">
        <f t="shared" si="2"/>
        <v>Low</v>
      </c>
      <c r="I59" s="156"/>
      <c r="J59" s="7">
        <f t="shared" si="8"/>
        <v>8.3999999999999986</v>
      </c>
      <c r="K59" s="14">
        <v>50</v>
      </c>
      <c r="L59" s="4">
        <v>46216</v>
      </c>
      <c r="M59" s="3">
        <v>58.4</v>
      </c>
      <c r="N59" s="193"/>
    </row>
    <row r="60" spans="1:14" x14ac:dyDescent="0.35">
      <c r="A60" s="19"/>
      <c r="B60" s="153"/>
      <c r="C60" s="153"/>
      <c r="D60" s="10" t="s">
        <v>26</v>
      </c>
      <c r="E60" s="7">
        <f t="shared" si="0"/>
        <v>61</v>
      </c>
      <c r="F60" s="7">
        <f t="shared" si="1"/>
        <v>71</v>
      </c>
      <c r="G60" s="9" t="s">
        <v>16</v>
      </c>
      <c r="H60" s="27" t="str">
        <f t="shared" ref="H60:H103" si="9">IF(J60="",("-"),(IF(J60="STD BY",("STD BY"),(IF(J60="N/A",("N/A"),(IF(J60&lt;5,("Normal"),(IF(J60&lt;11,("Low"),(IF(J60&lt;21,("Medium"),(IF(J60&lt;41,("High"),("Critical"))))))))))))))</f>
        <v>Low</v>
      </c>
      <c r="I60" s="156"/>
      <c r="J60" s="7">
        <f t="shared" si="8"/>
        <v>10.299999999999997</v>
      </c>
      <c r="K60" s="14">
        <v>50</v>
      </c>
      <c r="L60" s="4">
        <v>46216</v>
      </c>
      <c r="M60" s="3">
        <v>60.3</v>
      </c>
      <c r="N60" s="193"/>
    </row>
    <row r="61" spans="1:14" x14ac:dyDescent="0.35">
      <c r="A61" s="19"/>
      <c r="B61" s="153"/>
      <c r="C61" s="153"/>
      <c r="D61" s="10" t="s">
        <v>33</v>
      </c>
      <c r="E61" s="7">
        <f t="shared" si="0"/>
        <v>41</v>
      </c>
      <c r="F61" s="7">
        <f t="shared" si="1"/>
        <v>51</v>
      </c>
      <c r="G61" s="9" t="s">
        <v>16</v>
      </c>
      <c r="H61" s="27" t="str">
        <f t="shared" si="9"/>
        <v>Normal</v>
      </c>
      <c r="I61" s="156"/>
      <c r="J61" s="7">
        <f t="shared" si="8"/>
        <v>0</v>
      </c>
      <c r="K61" s="14">
        <v>30</v>
      </c>
      <c r="L61" s="4">
        <v>46216</v>
      </c>
      <c r="M61" s="3">
        <v>22.2</v>
      </c>
      <c r="N61" s="193"/>
    </row>
    <row r="62" spans="1:14" x14ac:dyDescent="0.35">
      <c r="A62" s="19"/>
      <c r="B62" s="153"/>
      <c r="C62" s="153"/>
      <c r="D62" s="10" t="s">
        <v>34</v>
      </c>
      <c r="E62" s="7">
        <f t="shared" si="0"/>
        <v>41</v>
      </c>
      <c r="F62" s="7">
        <f t="shared" si="1"/>
        <v>51</v>
      </c>
      <c r="G62" s="9" t="s">
        <v>16</v>
      </c>
      <c r="H62" s="27" t="str">
        <f t="shared" si="9"/>
        <v>Normal</v>
      </c>
      <c r="I62" s="156"/>
      <c r="J62" s="7">
        <f t="shared" si="8"/>
        <v>0</v>
      </c>
      <c r="K62" s="14">
        <v>30</v>
      </c>
      <c r="L62" s="4">
        <v>46216</v>
      </c>
      <c r="M62" s="3">
        <v>22.3</v>
      </c>
      <c r="N62" s="193"/>
    </row>
    <row r="63" spans="1:14" x14ac:dyDescent="0.35">
      <c r="A63" s="19"/>
      <c r="B63" s="154"/>
      <c r="C63" s="154"/>
      <c r="D63" s="10" t="s">
        <v>35</v>
      </c>
      <c r="E63" s="7">
        <f t="shared" si="0"/>
        <v>41</v>
      </c>
      <c r="F63" s="7">
        <f t="shared" si="1"/>
        <v>51</v>
      </c>
      <c r="G63" s="9" t="s">
        <v>16</v>
      </c>
      <c r="H63" s="27" t="str">
        <f t="shared" si="9"/>
        <v>Normal</v>
      </c>
      <c r="I63" s="157"/>
      <c r="J63" s="7">
        <f t="shared" si="8"/>
        <v>0</v>
      </c>
      <c r="K63" s="14">
        <v>30</v>
      </c>
      <c r="L63" s="4">
        <v>46216</v>
      </c>
      <c r="M63" s="3">
        <v>22.3</v>
      </c>
      <c r="N63" s="194"/>
    </row>
    <row r="64" spans="1:14" ht="15" customHeight="1" x14ac:dyDescent="0.35">
      <c r="A64" s="18">
        <v>1</v>
      </c>
      <c r="B64" s="152" t="s">
        <v>29</v>
      </c>
      <c r="C64" s="152" t="s">
        <v>168</v>
      </c>
      <c r="D64" s="8" t="s">
        <v>15</v>
      </c>
      <c r="E64" s="7">
        <f t="shared" si="0"/>
        <v>71</v>
      </c>
      <c r="F64" s="7">
        <f t="shared" si="1"/>
        <v>81</v>
      </c>
      <c r="G64" s="9" t="s">
        <v>16</v>
      </c>
      <c r="H64" s="27" t="str">
        <f t="shared" si="9"/>
        <v>Normal</v>
      </c>
      <c r="I64" s="155" t="str">
        <f>IF(COUNTIF(H64:H71,"-")&gt;0,("-"),(IF(COUNTIF(H64:H71,"STD BY")&gt;0,("STD BY"),(IF(COUNTIF(H64:H71,"N/A")&gt;0,("N/A"),(IF(COUNTIF(H64:H71,"Critical")&gt;0,("Critical"),(IF(COUNTIF(H64:H71,"High")&gt;0,("High"),(IF(COUNTIF(H64:H71,"Medium")&gt;0,("Medium"),(IF(COUNTIF(H64:H71,"Low")&gt;0,("Low"),("Normal"))))))))))))))</f>
        <v>Low</v>
      </c>
      <c r="J64" s="7">
        <f t="shared" ref="J64:J103" si="10">IF(M64="",(""),(IF(M64="STD BY",("STD BY"),(IF(M64="N/A",("N/A"),(IF(M64-K64&gt;0,(M64-K64),(0))))))))</f>
        <v>0</v>
      </c>
      <c r="K64" s="14">
        <v>60</v>
      </c>
      <c r="L64" s="4">
        <v>46230</v>
      </c>
      <c r="M64" s="3">
        <v>48.6</v>
      </c>
      <c r="N64" s="192" t="s">
        <v>372</v>
      </c>
    </row>
    <row r="65" spans="1:14" x14ac:dyDescent="0.35">
      <c r="A65" s="19"/>
      <c r="B65" s="153"/>
      <c r="C65" s="153"/>
      <c r="D65" s="10" t="s">
        <v>17</v>
      </c>
      <c r="E65" s="7">
        <f t="shared" si="0"/>
        <v>51</v>
      </c>
      <c r="F65" s="7">
        <f t="shared" si="1"/>
        <v>61</v>
      </c>
      <c r="G65" s="9" t="s">
        <v>16</v>
      </c>
      <c r="H65" s="27" t="str">
        <f t="shared" si="9"/>
        <v>Normal</v>
      </c>
      <c r="I65" s="156"/>
      <c r="J65" s="7">
        <f t="shared" si="10"/>
        <v>0</v>
      </c>
      <c r="K65" s="14">
        <v>40</v>
      </c>
      <c r="L65" s="4">
        <v>46230</v>
      </c>
      <c r="M65" s="3">
        <v>37.200000000000003</v>
      </c>
      <c r="N65" s="193"/>
    </row>
    <row r="66" spans="1:14" x14ac:dyDescent="0.35">
      <c r="A66" s="19"/>
      <c r="B66" s="153"/>
      <c r="C66" s="153"/>
      <c r="D66" s="10" t="s">
        <v>18</v>
      </c>
      <c r="E66" s="7">
        <f t="shared" si="0"/>
        <v>61</v>
      </c>
      <c r="F66" s="7">
        <f t="shared" si="1"/>
        <v>71</v>
      </c>
      <c r="G66" s="9" t="s">
        <v>16</v>
      </c>
      <c r="H66" s="27" t="str">
        <f t="shared" si="9"/>
        <v>Normal</v>
      </c>
      <c r="I66" s="156"/>
      <c r="J66" s="7">
        <f t="shared" si="10"/>
        <v>0</v>
      </c>
      <c r="K66" s="14">
        <v>50</v>
      </c>
      <c r="L66" s="4">
        <v>46230</v>
      </c>
      <c r="M66" s="3">
        <v>45.8</v>
      </c>
      <c r="N66" s="193"/>
    </row>
    <row r="67" spans="1:14" x14ac:dyDescent="0.35">
      <c r="A67" s="19"/>
      <c r="B67" s="153"/>
      <c r="C67" s="153"/>
      <c r="D67" s="10" t="s">
        <v>25</v>
      </c>
      <c r="E67" s="7">
        <f t="shared" si="0"/>
        <v>61</v>
      </c>
      <c r="F67" s="7">
        <f t="shared" si="1"/>
        <v>71</v>
      </c>
      <c r="G67" s="9" t="s">
        <v>16</v>
      </c>
      <c r="H67" s="27" t="str">
        <f t="shared" si="9"/>
        <v>Low</v>
      </c>
      <c r="I67" s="156"/>
      <c r="J67" s="7">
        <f t="shared" si="10"/>
        <v>5.2999999999999972</v>
      </c>
      <c r="K67" s="14">
        <v>50</v>
      </c>
      <c r="L67" s="4">
        <v>46230</v>
      </c>
      <c r="M67" s="3">
        <v>55.3</v>
      </c>
      <c r="N67" s="193"/>
    </row>
    <row r="68" spans="1:14" x14ac:dyDescent="0.35">
      <c r="A68" s="19"/>
      <c r="B68" s="153"/>
      <c r="C68" s="153"/>
      <c r="D68" s="10" t="s">
        <v>26</v>
      </c>
      <c r="E68" s="7">
        <f t="shared" si="0"/>
        <v>61</v>
      </c>
      <c r="F68" s="7">
        <f t="shared" si="1"/>
        <v>71</v>
      </c>
      <c r="G68" s="9" t="s">
        <v>16</v>
      </c>
      <c r="H68" s="27" t="str">
        <f t="shared" si="9"/>
        <v>Low</v>
      </c>
      <c r="I68" s="156"/>
      <c r="J68" s="7">
        <f t="shared" si="10"/>
        <v>6.7000000000000028</v>
      </c>
      <c r="K68" s="14">
        <v>50</v>
      </c>
      <c r="L68" s="4">
        <v>46230</v>
      </c>
      <c r="M68" s="3">
        <v>56.7</v>
      </c>
      <c r="N68" s="193"/>
    </row>
    <row r="69" spans="1:14" x14ac:dyDescent="0.35">
      <c r="A69" s="19"/>
      <c r="B69" s="153"/>
      <c r="C69" s="153"/>
      <c r="D69" s="10" t="s">
        <v>33</v>
      </c>
      <c r="E69" s="7">
        <f t="shared" si="0"/>
        <v>41</v>
      </c>
      <c r="F69" s="7">
        <f t="shared" si="1"/>
        <v>51</v>
      </c>
      <c r="G69" s="9" t="s">
        <v>16</v>
      </c>
      <c r="H69" s="27" t="str">
        <f t="shared" si="9"/>
        <v>Normal</v>
      </c>
      <c r="I69" s="156"/>
      <c r="J69" s="7">
        <f t="shared" si="10"/>
        <v>0.80000000000000071</v>
      </c>
      <c r="K69" s="14">
        <v>30</v>
      </c>
      <c r="L69" s="4">
        <v>46230</v>
      </c>
      <c r="M69" s="3">
        <v>30.8</v>
      </c>
      <c r="N69" s="193"/>
    </row>
    <row r="70" spans="1:14" x14ac:dyDescent="0.35">
      <c r="A70" s="19"/>
      <c r="B70" s="153"/>
      <c r="C70" s="153"/>
      <c r="D70" s="10" t="s">
        <v>34</v>
      </c>
      <c r="E70" s="7">
        <f t="shared" si="0"/>
        <v>41</v>
      </c>
      <c r="F70" s="7">
        <f t="shared" si="1"/>
        <v>51</v>
      </c>
      <c r="G70" s="9" t="s">
        <v>16</v>
      </c>
      <c r="H70" s="27" t="str">
        <f t="shared" si="9"/>
        <v>Normal</v>
      </c>
      <c r="I70" s="156"/>
      <c r="J70" s="7">
        <f t="shared" si="10"/>
        <v>0.80000000000000071</v>
      </c>
      <c r="K70" s="14">
        <v>30</v>
      </c>
      <c r="L70" s="4">
        <v>46230</v>
      </c>
      <c r="M70" s="3">
        <v>30.8</v>
      </c>
      <c r="N70" s="193"/>
    </row>
    <row r="71" spans="1:14" x14ac:dyDescent="0.35">
      <c r="A71" s="19"/>
      <c r="B71" s="154"/>
      <c r="C71" s="154"/>
      <c r="D71" s="10" t="s">
        <v>35</v>
      </c>
      <c r="E71" s="7">
        <f t="shared" si="0"/>
        <v>41</v>
      </c>
      <c r="F71" s="7">
        <f t="shared" si="1"/>
        <v>51</v>
      </c>
      <c r="G71" s="9" t="s">
        <v>16</v>
      </c>
      <c r="H71" s="27" t="str">
        <f t="shared" si="9"/>
        <v>Normal</v>
      </c>
      <c r="I71" s="157"/>
      <c r="J71" s="7">
        <f t="shared" si="10"/>
        <v>0.69999999999999929</v>
      </c>
      <c r="K71" s="14">
        <v>30</v>
      </c>
      <c r="L71" s="4">
        <v>46230</v>
      </c>
      <c r="M71" s="3">
        <v>30.7</v>
      </c>
      <c r="N71" s="194"/>
    </row>
    <row r="72" spans="1:14" ht="15" customHeight="1" x14ac:dyDescent="0.35">
      <c r="A72" s="18">
        <v>1</v>
      </c>
      <c r="B72" s="152" t="s">
        <v>30</v>
      </c>
      <c r="C72" s="152" t="s">
        <v>169</v>
      </c>
      <c r="D72" s="8" t="s">
        <v>15</v>
      </c>
      <c r="E72" s="7">
        <f t="shared" si="0"/>
        <v>71</v>
      </c>
      <c r="F72" s="7">
        <f t="shared" si="1"/>
        <v>81</v>
      </c>
      <c r="G72" s="9" t="s">
        <v>16</v>
      </c>
      <c r="H72" s="27" t="str">
        <f t="shared" si="9"/>
        <v>Normal</v>
      </c>
      <c r="I72" s="155" t="str">
        <f>IF(COUNTIF(H72:H79,"-")&gt;0,("-"),(IF(COUNTIF(H72:H79,"STD BY")&gt;0,("STD BY"),(IF(COUNTIF(H72:H79,"N/A")&gt;0,("N/A"),(IF(COUNTIF(H72:H79,"Critical")&gt;0,("Critical"),(IF(COUNTIF(H72:H79,"High")&gt;0,("High"),(IF(COUNTIF(H72:H79,"Medium")&gt;0,("Medium"),(IF(COUNTIF(H72:H79,"Low")&gt;0,("Low"),("Normal"))))))))))))))</f>
        <v>Normal</v>
      </c>
      <c r="J72" s="7">
        <f t="shared" ref="J72:J79" si="11">IF(M72="",(""),(IF(M72="STD BY",("STD BY"),(IF(M72="N/A",("N/A"),(IF(M72-K72&gt;0,(M72-K72),(0))))))))</f>
        <v>0</v>
      </c>
      <c r="K72" s="14">
        <v>60</v>
      </c>
      <c r="L72" s="4">
        <v>46216</v>
      </c>
      <c r="M72" s="3">
        <v>51.2</v>
      </c>
      <c r="N72" s="192" t="s">
        <v>372</v>
      </c>
    </row>
    <row r="73" spans="1:14" x14ac:dyDescent="0.35">
      <c r="A73" s="19"/>
      <c r="B73" s="153"/>
      <c r="C73" s="153"/>
      <c r="D73" s="10" t="s">
        <v>17</v>
      </c>
      <c r="E73" s="7">
        <f t="shared" si="0"/>
        <v>61</v>
      </c>
      <c r="F73" s="7">
        <f t="shared" si="1"/>
        <v>71</v>
      </c>
      <c r="G73" s="9" t="s">
        <v>16</v>
      </c>
      <c r="H73" s="27" t="str">
        <f t="shared" si="9"/>
        <v>Normal</v>
      </c>
      <c r="I73" s="156"/>
      <c r="J73" s="7">
        <f t="shared" si="11"/>
        <v>0</v>
      </c>
      <c r="K73" s="14">
        <v>50</v>
      </c>
      <c r="L73" s="4">
        <v>46216</v>
      </c>
      <c r="M73" s="3">
        <v>33.4</v>
      </c>
      <c r="N73" s="193"/>
    </row>
    <row r="74" spans="1:14" x14ac:dyDescent="0.35">
      <c r="A74" s="19"/>
      <c r="B74" s="153"/>
      <c r="C74" s="153"/>
      <c r="D74" s="10" t="s">
        <v>18</v>
      </c>
      <c r="E74" s="7">
        <f t="shared" si="0"/>
        <v>61</v>
      </c>
      <c r="F74" s="7">
        <f t="shared" si="1"/>
        <v>71</v>
      </c>
      <c r="G74" s="9" t="s">
        <v>16</v>
      </c>
      <c r="H74" s="27" t="str">
        <f t="shared" si="9"/>
        <v>Normal</v>
      </c>
      <c r="I74" s="156"/>
      <c r="J74" s="7">
        <f t="shared" si="11"/>
        <v>0</v>
      </c>
      <c r="K74" s="14">
        <v>50</v>
      </c>
      <c r="L74" s="4">
        <v>46216</v>
      </c>
      <c r="M74" s="3">
        <v>48.1</v>
      </c>
      <c r="N74" s="193"/>
    </row>
    <row r="75" spans="1:14" x14ac:dyDescent="0.35">
      <c r="A75" s="19"/>
      <c r="B75" s="153"/>
      <c r="C75" s="153"/>
      <c r="D75" s="10" t="s">
        <v>25</v>
      </c>
      <c r="E75" s="7">
        <f t="shared" si="0"/>
        <v>61</v>
      </c>
      <c r="F75" s="7">
        <f>(E75+10)</f>
        <v>71</v>
      </c>
      <c r="G75" s="9" t="s">
        <v>16</v>
      </c>
      <c r="H75" s="27" t="str">
        <f t="shared" si="9"/>
        <v>Normal</v>
      </c>
      <c r="I75" s="156"/>
      <c r="J75" s="7">
        <f t="shared" si="11"/>
        <v>0</v>
      </c>
      <c r="K75" s="14">
        <v>50</v>
      </c>
      <c r="L75" s="4">
        <v>46216</v>
      </c>
      <c r="M75" s="3">
        <v>48.9</v>
      </c>
      <c r="N75" s="193"/>
    </row>
    <row r="76" spans="1:14" x14ac:dyDescent="0.35">
      <c r="A76" s="19"/>
      <c r="B76" s="153"/>
      <c r="C76" s="153"/>
      <c r="D76" s="10" t="s">
        <v>26</v>
      </c>
      <c r="E76" s="7">
        <f t="shared" si="0"/>
        <v>61</v>
      </c>
      <c r="F76" s="7">
        <f t="shared" si="1"/>
        <v>71</v>
      </c>
      <c r="G76" s="9" t="s">
        <v>16</v>
      </c>
      <c r="H76" s="27" t="str">
        <f t="shared" si="9"/>
        <v>Normal</v>
      </c>
      <c r="I76" s="156"/>
      <c r="J76" s="7">
        <v>0</v>
      </c>
      <c r="K76" s="14">
        <v>50</v>
      </c>
      <c r="L76" s="4">
        <v>46216</v>
      </c>
      <c r="M76" s="3">
        <v>49</v>
      </c>
      <c r="N76" s="193"/>
    </row>
    <row r="77" spans="1:14" x14ac:dyDescent="0.35">
      <c r="A77" s="19"/>
      <c r="B77" s="153"/>
      <c r="C77" s="153"/>
      <c r="D77" s="10" t="s">
        <v>33</v>
      </c>
      <c r="E77" s="7">
        <f t="shared" si="0"/>
        <v>41</v>
      </c>
      <c r="F77" s="7">
        <f t="shared" si="1"/>
        <v>51</v>
      </c>
      <c r="G77" s="9" t="s">
        <v>16</v>
      </c>
      <c r="H77" s="27" t="str">
        <f t="shared" si="9"/>
        <v>Normal</v>
      </c>
      <c r="I77" s="156"/>
      <c r="J77" s="7">
        <f t="shared" si="11"/>
        <v>0</v>
      </c>
      <c r="K77" s="14">
        <v>30</v>
      </c>
      <c r="L77" s="4">
        <v>46216</v>
      </c>
      <c r="M77" s="3">
        <v>0</v>
      </c>
      <c r="N77" s="193"/>
    </row>
    <row r="78" spans="1:14" x14ac:dyDescent="0.35">
      <c r="A78" s="19"/>
      <c r="B78" s="153"/>
      <c r="C78" s="153"/>
      <c r="D78" s="10" t="s">
        <v>34</v>
      </c>
      <c r="E78" s="7">
        <f t="shared" si="0"/>
        <v>41</v>
      </c>
      <c r="F78" s="7">
        <f t="shared" si="1"/>
        <v>51</v>
      </c>
      <c r="G78" s="9" t="s">
        <v>16</v>
      </c>
      <c r="H78" s="27" t="str">
        <f t="shared" si="9"/>
        <v>Normal</v>
      </c>
      <c r="I78" s="156"/>
      <c r="J78" s="7">
        <f t="shared" si="11"/>
        <v>0</v>
      </c>
      <c r="K78" s="14">
        <v>30</v>
      </c>
      <c r="L78" s="4">
        <v>46216</v>
      </c>
      <c r="M78" s="3">
        <v>0</v>
      </c>
      <c r="N78" s="193"/>
    </row>
    <row r="79" spans="1:14" x14ac:dyDescent="0.35">
      <c r="A79" s="19"/>
      <c r="B79" s="154"/>
      <c r="C79" s="154"/>
      <c r="D79" s="10" t="s">
        <v>35</v>
      </c>
      <c r="E79" s="7">
        <f t="shared" si="0"/>
        <v>41</v>
      </c>
      <c r="F79" s="7">
        <f t="shared" si="1"/>
        <v>51</v>
      </c>
      <c r="G79" s="9" t="s">
        <v>16</v>
      </c>
      <c r="H79" s="27" t="str">
        <f t="shared" si="9"/>
        <v>Normal</v>
      </c>
      <c r="I79" s="157"/>
      <c r="J79" s="7">
        <f t="shared" si="11"/>
        <v>0</v>
      </c>
      <c r="K79" s="14">
        <v>30</v>
      </c>
      <c r="L79" s="4">
        <v>46216</v>
      </c>
      <c r="M79" s="3">
        <v>0</v>
      </c>
      <c r="N79" s="194"/>
    </row>
    <row r="80" spans="1:14" ht="15" customHeight="1" x14ac:dyDescent="0.35">
      <c r="A80" s="18">
        <v>1</v>
      </c>
      <c r="B80" s="152" t="s">
        <v>31</v>
      </c>
      <c r="C80" s="152" t="s">
        <v>170</v>
      </c>
      <c r="D80" s="8" t="s">
        <v>15</v>
      </c>
      <c r="E80" s="7">
        <f t="shared" si="0"/>
        <v>71</v>
      </c>
      <c r="F80" s="7">
        <f t="shared" si="1"/>
        <v>81</v>
      </c>
      <c r="G80" s="9" t="s">
        <v>16</v>
      </c>
      <c r="H80" s="27" t="str">
        <f t="shared" si="9"/>
        <v>Normal</v>
      </c>
      <c r="I80" s="155" t="str">
        <f>IF(COUNTIF(H80:H87,"-")&gt;0,("-"),(IF(COUNTIF(H80:H87,"STD BY")&gt;0,("STD BY"),(IF(COUNTIF(H80:H87,"N/A")&gt;0,("N/A"),(IF(COUNTIF(H80:H87,"Critical")&gt;0,("Critical"),(IF(COUNTIF(H80:H87,"High")&gt;0,("High"),(IF(COUNTIF(H80:H87,"Medium")&gt;0,("Medium"),(IF(COUNTIF(H80:H87,"Low")&gt;0,("Low"),("Normal"))))))))))))))</f>
        <v>Low</v>
      </c>
      <c r="J80" s="7">
        <f t="shared" si="10"/>
        <v>0</v>
      </c>
      <c r="K80" s="14">
        <v>60</v>
      </c>
      <c r="L80" s="4">
        <v>46230</v>
      </c>
      <c r="M80" s="3">
        <v>58.6</v>
      </c>
      <c r="N80" s="192" t="s">
        <v>372</v>
      </c>
    </row>
    <row r="81" spans="1:14" x14ac:dyDescent="0.35">
      <c r="A81" s="19"/>
      <c r="B81" s="153"/>
      <c r="C81" s="153"/>
      <c r="D81" s="10" t="s">
        <v>17</v>
      </c>
      <c r="E81" s="7">
        <f t="shared" si="0"/>
        <v>61</v>
      </c>
      <c r="F81" s="7">
        <f t="shared" si="1"/>
        <v>71</v>
      </c>
      <c r="G81" s="9" t="s">
        <v>16</v>
      </c>
      <c r="H81" s="27" t="str">
        <f t="shared" si="9"/>
        <v>Normal</v>
      </c>
      <c r="I81" s="156"/>
      <c r="J81" s="7">
        <f t="shared" si="10"/>
        <v>0</v>
      </c>
      <c r="K81" s="14">
        <v>50</v>
      </c>
      <c r="L81" s="4">
        <v>46230</v>
      </c>
      <c r="M81" s="3">
        <v>41</v>
      </c>
      <c r="N81" s="193"/>
    </row>
    <row r="82" spans="1:14" x14ac:dyDescent="0.35">
      <c r="A82" s="19"/>
      <c r="B82" s="153"/>
      <c r="C82" s="153"/>
      <c r="D82" s="10" t="s">
        <v>18</v>
      </c>
      <c r="E82" s="7">
        <f t="shared" si="0"/>
        <v>61</v>
      </c>
      <c r="F82" s="7">
        <f t="shared" si="1"/>
        <v>71</v>
      </c>
      <c r="G82" s="9" t="s">
        <v>16</v>
      </c>
      <c r="H82" s="27" t="str">
        <f t="shared" si="9"/>
        <v>Low</v>
      </c>
      <c r="I82" s="156"/>
      <c r="J82" s="7">
        <f t="shared" si="10"/>
        <v>8.1000000000000014</v>
      </c>
      <c r="K82" s="14">
        <v>50</v>
      </c>
      <c r="L82" s="4">
        <v>46230</v>
      </c>
      <c r="M82" s="3">
        <v>58.1</v>
      </c>
      <c r="N82" s="193"/>
    </row>
    <row r="83" spans="1:14" x14ac:dyDescent="0.35">
      <c r="A83" s="19"/>
      <c r="B83" s="153"/>
      <c r="C83" s="153"/>
      <c r="D83" s="10" t="s">
        <v>25</v>
      </c>
      <c r="E83" s="7">
        <f t="shared" si="0"/>
        <v>61</v>
      </c>
      <c r="F83" s="7">
        <f t="shared" si="1"/>
        <v>71</v>
      </c>
      <c r="G83" s="9" t="s">
        <v>16</v>
      </c>
      <c r="H83" s="27" t="str">
        <f t="shared" si="9"/>
        <v>Normal</v>
      </c>
      <c r="I83" s="156"/>
      <c r="J83" s="7">
        <f t="shared" si="10"/>
        <v>3.3999999999999986</v>
      </c>
      <c r="K83" s="14">
        <v>50</v>
      </c>
      <c r="L83" s="4">
        <v>46230</v>
      </c>
      <c r="M83" s="3">
        <v>53.4</v>
      </c>
      <c r="N83" s="193"/>
    </row>
    <row r="84" spans="1:14" x14ac:dyDescent="0.35">
      <c r="A84" s="19"/>
      <c r="B84" s="153"/>
      <c r="C84" s="153"/>
      <c r="D84" s="10" t="s">
        <v>26</v>
      </c>
      <c r="E84" s="7">
        <f t="shared" si="0"/>
        <v>61</v>
      </c>
      <c r="F84" s="7">
        <f t="shared" si="1"/>
        <v>71</v>
      </c>
      <c r="G84" s="9" t="s">
        <v>16</v>
      </c>
      <c r="H84" s="27" t="str">
        <f t="shared" si="9"/>
        <v>Low</v>
      </c>
      <c r="I84" s="156"/>
      <c r="J84" s="7">
        <f t="shared" si="10"/>
        <v>5.3999999999999986</v>
      </c>
      <c r="K84" s="14">
        <v>50</v>
      </c>
      <c r="L84" s="4">
        <v>46230</v>
      </c>
      <c r="M84" s="3">
        <v>55.4</v>
      </c>
      <c r="N84" s="193"/>
    </row>
    <row r="85" spans="1:14" x14ac:dyDescent="0.35">
      <c r="A85" s="19"/>
      <c r="B85" s="153"/>
      <c r="C85" s="153"/>
      <c r="D85" s="10" t="s">
        <v>33</v>
      </c>
      <c r="E85" s="7">
        <f t="shared" si="0"/>
        <v>41</v>
      </c>
      <c r="F85" s="7">
        <f t="shared" si="1"/>
        <v>51</v>
      </c>
      <c r="G85" s="9" t="s">
        <v>16</v>
      </c>
      <c r="H85" s="27" t="str">
        <f t="shared" si="9"/>
        <v>Normal</v>
      </c>
      <c r="I85" s="156"/>
      <c r="J85" s="7">
        <f t="shared" si="10"/>
        <v>3.1000000000000014</v>
      </c>
      <c r="K85" s="14">
        <v>30</v>
      </c>
      <c r="L85" s="4">
        <v>46230</v>
      </c>
      <c r="M85" s="3">
        <v>33.1</v>
      </c>
      <c r="N85" s="193"/>
    </row>
    <row r="86" spans="1:14" x14ac:dyDescent="0.35">
      <c r="A86" s="19"/>
      <c r="B86" s="153"/>
      <c r="C86" s="153"/>
      <c r="D86" s="10" t="s">
        <v>34</v>
      </c>
      <c r="E86" s="7">
        <f t="shared" si="0"/>
        <v>41</v>
      </c>
      <c r="F86" s="7">
        <f t="shared" si="1"/>
        <v>51</v>
      </c>
      <c r="G86" s="9" t="s">
        <v>16</v>
      </c>
      <c r="H86" s="27" t="str">
        <f t="shared" si="9"/>
        <v>Normal</v>
      </c>
      <c r="I86" s="156"/>
      <c r="J86" s="7">
        <f t="shared" si="10"/>
        <v>3.2000000000000028</v>
      </c>
      <c r="K86" s="14">
        <v>30</v>
      </c>
      <c r="L86" s="4">
        <v>46230</v>
      </c>
      <c r="M86" s="3">
        <v>33.200000000000003</v>
      </c>
      <c r="N86" s="193"/>
    </row>
    <row r="87" spans="1:14" x14ac:dyDescent="0.35">
      <c r="A87" s="20"/>
      <c r="B87" s="154"/>
      <c r="C87" s="154"/>
      <c r="D87" s="10" t="s">
        <v>35</v>
      </c>
      <c r="E87" s="7">
        <f t="shared" si="0"/>
        <v>41</v>
      </c>
      <c r="F87" s="7">
        <f t="shared" si="1"/>
        <v>51</v>
      </c>
      <c r="G87" s="9" t="s">
        <v>16</v>
      </c>
      <c r="H87" s="27" t="str">
        <f t="shared" si="9"/>
        <v>Normal</v>
      </c>
      <c r="I87" s="157"/>
      <c r="J87" s="7">
        <f t="shared" si="10"/>
        <v>3</v>
      </c>
      <c r="K87" s="14">
        <v>30</v>
      </c>
      <c r="L87" s="4">
        <v>46230</v>
      </c>
      <c r="M87" s="3">
        <v>33</v>
      </c>
      <c r="N87" s="194"/>
    </row>
    <row r="88" spans="1:14" ht="15" customHeight="1" x14ac:dyDescent="0.35">
      <c r="A88" s="18">
        <v>1</v>
      </c>
      <c r="B88" s="152" t="s">
        <v>32</v>
      </c>
      <c r="C88" s="152" t="s">
        <v>171</v>
      </c>
      <c r="D88" s="8" t="s">
        <v>15</v>
      </c>
      <c r="E88" s="7">
        <f t="shared" si="0"/>
        <v>71</v>
      </c>
      <c r="F88" s="7">
        <f t="shared" si="1"/>
        <v>81</v>
      </c>
      <c r="G88" s="9" t="s">
        <v>16</v>
      </c>
      <c r="H88" s="27" t="str">
        <f t="shared" si="9"/>
        <v>STD BY</v>
      </c>
      <c r="I88" s="155" t="str">
        <f>IF(COUNTIF(H88:H94,"-")&gt;0,("-"),(IF(COUNTIF(H88:H94,"STD BY")&gt;0,("STD BY"),(IF(COUNTIF(H88:H94,"N/A")&gt;0,("N/A"),(IF(COUNTIF(H88:H94,"Critical")&gt;0,("Critical"),(IF(COUNTIF(H88:H94,"High")&gt;0,("High"),(IF(COUNTIF(H88:H94,"Medium")&gt;0,("Medium"),(IF(COUNTIF(H88:H94,"Low")&gt;0,("Low"),("Normal"))))))))))))))</f>
        <v>STD BY</v>
      </c>
      <c r="J88" s="7" t="str">
        <f t="shared" si="10"/>
        <v>STD BY</v>
      </c>
      <c r="K88" s="14">
        <v>60</v>
      </c>
      <c r="L88" s="6"/>
      <c r="M88" s="5" t="s">
        <v>376</v>
      </c>
      <c r="N88" s="147" t="s">
        <v>371</v>
      </c>
    </row>
    <row r="89" spans="1:14" x14ac:dyDescent="0.35">
      <c r="A89" s="19"/>
      <c r="B89" s="153"/>
      <c r="C89" s="153"/>
      <c r="D89" s="10" t="s">
        <v>17</v>
      </c>
      <c r="E89" s="7">
        <f t="shared" si="0"/>
        <v>61</v>
      </c>
      <c r="F89" s="7">
        <f t="shared" si="1"/>
        <v>71</v>
      </c>
      <c r="G89" s="9" t="s">
        <v>16</v>
      </c>
      <c r="H89" s="27" t="str">
        <f t="shared" si="9"/>
        <v>STD BY</v>
      </c>
      <c r="I89" s="156"/>
      <c r="J89" s="7" t="str">
        <f t="shared" si="10"/>
        <v>STD BY</v>
      </c>
      <c r="K89" s="14">
        <v>50</v>
      </c>
      <c r="L89" s="6"/>
      <c r="M89" s="5" t="s">
        <v>376</v>
      </c>
      <c r="N89" s="188"/>
    </row>
    <row r="90" spans="1:14" x14ac:dyDescent="0.35">
      <c r="A90" s="19"/>
      <c r="B90" s="153"/>
      <c r="C90" s="153"/>
      <c r="D90" s="10" t="s">
        <v>18</v>
      </c>
      <c r="E90" s="7">
        <f t="shared" si="0"/>
        <v>71</v>
      </c>
      <c r="F90" s="7">
        <f t="shared" si="1"/>
        <v>81</v>
      </c>
      <c r="G90" s="9" t="s">
        <v>16</v>
      </c>
      <c r="H90" s="27" t="str">
        <f t="shared" si="9"/>
        <v>STD BY</v>
      </c>
      <c r="I90" s="156"/>
      <c r="J90" s="7" t="str">
        <f t="shared" si="10"/>
        <v>STD BY</v>
      </c>
      <c r="K90" s="14">
        <v>60</v>
      </c>
      <c r="L90" s="6"/>
      <c r="M90" s="5" t="s">
        <v>376</v>
      </c>
      <c r="N90" s="188"/>
    </row>
    <row r="91" spans="1:14" x14ac:dyDescent="0.35">
      <c r="A91" s="19"/>
      <c r="B91" s="153"/>
      <c r="C91" s="153"/>
      <c r="D91" s="10" t="s">
        <v>19</v>
      </c>
      <c r="E91" s="7">
        <f t="shared" si="0"/>
        <v>71</v>
      </c>
      <c r="F91" s="7">
        <f t="shared" si="1"/>
        <v>81</v>
      </c>
      <c r="G91" s="9" t="s">
        <v>16</v>
      </c>
      <c r="H91" s="27" t="str">
        <f t="shared" si="9"/>
        <v>STD BY</v>
      </c>
      <c r="I91" s="156"/>
      <c r="J91" s="7" t="str">
        <f t="shared" si="10"/>
        <v>STD BY</v>
      </c>
      <c r="K91" s="14">
        <v>60</v>
      </c>
      <c r="L91" s="6"/>
      <c r="M91" s="5" t="s">
        <v>376</v>
      </c>
      <c r="N91" s="188"/>
    </row>
    <row r="92" spans="1:14" x14ac:dyDescent="0.35">
      <c r="A92" s="19"/>
      <c r="B92" s="153"/>
      <c r="C92" s="153"/>
      <c r="D92" s="10" t="s">
        <v>33</v>
      </c>
      <c r="E92" s="7">
        <f t="shared" si="0"/>
        <v>51</v>
      </c>
      <c r="F92" s="7">
        <f t="shared" si="1"/>
        <v>61</v>
      </c>
      <c r="G92" s="9" t="s">
        <v>16</v>
      </c>
      <c r="H92" s="27" t="str">
        <f t="shared" si="9"/>
        <v>STD BY</v>
      </c>
      <c r="I92" s="156"/>
      <c r="J92" s="7" t="str">
        <f t="shared" si="10"/>
        <v>STD BY</v>
      </c>
      <c r="K92" s="14">
        <v>40</v>
      </c>
      <c r="L92" s="6"/>
      <c r="M92" s="5" t="s">
        <v>376</v>
      </c>
      <c r="N92" s="188"/>
    </row>
    <row r="93" spans="1:14" x14ac:dyDescent="0.35">
      <c r="A93" s="19"/>
      <c r="B93" s="153"/>
      <c r="C93" s="153"/>
      <c r="D93" s="10" t="s">
        <v>34</v>
      </c>
      <c r="E93" s="7">
        <f t="shared" si="0"/>
        <v>51</v>
      </c>
      <c r="F93" s="7">
        <f t="shared" si="1"/>
        <v>61</v>
      </c>
      <c r="G93" s="9" t="s">
        <v>16</v>
      </c>
      <c r="H93" s="27" t="str">
        <f t="shared" si="9"/>
        <v>STD BY</v>
      </c>
      <c r="I93" s="156"/>
      <c r="J93" s="7" t="str">
        <f t="shared" si="10"/>
        <v>STD BY</v>
      </c>
      <c r="K93" s="14">
        <v>40</v>
      </c>
      <c r="L93" s="6"/>
      <c r="M93" s="5" t="s">
        <v>376</v>
      </c>
      <c r="N93" s="188"/>
    </row>
    <row r="94" spans="1:14" x14ac:dyDescent="0.35">
      <c r="A94" s="19"/>
      <c r="B94" s="154"/>
      <c r="C94" s="154"/>
      <c r="D94" s="10" t="s">
        <v>35</v>
      </c>
      <c r="E94" s="7">
        <f t="shared" si="0"/>
        <v>51</v>
      </c>
      <c r="F94" s="7">
        <f>(E94+10)</f>
        <v>61</v>
      </c>
      <c r="G94" s="9" t="s">
        <v>16</v>
      </c>
      <c r="H94" s="27" t="str">
        <f t="shared" si="9"/>
        <v>STD BY</v>
      </c>
      <c r="I94" s="157"/>
      <c r="J94" s="7" t="str">
        <f t="shared" si="10"/>
        <v>STD BY</v>
      </c>
      <c r="K94" s="14">
        <v>40</v>
      </c>
      <c r="L94" s="6"/>
      <c r="M94" s="5" t="s">
        <v>376</v>
      </c>
      <c r="N94" s="189"/>
    </row>
    <row r="95" spans="1:14" ht="15" customHeight="1" x14ac:dyDescent="0.35">
      <c r="A95" s="18">
        <v>1</v>
      </c>
      <c r="B95" s="152" t="s">
        <v>36</v>
      </c>
      <c r="C95" s="152" t="s">
        <v>172</v>
      </c>
      <c r="D95" s="8" t="s">
        <v>15</v>
      </c>
      <c r="E95" s="7">
        <f t="shared" si="0"/>
        <v>71</v>
      </c>
      <c r="F95" s="7">
        <f t="shared" si="1"/>
        <v>81</v>
      </c>
      <c r="G95" s="9" t="s">
        <v>16</v>
      </c>
      <c r="H95" s="27" t="str">
        <f t="shared" si="9"/>
        <v>Low</v>
      </c>
      <c r="I95" s="155" t="str">
        <f>IF(COUNTIF(H95:H101,"-")&gt;0,("-"),(IF(COUNTIF(H95:H101,"STD BY")&gt;0,("STD BY"),(IF(COUNTIF(H95:H101,"N/A")&gt;0,("N/A"),(IF(COUNTIF(H95:H101,"Critical")&gt;0,("Critical"),(IF(COUNTIF(H95:H101,"High")&gt;0,("High"),(IF(COUNTIF(H95:H101,"Medium")&gt;0,("Medium"),(IF(COUNTIF(H95:H101,"Low")&gt;0,("Low"),("Normal"))))))))))))))</f>
        <v>Low</v>
      </c>
      <c r="J95" s="7">
        <f t="shared" ref="J95:J101" si="12">IF(M95="",(""),(IF(M95="STD BY",("STD BY"),(IF(M95="N/A",("N/A"),(IF(M95-K95&gt;0,(M95-K95),(0))))))))</f>
        <v>6.0999999999999943</v>
      </c>
      <c r="K95" s="14">
        <v>60</v>
      </c>
      <c r="L95" s="4">
        <v>46209</v>
      </c>
      <c r="M95" s="3">
        <v>66.099999999999994</v>
      </c>
      <c r="N95" s="147" t="s">
        <v>372</v>
      </c>
    </row>
    <row r="96" spans="1:14" x14ac:dyDescent="0.35">
      <c r="A96" s="19"/>
      <c r="B96" s="153"/>
      <c r="C96" s="153"/>
      <c r="D96" s="10" t="s">
        <v>17</v>
      </c>
      <c r="E96" s="7">
        <f t="shared" si="0"/>
        <v>61</v>
      </c>
      <c r="F96" s="7">
        <f t="shared" si="1"/>
        <v>71</v>
      </c>
      <c r="G96" s="9" t="s">
        <v>16</v>
      </c>
      <c r="H96" s="27" t="str">
        <f t="shared" si="9"/>
        <v>Normal</v>
      </c>
      <c r="I96" s="156"/>
      <c r="J96" s="7">
        <f t="shared" si="12"/>
        <v>0</v>
      </c>
      <c r="K96" s="14">
        <v>50</v>
      </c>
      <c r="L96" s="4">
        <v>46209</v>
      </c>
      <c r="M96" s="3">
        <v>40.799999999999997</v>
      </c>
      <c r="N96" s="188"/>
    </row>
    <row r="97" spans="1:14" x14ac:dyDescent="0.35">
      <c r="A97" s="19"/>
      <c r="B97" s="153"/>
      <c r="C97" s="153"/>
      <c r="D97" s="10" t="s">
        <v>18</v>
      </c>
      <c r="E97" s="7">
        <f t="shared" si="0"/>
        <v>71</v>
      </c>
      <c r="F97" s="7">
        <f t="shared" si="1"/>
        <v>81</v>
      </c>
      <c r="G97" s="9" t="s">
        <v>16</v>
      </c>
      <c r="H97" s="27" t="str">
        <f t="shared" si="9"/>
        <v>Normal</v>
      </c>
      <c r="I97" s="156"/>
      <c r="J97" s="7">
        <f t="shared" si="12"/>
        <v>2.2000000000000028</v>
      </c>
      <c r="K97" s="14">
        <v>60</v>
      </c>
      <c r="L97" s="4">
        <v>46209</v>
      </c>
      <c r="M97" s="3">
        <v>62.2</v>
      </c>
      <c r="N97" s="188"/>
    </row>
    <row r="98" spans="1:14" x14ac:dyDescent="0.35">
      <c r="A98" s="19"/>
      <c r="B98" s="153"/>
      <c r="C98" s="153"/>
      <c r="D98" s="10" t="s">
        <v>19</v>
      </c>
      <c r="E98" s="7">
        <f t="shared" si="0"/>
        <v>71</v>
      </c>
      <c r="F98" s="7">
        <f t="shared" si="1"/>
        <v>81</v>
      </c>
      <c r="G98" s="9" t="s">
        <v>16</v>
      </c>
      <c r="H98" s="27" t="str">
        <f t="shared" si="9"/>
        <v>Normal</v>
      </c>
      <c r="I98" s="156"/>
      <c r="J98" s="7">
        <f t="shared" si="12"/>
        <v>0</v>
      </c>
      <c r="K98" s="14">
        <v>60</v>
      </c>
      <c r="L98" s="4">
        <v>46209</v>
      </c>
      <c r="M98" s="3">
        <v>59.2</v>
      </c>
      <c r="N98" s="188"/>
    </row>
    <row r="99" spans="1:14" x14ac:dyDescent="0.35">
      <c r="A99" s="19"/>
      <c r="B99" s="153"/>
      <c r="C99" s="153"/>
      <c r="D99" s="10" t="s">
        <v>33</v>
      </c>
      <c r="E99" s="7">
        <f t="shared" si="0"/>
        <v>51</v>
      </c>
      <c r="F99" s="7">
        <f t="shared" si="1"/>
        <v>61</v>
      </c>
      <c r="G99" s="9" t="s">
        <v>16</v>
      </c>
      <c r="H99" s="27" t="str">
        <f t="shared" si="9"/>
        <v>Normal</v>
      </c>
      <c r="I99" s="156"/>
      <c r="J99" s="7">
        <f t="shared" si="12"/>
        <v>0</v>
      </c>
      <c r="K99" s="14">
        <v>40</v>
      </c>
      <c r="L99" s="4">
        <v>46209</v>
      </c>
      <c r="M99" s="3">
        <v>38.4</v>
      </c>
      <c r="N99" s="188"/>
    </row>
    <row r="100" spans="1:14" x14ac:dyDescent="0.35">
      <c r="A100" s="19"/>
      <c r="B100" s="153"/>
      <c r="C100" s="153"/>
      <c r="D100" s="10" t="s">
        <v>34</v>
      </c>
      <c r="E100" s="7">
        <f t="shared" si="0"/>
        <v>51</v>
      </c>
      <c r="F100" s="7">
        <f t="shared" si="1"/>
        <v>61</v>
      </c>
      <c r="G100" s="9" t="s">
        <v>16</v>
      </c>
      <c r="H100" s="27" t="str">
        <f t="shared" si="9"/>
        <v>Normal</v>
      </c>
      <c r="I100" s="156"/>
      <c r="J100" s="7">
        <f t="shared" si="12"/>
        <v>0.60000000000000142</v>
      </c>
      <c r="K100" s="14">
        <v>40</v>
      </c>
      <c r="L100" s="4">
        <v>46209</v>
      </c>
      <c r="M100" s="3">
        <v>40.6</v>
      </c>
      <c r="N100" s="188"/>
    </row>
    <row r="101" spans="1:14" x14ac:dyDescent="0.35">
      <c r="A101" s="20"/>
      <c r="B101" s="154"/>
      <c r="C101" s="154"/>
      <c r="D101" s="10" t="s">
        <v>35</v>
      </c>
      <c r="E101" s="7">
        <f t="shared" si="0"/>
        <v>51</v>
      </c>
      <c r="F101" s="7">
        <f t="shared" si="1"/>
        <v>61</v>
      </c>
      <c r="G101" s="9" t="s">
        <v>16</v>
      </c>
      <c r="H101" s="27" t="str">
        <f t="shared" si="9"/>
        <v>Normal</v>
      </c>
      <c r="I101" s="157"/>
      <c r="J101" s="7">
        <f t="shared" si="12"/>
        <v>0</v>
      </c>
      <c r="K101" s="14">
        <v>40</v>
      </c>
      <c r="L101" s="4">
        <v>46209</v>
      </c>
      <c r="M101" s="3">
        <v>37.9</v>
      </c>
      <c r="N101" s="189"/>
    </row>
    <row r="102" spans="1:14" ht="15" customHeight="1" x14ac:dyDescent="0.35">
      <c r="A102" s="18">
        <v>1</v>
      </c>
      <c r="B102" s="152" t="s">
        <v>37</v>
      </c>
      <c r="C102" s="152" t="s">
        <v>173</v>
      </c>
      <c r="D102" s="8" t="s">
        <v>15</v>
      </c>
      <c r="E102" s="7">
        <f t="shared" si="0"/>
        <v>81</v>
      </c>
      <c r="F102" s="7">
        <f t="shared" si="1"/>
        <v>91</v>
      </c>
      <c r="G102" s="9" t="s">
        <v>16</v>
      </c>
      <c r="H102" s="27" t="str">
        <f t="shared" si="9"/>
        <v>Normal</v>
      </c>
      <c r="I102" s="155" t="str">
        <f>IF(COUNTIF(H102:H108,"-")&gt;0,("-"),(IF(COUNTIF(H102:H108,"STD BY")&gt;0,("STD BY"),(IF(COUNTIF(H102:H108,"N/A")&gt;0,("N/A"),(IF(COUNTIF(H102:H108,"Critical")&gt;0,("Critical"),(IF(COUNTIF(H102:H108,"High")&gt;0,("High"),(IF(COUNTIF(H102:H108,"Medium")&gt;0,("Medium"),(IF(COUNTIF(H102:H108,"Low")&gt;0,("Low"),("Normal"))))))))))))))</f>
        <v>Medium</v>
      </c>
      <c r="J102" s="7">
        <f t="shared" si="10"/>
        <v>0</v>
      </c>
      <c r="K102" s="14">
        <v>70</v>
      </c>
      <c r="L102" s="4">
        <v>46217</v>
      </c>
      <c r="M102" s="3">
        <v>65.599999999999994</v>
      </c>
      <c r="N102" s="192" t="s">
        <v>372</v>
      </c>
    </row>
    <row r="103" spans="1:14" x14ac:dyDescent="0.35">
      <c r="A103" s="19"/>
      <c r="B103" s="153"/>
      <c r="C103" s="153"/>
      <c r="D103" s="10" t="s">
        <v>17</v>
      </c>
      <c r="E103" s="7">
        <f t="shared" si="0"/>
        <v>61</v>
      </c>
      <c r="F103" s="7">
        <f t="shared" si="1"/>
        <v>71</v>
      </c>
      <c r="G103" s="9" t="s">
        <v>16</v>
      </c>
      <c r="H103" s="27" t="str">
        <f t="shared" si="9"/>
        <v>Normal</v>
      </c>
      <c r="I103" s="156"/>
      <c r="J103" s="7">
        <f t="shared" si="10"/>
        <v>2.7999999999999972</v>
      </c>
      <c r="K103" s="14">
        <v>50</v>
      </c>
      <c r="L103" s="4">
        <v>46217</v>
      </c>
      <c r="M103" s="3">
        <v>52.8</v>
      </c>
      <c r="N103" s="193"/>
    </row>
    <row r="104" spans="1:14" x14ac:dyDescent="0.35">
      <c r="A104" s="19"/>
      <c r="B104" s="153"/>
      <c r="C104" s="153"/>
      <c r="D104" s="10" t="s">
        <v>18</v>
      </c>
      <c r="E104" s="7">
        <f t="shared" ref="E104:E135" si="13">(K104+11)</f>
        <v>76</v>
      </c>
      <c r="F104" s="7">
        <f t="shared" ref="F104:F135" si="14">(E104+10)</f>
        <v>86</v>
      </c>
      <c r="G104" s="9" t="s">
        <v>16</v>
      </c>
      <c r="H104" s="27" t="str">
        <f t="shared" ref="H104:H135" si="15">IF(J104="",("-"),(IF(J104="STD BY",("STD BY"),(IF(J104="N/A",("N/A"),(IF(J104&lt;5,("Normal"),(IF(J104&lt;11,("Low"),(IF(J104&lt;21,("Medium"),(IF(J104&lt;41,("High"),("Critical"))))))))))))))</f>
        <v>Normal</v>
      </c>
      <c r="I104" s="156"/>
      <c r="J104" s="7">
        <f t="shared" ref="J104:J135" si="16">IF(M104="",(""),(IF(M104="STD BY",("STD BY"),(IF(M104="N/A",("N/A"),(IF(M104-K104&gt;0,(M104-K104),(0))))))))</f>
        <v>1.5</v>
      </c>
      <c r="K104" s="14">
        <v>65</v>
      </c>
      <c r="L104" s="4">
        <v>46217</v>
      </c>
      <c r="M104" s="3">
        <v>66.5</v>
      </c>
      <c r="N104" s="193"/>
    </row>
    <row r="105" spans="1:14" x14ac:dyDescent="0.35">
      <c r="A105" s="19"/>
      <c r="B105" s="153"/>
      <c r="C105" s="153"/>
      <c r="D105" s="10" t="s">
        <v>19</v>
      </c>
      <c r="E105" s="7">
        <f t="shared" si="13"/>
        <v>51</v>
      </c>
      <c r="F105" s="7">
        <f t="shared" si="14"/>
        <v>61</v>
      </c>
      <c r="G105" s="9" t="s">
        <v>16</v>
      </c>
      <c r="H105" s="27" t="str">
        <f t="shared" si="15"/>
        <v>Normal</v>
      </c>
      <c r="I105" s="156"/>
      <c r="J105" s="7">
        <f t="shared" si="16"/>
        <v>3.6000000000000014</v>
      </c>
      <c r="K105" s="14">
        <v>40</v>
      </c>
      <c r="L105" s="4">
        <v>46217</v>
      </c>
      <c r="M105" s="3">
        <v>43.6</v>
      </c>
      <c r="N105" s="193"/>
    </row>
    <row r="106" spans="1:14" x14ac:dyDescent="0.35">
      <c r="A106" s="19"/>
      <c r="B106" s="153"/>
      <c r="C106" s="153"/>
      <c r="D106" s="10" t="s">
        <v>33</v>
      </c>
      <c r="E106" s="7">
        <f t="shared" si="13"/>
        <v>51</v>
      </c>
      <c r="F106" s="7">
        <f t="shared" si="14"/>
        <v>61</v>
      </c>
      <c r="G106" s="9" t="s">
        <v>16</v>
      </c>
      <c r="H106" s="27" t="str">
        <f t="shared" si="15"/>
        <v>Low</v>
      </c>
      <c r="I106" s="156"/>
      <c r="J106" s="7">
        <f t="shared" si="16"/>
        <v>5</v>
      </c>
      <c r="K106" s="14">
        <v>40</v>
      </c>
      <c r="L106" s="4">
        <v>46217</v>
      </c>
      <c r="M106" s="3">
        <v>45</v>
      </c>
      <c r="N106" s="193"/>
    </row>
    <row r="107" spans="1:14" x14ac:dyDescent="0.35">
      <c r="A107" s="19"/>
      <c r="B107" s="153"/>
      <c r="C107" s="153"/>
      <c r="D107" s="10" t="s">
        <v>34</v>
      </c>
      <c r="E107" s="7">
        <f t="shared" si="13"/>
        <v>51</v>
      </c>
      <c r="F107" s="7">
        <f t="shared" si="14"/>
        <v>61</v>
      </c>
      <c r="G107" s="9" t="s">
        <v>16</v>
      </c>
      <c r="H107" s="27" t="str">
        <f t="shared" si="15"/>
        <v>Low</v>
      </c>
      <c r="I107" s="156"/>
      <c r="J107" s="7">
        <f t="shared" si="16"/>
        <v>8.2999999999999972</v>
      </c>
      <c r="K107" s="14">
        <v>40</v>
      </c>
      <c r="L107" s="4">
        <v>46217</v>
      </c>
      <c r="M107" s="3">
        <v>48.3</v>
      </c>
      <c r="N107" s="193"/>
    </row>
    <row r="108" spans="1:14" x14ac:dyDescent="0.35">
      <c r="A108" s="20"/>
      <c r="B108" s="154"/>
      <c r="C108" s="154"/>
      <c r="D108" s="10" t="s">
        <v>35</v>
      </c>
      <c r="E108" s="7">
        <f t="shared" si="13"/>
        <v>51</v>
      </c>
      <c r="F108" s="7">
        <f t="shared" si="14"/>
        <v>61</v>
      </c>
      <c r="G108" s="9" t="s">
        <v>16</v>
      </c>
      <c r="H108" s="27" t="str">
        <f t="shared" si="15"/>
        <v>Medium</v>
      </c>
      <c r="I108" s="157"/>
      <c r="J108" s="7">
        <f t="shared" si="16"/>
        <v>19.5</v>
      </c>
      <c r="K108" s="14">
        <v>40</v>
      </c>
      <c r="L108" s="4">
        <v>46217</v>
      </c>
      <c r="M108" s="3">
        <v>59.5</v>
      </c>
      <c r="N108" s="194"/>
    </row>
    <row r="109" spans="1:14" ht="15" customHeight="1" x14ac:dyDescent="0.35">
      <c r="A109" s="18">
        <v>1</v>
      </c>
      <c r="B109" s="152" t="s">
        <v>38</v>
      </c>
      <c r="C109" s="152" t="s">
        <v>174</v>
      </c>
      <c r="D109" s="8" t="s">
        <v>15</v>
      </c>
      <c r="E109" s="7">
        <f t="shared" si="13"/>
        <v>81</v>
      </c>
      <c r="F109" s="7">
        <f t="shared" si="14"/>
        <v>91</v>
      </c>
      <c r="G109" s="9" t="s">
        <v>16</v>
      </c>
      <c r="H109" s="27" t="str">
        <f t="shared" si="15"/>
        <v>Low</v>
      </c>
      <c r="I109" s="155" t="str">
        <f>IF(COUNTIF(H109:H115,"-")&gt;0,("-"),(IF(COUNTIF(H109:H115,"STD BY")&gt;0,("STD BY"),(IF(COUNTIF(H109:H115,"N/A")&gt;0,("N/A"),(IF(COUNTIF(H109:H115,"Critical")&gt;0,("Critical"),(IF(COUNTIF(H109:H115,"High")&gt;0,("High"),(IF(COUNTIF(H109:H115,"Medium")&gt;0,("Medium"),(IF(COUNTIF(H109:H115,"Low")&gt;0,("Low"),("Normal"))))))))))))))</f>
        <v>Medium</v>
      </c>
      <c r="J109" s="7">
        <f t="shared" si="16"/>
        <v>7.5999999999999943</v>
      </c>
      <c r="K109" s="14">
        <v>70</v>
      </c>
      <c r="L109" s="4">
        <v>46209</v>
      </c>
      <c r="M109" s="3">
        <v>77.599999999999994</v>
      </c>
      <c r="N109" s="186" t="s">
        <v>372</v>
      </c>
    </row>
    <row r="110" spans="1:14" x14ac:dyDescent="0.35">
      <c r="A110" s="19"/>
      <c r="B110" s="153"/>
      <c r="C110" s="153"/>
      <c r="D110" s="10" t="s">
        <v>17</v>
      </c>
      <c r="E110" s="7">
        <f t="shared" si="13"/>
        <v>61</v>
      </c>
      <c r="F110" s="7">
        <f t="shared" si="14"/>
        <v>71</v>
      </c>
      <c r="G110" s="9" t="s">
        <v>16</v>
      </c>
      <c r="H110" s="27" t="str">
        <f t="shared" si="15"/>
        <v>Normal</v>
      </c>
      <c r="I110" s="156"/>
      <c r="J110" s="7">
        <f t="shared" si="16"/>
        <v>0.5</v>
      </c>
      <c r="K110" s="14">
        <v>50</v>
      </c>
      <c r="L110" s="4">
        <v>46209</v>
      </c>
      <c r="M110" s="3">
        <v>50.5</v>
      </c>
      <c r="N110" s="187"/>
    </row>
    <row r="111" spans="1:14" x14ac:dyDescent="0.35">
      <c r="A111" s="19"/>
      <c r="B111" s="153"/>
      <c r="C111" s="153"/>
      <c r="D111" s="10" t="s">
        <v>18</v>
      </c>
      <c r="E111" s="7">
        <f t="shared" si="13"/>
        <v>76</v>
      </c>
      <c r="F111" s="7">
        <f t="shared" si="14"/>
        <v>86</v>
      </c>
      <c r="G111" s="9" t="s">
        <v>16</v>
      </c>
      <c r="H111" s="27" t="str">
        <f t="shared" si="15"/>
        <v>Normal</v>
      </c>
      <c r="I111" s="156"/>
      <c r="J111" s="7">
        <f t="shared" si="16"/>
        <v>0</v>
      </c>
      <c r="K111" s="14">
        <v>65</v>
      </c>
      <c r="L111" s="4">
        <v>46209</v>
      </c>
      <c r="M111" s="3">
        <v>57.1</v>
      </c>
      <c r="N111" s="187"/>
    </row>
    <row r="112" spans="1:14" x14ac:dyDescent="0.35">
      <c r="A112" s="19"/>
      <c r="B112" s="153"/>
      <c r="C112" s="153"/>
      <c r="D112" s="10" t="s">
        <v>19</v>
      </c>
      <c r="E112" s="7">
        <f t="shared" si="13"/>
        <v>51</v>
      </c>
      <c r="F112" s="7">
        <f t="shared" si="14"/>
        <v>61</v>
      </c>
      <c r="G112" s="9" t="s">
        <v>16</v>
      </c>
      <c r="H112" s="27" t="str">
        <f t="shared" si="15"/>
        <v>Medium</v>
      </c>
      <c r="I112" s="156"/>
      <c r="J112" s="7">
        <f t="shared" si="16"/>
        <v>15.799999999999997</v>
      </c>
      <c r="K112" s="14">
        <v>40</v>
      </c>
      <c r="L112" s="4">
        <v>46209</v>
      </c>
      <c r="M112" s="3">
        <v>55.8</v>
      </c>
      <c r="N112" s="187"/>
    </row>
    <row r="113" spans="1:14" x14ac:dyDescent="0.35">
      <c r="A113" s="19"/>
      <c r="B113" s="153"/>
      <c r="C113" s="153"/>
      <c r="D113" s="10" t="s">
        <v>33</v>
      </c>
      <c r="E113" s="7">
        <f t="shared" si="13"/>
        <v>51</v>
      </c>
      <c r="F113" s="7">
        <f t="shared" si="14"/>
        <v>61</v>
      </c>
      <c r="G113" s="9" t="s">
        <v>16</v>
      </c>
      <c r="H113" s="27" t="str">
        <f t="shared" si="15"/>
        <v>Low</v>
      </c>
      <c r="I113" s="156"/>
      <c r="J113" s="7">
        <f t="shared" si="16"/>
        <v>5</v>
      </c>
      <c r="K113" s="14">
        <v>40</v>
      </c>
      <c r="L113" s="4">
        <v>46209</v>
      </c>
      <c r="M113" s="3">
        <v>45</v>
      </c>
      <c r="N113" s="187"/>
    </row>
    <row r="114" spans="1:14" x14ac:dyDescent="0.35">
      <c r="A114" s="19"/>
      <c r="B114" s="153"/>
      <c r="C114" s="153"/>
      <c r="D114" s="10" t="s">
        <v>34</v>
      </c>
      <c r="E114" s="7">
        <f t="shared" si="13"/>
        <v>51</v>
      </c>
      <c r="F114" s="7">
        <f t="shared" si="14"/>
        <v>61</v>
      </c>
      <c r="G114" s="9" t="s">
        <v>16</v>
      </c>
      <c r="H114" s="27" t="str">
        <f t="shared" si="15"/>
        <v>Low</v>
      </c>
      <c r="I114" s="156"/>
      <c r="J114" s="7">
        <f t="shared" si="16"/>
        <v>9.1000000000000014</v>
      </c>
      <c r="K114" s="14">
        <v>40</v>
      </c>
      <c r="L114" s="4">
        <v>46209</v>
      </c>
      <c r="M114" s="3">
        <v>49.1</v>
      </c>
      <c r="N114" s="187"/>
    </row>
    <row r="115" spans="1:14" x14ac:dyDescent="0.35">
      <c r="A115" s="20"/>
      <c r="B115" s="154"/>
      <c r="C115" s="154"/>
      <c r="D115" s="10" t="s">
        <v>35</v>
      </c>
      <c r="E115" s="7">
        <f t="shared" si="13"/>
        <v>51</v>
      </c>
      <c r="F115" s="7">
        <f t="shared" si="14"/>
        <v>61</v>
      </c>
      <c r="G115" s="9" t="s">
        <v>16</v>
      </c>
      <c r="H115" s="27" t="str">
        <f t="shared" si="15"/>
        <v>Medium</v>
      </c>
      <c r="I115" s="157"/>
      <c r="J115" s="7">
        <f t="shared" si="16"/>
        <v>16.299999999999997</v>
      </c>
      <c r="K115" s="14">
        <v>40</v>
      </c>
      <c r="L115" s="4">
        <v>46209</v>
      </c>
      <c r="M115" s="3">
        <v>56.3</v>
      </c>
      <c r="N115" s="187"/>
    </row>
    <row r="116" spans="1:14" ht="15" customHeight="1" x14ac:dyDescent="0.35">
      <c r="A116" s="18">
        <v>1</v>
      </c>
      <c r="B116" s="152" t="s">
        <v>39</v>
      </c>
      <c r="C116" s="152" t="s">
        <v>175</v>
      </c>
      <c r="D116" s="8" t="s">
        <v>15</v>
      </c>
      <c r="E116" s="7">
        <f t="shared" si="13"/>
        <v>71</v>
      </c>
      <c r="F116" s="7">
        <f t="shared" si="14"/>
        <v>81</v>
      </c>
      <c r="G116" s="9" t="s">
        <v>16</v>
      </c>
      <c r="H116" s="27" t="str">
        <f t="shared" si="15"/>
        <v>Normal</v>
      </c>
      <c r="I116" s="155" t="str">
        <f>IF(COUNTIF(H116:H123,"-")&gt;0,("-"),(IF(COUNTIF(H116:H123,"STD BY")&gt;0,("STD BY"),(IF(COUNTIF(H116:H123,"N/A")&gt;0,("N/A"),(IF(COUNTIF(H116:H123,"Critical")&gt;0,("Critical"),(IF(COUNTIF(H116:H123,"High")&gt;0,("High"),(IF(COUNTIF(H116:H123,"Medium")&gt;0,("Medium"),(IF(COUNTIF(H116:H123,"Low")&gt;0,("Low"),("Normal"))))))))))))))</f>
        <v>Medium</v>
      </c>
      <c r="J116" s="7">
        <f t="shared" si="16"/>
        <v>1.2000000000000028</v>
      </c>
      <c r="K116" s="14">
        <v>60</v>
      </c>
      <c r="L116" s="4">
        <v>46230</v>
      </c>
      <c r="M116" s="3">
        <v>61.2</v>
      </c>
      <c r="N116" s="186" t="s">
        <v>372</v>
      </c>
    </row>
    <row r="117" spans="1:14" x14ac:dyDescent="0.35">
      <c r="A117" s="19"/>
      <c r="B117" s="153"/>
      <c r="C117" s="153"/>
      <c r="D117" s="10" t="s">
        <v>17</v>
      </c>
      <c r="E117" s="7">
        <f t="shared" si="13"/>
        <v>61</v>
      </c>
      <c r="F117" s="7">
        <f t="shared" si="14"/>
        <v>71</v>
      </c>
      <c r="G117" s="9" t="s">
        <v>16</v>
      </c>
      <c r="H117" s="27" t="str">
        <f t="shared" si="15"/>
        <v>Normal</v>
      </c>
      <c r="I117" s="156"/>
      <c r="J117" s="7">
        <f t="shared" si="16"/>
        <v>0.39999999999999858</v>
      </c>
      <c r="K117" s="14">
        <v>50</v>
      </c>
      <c r="L117" s="4">
        <v>46230</v>
      </c>
      <c r="M117" s="3">
        <v>50.4</v>
      </c>
      <c r="N117" s="187"/>
    </row>
    <row r="118" spans="1:14" x14ac:dyDescent="0.35">
      <c r="A118" s="19"/>
      <c r="B118" s="153"/>
      <c r="C118" s="153"/>
      <c r="D118" s="10" t="s">
        <v>18</v>
      </c>
      <c r="E118" s="7">
        <f t="shared" si="13"/>
        <v>71</v>
      </c>
      <c r="F118" s="7">
        <f t="shared" si="14"/>
        <v>81</v>
      </c>
      <c r="G118" s="9" t="s">
        <v>16</v>
      </c>
      <c r="H118" s="27" t="str">
        <f t="shared" si="15"/>
        <v>Normal</v>
      </c>
      <c r="I118" s="156"/>
      <c r="J118" s="7">
        <f t="shared" si="16"/>
        <v>1.3999999999999986</v>
      </c>
      <c r="K118" s="14">
        <v>60</v>
      </c>
      <c r="L118" s="4">
        <v>46230</v>
      </c>
      <c r="M118" s="3">
        <v>61.4</v>
      </c>
      <c r="N118" s="187"/>
    </row>
    <row r="119" spans="1:14" x14ac:dyDescent="0.35">
      <c r="A119" s="19"/>
      <c r="B119" s="153"/>
      <c r="C119" s="153"/>
      <c r="D119" s="10" t="s">
        <v>19</v>
      </c>
      <c r="E119" s="7">
        <f t="shared" si="13"/>
        <v>61</v>
      </c>
      <c r="F119" s="7">
        <f t="shared" si="14"/>
        <v>71</v>
      </c>
      <c r="G119" s="9" t="s">
        <v>16</v>
      </c>
      <c r="H119" s="27" t="str">
        <f t="shared" si="15"/>
        <v>Normal</v>
      </c>
      <c r="I119" s="156"/>
      <c r="J119" s="7">
        <f t="shared" si="16"/>
        <v>0</v>
      </c>
      <c r="K119" s="14">
        <v>50</v>
      </c>
      <c r="L119" s="4">
        <v>46230</v>
      </c>
      <c r="M119" s="3">
        <v>46</v>
      </c>
      <c r="N119" s="187"/>
    </row>
    <row r="120" spans="1:14" x14ac:dyDescent="0.35">
      <c r="A120" s="19"/>
      <c r="B120" s="153"/>
      <c r="C120" s="153"/>
      <c r="D120" s="10" t="s">
        <v>22</v>
      </c>
      <c r="E120" s="7">
        <f t="shared" si="13"/>
        <v>61</v>
      </c>
      <c r="F120" s="7">
        <f t="shared" si="14"/>
        <v>71</v>
      </c>
      <c r="G120" s="9" t="s">
        <v>16</v>
      </c>
      <c r="H120" s="27" t="str">
        <f t="shared" si="15"/>
        <v>Normal</v>
      </c>
      <c r="I120" s="156"/>
      <c r="J120" s="7">
        <f t="shared" si="16"/>
        <v>0</v>
      </c>
      <c r="K120" s="14">
        <v>50</v>
      </c>
      <c r="L120" s="4">
        <v>46230</v>
      </c>
      <c r="M120" s="3">
        <v>49.1</v>
      </c>
      <c r="N120" s="187"/>
    </row>
    <row r="121" spans="1:14" x14ac:dyDescent="0.35">
      <c r="A121" s="19"/>
      <c r="B121" s="153"/>
      <c r="C121" s="153"/>
      <c r="D121" s="10" t="s">
        <v>33</v>
      </c>
      <c r="E121" s="7">
        <f t="shared" si="13"/>
        <v>51</v>
      </c>
      <c r="F121" s="7">
        <f t="shared" si="14"/>
        <v>61</v>
      </c>
      <c r="G121" s="9" t="s">
        <v>16</v>
      </c>
      <c r="H121" s="27" t="str">
        <f t="shared" si="15"/>
        <v>Medium</v>
      </c>
      <c r="I121" s="156"/>
      <c r="J121" s="7">
        <f t="shared" si="16"/>
        <v>11.5</v>
      </c>
      <c r="K121" s="14">
        <v>40</v>
      </c>
      <c r="L121" s="4">
        <v>46230</v>
      </c>
      <c r="M121" s="3">
        <v>51.5</v>
      </c>
      <c r="N121" s="187"/>
    </row>
    <row r="122" spans="1:14" x14ac:dyDescent="0.35">
      <c r="A122" s="19"/>
      <c r="B122" s="153"/>
      <c r="C122" s="153"/>
      <c r="D122" s="10" t="s">
        <v>34</v>
      </c>
      <c r="E122" s="7">
        <f t="shared" si="13"/>
        <v>51</v>
      </c>
      <c r="F122" s="7">
        <f t="shared" si="14"/>
        <v>61</v>
      </c>
      <c r="G122" s="9" t="s">
        <v>16</v>
      </c>
      <c r="H122" s="27" t="str">
        <f t="shared" si="15"/>
        <v>Low</v>
      </c>
      <c r="I122" s="156"/>
      <c r="J122" s="7">
        <f t="shared" si="16"/>
        <v>7.2000000000000028</v>
      </c>
      <c r="K122" s="14">
        <v>40</v>
      </c>
      <c r="L122" s="4">
        <v>46230</v>
      </c>
      <c r="M122" s="3">
        <v>47.2</v>
      </c>
      <c r="N122" s="187"/>
    </row>
    <row r="123" spans="1:14" x14ac:dyDescent="0.35">
      <c r="A123" s="20"/>
      <c r="B123" s="154"/>
      <c r="C123" s="154"/>
      <c r="D123" s="10" t="s">
        <v>35</v>
      </c>
      <c r="E123" s="7">
        <f t="shared" si="13"/>
        <v>51</v>
      </c>
      <c r="F123" s="7">
        <f t="shared" si="14"/>
        <v>61</v>
      </c>
      <c r="G123" s="9" t="s">
        <v>16</v>
      </c>
      <c r="H123" s="27" t="str">
        <f t="shared" si="15"/>
        <v>Normal</v>
      </c>
      <c r="I123" s="157"/>
      <c r="J123" s="7">
        <f t="shared" si="16"/>
        <v>1.3999999999999986</v>
      </c>
      <c r="K123" s="14">
        <v>40</v>
      </c>
      <c r="L123" s="4">
        <v>46230</v>
      </c>
      <c r="M123" s="3">
        <v>41.4</v>
      </c>
      <c r="N123" s="187"/>
    </row>
    <row r="124" spans="1:14" ht="15" customHeight="1" x14ac:dyDescent="0.35">
      <c r="A124" s="18">
        <v>1</v>
      </c>
      <c r="B124" s="152" t="s">
        <v>40</v>
      </c>
      <c r="C124" s="152" t="s">
        <v>176</v>
      </c>
      <c r="D124" s="8" t="s">
        <v>15</v>
      </c>
      <c r="E124" s="7">
        <f t="shared" si="13"/>
        <v>71</v>
      </c>
      <c r="F124" s="7">
        <f t="shared" si="14"/>
        <v>81</v>
      </c>
      <c r="G124" s="9" t="s">
        <v>16</v>
      </c>
      <c r="H124" s="27" t="str">
        <f t="shared" si="15"/>
        <v>Normal</v>
      </c>
      <c r="I124" s="155" t="str">
        <f>IF(COUNTIF(H124:H131,"-")&gt;0,("-"),(IF(COUNTIF(H124:H131,"STD BY")&gt;0,("STD BY"),(IF(COUNTIF(H124:H131,"N/A")&gt;0,("N/A"),(IF(COUNTIF(H124:H131,"Critical")&gt;0,("Critical"),(IF(COUNTIF(H124:H131,"High")&gt;0,("High"),(IF(COUNTIF(H124:H131,"Medium")&gt;0,("Medium"),(IF(COUNTIF(H124:H131,"Low")&gt;0,("Low"),("Normal"))))))))))))))</f>
        <v>Low</v>
      </c>
      <c r="J124" s="7">
        <f t="shared" si="16"/>
        <v>0.70000000000000284</v>
      </c>
      <c r="K124" s="14">
        <v>60</v>
      </c>
      <c r="L124" s="4">
        <v>46230</v>
      </c>
      <c r="M124" s="3">
        <v>60.7</v>
      </c>
      <c r="N124" s="186" t="s">
        <v>372</v>
      </c>
    </row>
    <row r="125" spans="1:14" x14ac:dyDescent="0.35">
      <c r="A125" s="19"/>
      <c r="B125" s="153"/>
      <c r="C125" s="153"/>
      <c r="D125" s="10" t="s">
        <v>17</v>
      </c>
      <c r="E125" s="7">
        <f t="shared" si="13"/>
        <v>61</v>
      </c>
      <c r="F125" s="7">
        <f t="shared" si="14"/>
        <v>71</v>
      </c>
      <c r="G125" s="9" t="s">
        <v>16</v>
      </c>
      <c r="H125" s="27" t="str">
        <f t="shared" si="15"/>
        <v>Normal</v>
      </c>
      <c r="I125" s="156"/>
      <c r="J125" s="7">
        <f t="shared" si="16"/>
        <v>4.7000000000000028</v>
      </c>
      <c r="K125" s="14">
        <v>50</v>
      </c>
      <c r="L125" s="4">
        <v>46230</v>
      </c>
      <c r="M125" s="3">
        <v>54.7</v>
      </c>
      <c r="N125" s="187"/>
    </row>
    <row r="126" spans="1:14" x14ac:dyDescent="0.35">
      <c r="A126" s="19"/>
      <c r="B126" s="153"/>
      <c r="C126" s="153"/>
      <c r="D126" s="10" t="s">
        <v>18</v>
      </c>
      <c r="E126" s="7">
        <f t="shared" si="13"/>
        <v>71</v>
      </c>
      <c r="F126" s="7">
        <f t="shared" si="14"/>
        <v>81</v>
      </c>
      <c r="G126" s="9" t="s">
        <v>16</v>
      </c>
      <c r="H126" s="27" t="str">
        <f t="shared" si="15"/>
        <v>Normal</v>
      </c>
      <c r="I126" s="156"/>
      <c r="J126" s="7">
        <f t="shared" si="16"/>
        <v>0.70000000000000284</v>
      </c>
      <c r="K126" s="14">
        <v>60</v>
      </c>
      <c r="L126" s="4">
        <v>46230</v>
      </c>
      <c r="M126" s="3">
        <v>60.7</v>
      </c>
      <c r="N126" s="187"/>
    </row>
    <row r="127" spans="1:14" x14ac:dyDescent="0.35">
      <c r="A127" s="19"/>
      <c r="B127" s="153"/>
      <c r="C127" s="153"/>
      <c r="D127" s="10" t="s">
        <v>19</v>
      </c>
      <c r="E127" s="7">
        <f t="shared" si="13"/>
        <v>61</v>
      </c>
      <c r="F127" s="7">
        <f t="shared" si="14"/>
        <v>71</v>
      </c>
      <c r="G127" s="9" t="s">
        <v>16</v>
      </c>
      <c r="H127" s="27" t="str">
        <f t="shared" si="15"/>
        <v>Normal</v>
      </c>
      <c r="I127" s="156"/>
      <c r="J127" s="7">
        <f t="shared" si="16"/>
        <v>0</v>
      </c>
      <c r="K127" s="14">
        <v>50</v>
      </c>
      <c r="L127" s="4">
        <v>46230</v>
      </c>
      <c r="M127" s="3">
        <v>47.9</v>
      </c>
      <c r="N127" s="187"/>
    </row>
    <row r="128" spans="1:14" x14ac:dyDescent="0.35">
      <c r="A128" s="19"/>
      <c r="B128" s="153"/>
      <c r="C128" s="153"/>
      <c r="D128" s="10" t="s">
        <v>22</v>
      </c>
      <c r="E128" s="7">
        <f t="shared" si="13"/>
        <v>61</v>
      </c>
      <c r="F128" s="7">
        <f t="shared" si="14"/>
        <v>71</v>
      </c>
      <c r="G128" s="9" t="s">
        <v>16</v>
      </c>
      <c r="H128" s="27" t="str">
        <f t="shared" si="15"/>
        <v>Low</v>
      </c>
      <c r="I128" s="156"/>
      <c r="J128" s="7">
        <f t="shared" si="16"/>
        <v>9.1000000000000014</v>
      </c>
      <c r="K128" s="14">
        <v>50</v>
      </c>
      <c r="L128" s="4">
        <v>46230</v>
      </c>
      <c r="M128" s="3">
        <v>59.1</v>
      </c>
      <c r="N128" s="187"/>
    </row>
    <row r="129" spans="1:14" x14ac:dyDescent="0.35">
      <c r="A129" s="19"/>
      <c r="B129" s="153"/>
      <c r="C129" s="153"/>
      <c r="D129" s="10" t="s">
        <v>33</v>
      </c>
      <c r="E129" s="7">
        <f t="shared" si="13"/>
        <v>51</v>
      </c>
      <c r="F129" s="7">
        <f t="shared" si="14"/>
        <v>61</v>
      </c>
      <c r="G129" s="9" t="s">
        <v>16</v>
      </c>
      <c r="H129" s="27" t="str">
        <f t="shared" si="15"/>
        <v>Normal</v>
      </c>
      <c r="I129" s="156"/>
      <c r="J129" s="7">
        <f t="shared" si="16"/>
        <v>3.7000000000000028</v>
      </c>
      <c r="K129" s="14">
        <v>40</v>
      </c>
      <c r="L129" s="4">
        <v>46230</v>
      </c>
      <c r="M129" s="3">
        <v>43.7</v>
      </c>
      <c r="N129" s="187"/>
    </row>
    <row r="130" spans="1:14" x14ac:dyDescent="0.35">
      <c r="A130" s="19"/>
      <c r="B130" s="153"/>
      <c r="C130" s="153"/>
      <c r="D130" s="10" t="s">
        <v>34</v>
      </c>
      <c r="E130" s="7">
        <f t="shared" si="13"/>
        <v>51</v>
      </c>
      <c r="F130" s="7">
        <f t="shared" si="14"/>
        <v>61</v>
      </c>
      <c r="G130" s="9" t="s">
        <v>16</v>
      </c>
      <c r="H130" s="27" t="str">
        <f t="shared" si="15"/>
        <v>Normal</v>
      </c>
      <c r="I130" s="156"/>
      <c r="J130" s="7">
        <f t="shared" si="16"/>
        <v>0.5</v>
      </c>
      <c r="K130" s="14">
        <v>40</v>
      </c>
      <c r="L130" s="4">
        <v>46230</v>
      </c>
      <c r="M130" s="3">
        <v>40.5</v>
      </c>
      <c r="N130" s="187"/>
    </row>
    <row r="131" spans="1:14" x14ac:dyDescent="0.35">
      <c r="A131" s="20"/>
      <c r="B131" s="154"/>
      <c r="C131" s="154"/>
      <c r="D131" s="10" t="s">
        <v>35</v>
      </c>
      <c r="E131" s="7">
        <f t="shared" si="13"/>
        <v>51</v>
      </c>
      <c r="F131" s="7">
        <f t="shared" si="14"/>
        <v>61</v>
      </c>
      <c r="G131" s="9" t="s">
        <v>16</v>
      </c>
      <c r="H131" s="27" t="str">
        <f t="shared" si="15"/>
        <v>Normal</v>
      </c>
      <c r="I131" s="157"/>
      <c r="J131" s="7">
        <f t="shared" si="16"/>
        <v>0</v>
      </c>
      <c r="K131" s="14">
        <v>40</v>
      </c>
      <c r="L131" s="4">
        <v>46230</v>
      </c>
      <c r="M131" s="3">
        <v>39.200000000000003</v>
      </c>
      <c r="N131" s="187"/>
    </row>
    <row r="132" spans="1:14" ht="15" customHeight="1" x14ac:dyDescent="0.35">
      <c r="A132" s="18">
        <v>1</v>
      </c>
      <c r="B132" s="152" t="s">
        <v>130</v>
      </c>
      <c r="C132" s="152" t="s">
        <v>177</v>
      </c>
      <c r="D132" s="8" t="s">
        <v>15</v>
      </c>
      <c r="E132" s="7">
        <f t="shared" si="13"/>
        <v>61</v>
      </c>
      <c r="F132" s="7">
        <f t="shared" si="14"/>
        <v>71</v>
      </c>
      <c r="G132" s="9" t="s">
        <v>16</v>
      </c>
      <c r="H132" s="27" t="str">
        <f t="shared" si="15"/>
        <v>Normal</v>
      </c>
      <c r="I132" s="155" t="str">
        <f>IF(COUNTIF(H132:H134,"-")&gt;0,("-"),(IF(COUNTIF(H132:H134,"STD BY")&gt;0,("STD BY"),(IF(COUNTIF(H132:H134,"N/A")&gt;0,("N/A"),(IF(COUNTIF(H132:H134,"Critical")&gt;0,("Critical"),(IF(COUNTIF(H132:H134,"High")&gt;0,("High"),(IF(COUNTIF(H132:H134,"Medium")&gt;0,("Medium"),(IF(COUNTIF(H132:H134,"Low")&gt;0,("Low"),("Normal"))))))))))))))</f>
        <v>Normal</v>
      </c>
      <c r="J132" s="7">
        <f t="shared" si="16"/>
        <v>1.7000000000000028</v>
      </c>
      <c r="K132" s="14">
        <v>50</v>
      </c>
      <c r="L132" s="4">
        <v>46231</v>
      </c>
      <c r="M132" s="3">
        <v>51.7</v>
      </c>
      <c r="N132" s="196" t="s">
        <v>372</v>
      </c>
    </row>
    <row r="133" spans="1:14" x14ac:dyDescent="0.35">
      <c r="A133" s="19"/>
      <c r="B133" s="153"/>
      <c r="C133" s="153"/>
      <c r="D133" s="10" t="s">
        <v>17</v>
      </c>
      <c r="E133" s="7">
        <f t="shared" si="13"/>
        <v>61</v>
      </c>
      <c r="F133" s="7">
        <f t="shared" si="14"/>
        <v>71</v>
      </c>
      <c r="G133" s="9" t="s">
        <v>16</v>
      </c>
      <c r="H133" s="27" t="str">
        <f t="shared" si="15"/>
        <v>Normal</v>
      </c>
      <c r="I133" s="156"/>
      <c r="J133" s="7">
        <f t="shared" si="16"/>
        <v>0</v>
      </c>
      <c r="K133" s="14">
        <v>50</v>
      </c>
      <c r="L133" s="4">
        <v>46231</v>
      </c>
      <c r="M133" s="3">
        <v>40.799999999999997</v>
      </c>
      <c r="N133" s="148"/>
    </row>
    <row r="134" spans="1:14" x14ac:dyDescent="0.35">
      <c r="A134" s="19"/>
      <c r="B134" s="154"/>
      <c r="C134" s="154"/>
      <c r="D134" s="10" t="s">
        <v>18</v>
      </c>
      <c r="E134" s="7">
        <f t="shared" si="13"/>
        <v>61</v>
      </c>
      <c r="F134" s="7">
        <f t="shared" si="14"/>
        <v>71</v>
      </c>
      <c r="G134" s="9" t="s">
        <v>16</v>
      </c>
      <c r="H134" s="27" t="str">
        <f t="shared" si="15"/>
        <v>Normal</v>
      </c>
      <c r="I134" s="157"/>
      <c r="J134" s="7">
        <f t="shared" si="16"/>
        <v>0</v>
      </c>
      <c r="K134" s="14">
        <v>50</v>
      </c>
      <c r="L134" s="4">
        <v>46231</v>
      </c>
      <c r="M134" s="3">
        <v>48.3</v>
      </c>
      <c r="N134" s="149"/>
    </row>
    <row r="135" spans="1:14" ht="15" customHeight="1" x14ac:dyDescent="0.35">
      <c r="A135" s="18">
        <v>1</v>
      </c>
      <c r="B135" s="152" t="s">
        <v>131</v>
      </c>
      <c r="C135" s="152" t="s">
        <v>178</v>
      </c>
      <c r="D135" s="8" t="s">
        <v>15</v>
      </c>
      <c r="E135" s="7">
        <f t="shared" si="13"/>
        <v>61</v>
      </c>
      <c r="F135" s="7">
        <f t="shared" si="14"/>
        <v>71</v>
      </c>
      <c r="G135" s="9" t="s">
        <v>16</v>
      </c>
      <c r="H135" s="27" t="str">
        <f t="shared" si="15"/>
        <v>STD BY</v>
      </c>
      <c r="I135" s="155" t="str">
        <f>IF(COUNTIF(H135:H137,"-")&gt;0,("-"),(IF(COUNTIF(H135:H137,"STD BY")&gt;0,("STD BY"),(IF(COUNTIF(H135:H137,"N/A")&gt;0,("N/A"),(IF(COUNTIF(H135:H137,"Critical")&gt;0,("Critical"),(IF(COUNTIF(H135:H137,"High")&gt;0,("High"),(IF(COUNTIF(H135:H137,"Medium")&gt;0,("Medium"),(IF(COUNTIF(H135:H137,"Low")&gt;0,("Low"),("Normal"))))))))))))))</f>
        <v>STD BY</v>
      </c>
      <c r="J135" s="7" t="str">
        <f t="shared" si="16"/>
        <v>STD BY</v>
      </c>
      <c r="K135" s="14">
        <v>50</v>
      </c>
      <c r="L135" s="4"/>
      <c r="M135" s="3" t="s">
        <v>376</v>
      </c>
      <c r="N135" s="196" t="s">
        <v>371</v>
      </c>
    </row>
    <row r="136" spans="1:14" x14ac:dyDescent="0.35">
      <c r="A136" s="19"/>
      <c r="B136" s="153"/>
      <c r="C136" s="153"/>
      <c r="D136" s="10" t="s">
        <v>17</v>
      </c>
      <c r="E136" s="7">
        <f t="shared" ref="E136:E188" si="17">(K136+11)</f>
        <v>61</v>
      </c>
      <c r="F136" s="7">
        <f t="shared" ref="F136:F188" si="18">(E136+10)</f>
        <v>71</v>
      </c>
      <c r="G136" s="9" t="s">
        <v>16</v>
      </c>
      <c r="H136" s="27" t="str">
        <f t="shared" ref="H136:H188" si="19">IF(J136="",("-"),(IF(J136="STD BY",("STD BY"),(IF(J136="N/A",("N/A"),(IF(J136&lt;5,("Normal"),(IF(J136&lt;11,("Low"),(IF(J136&lt;21,("Medium"),(IF(J136&lt;41,("High"),("Critical"))))))))))))))</f>
        <v>STD BY</v>
      </c>
      <c r="I136" s="156"/>
      <c r="J136" s="7" t="str">
        <f t="shared" ref="J136:J255" si="20">IF(M136="",(""),(IF(M136="STD BY",("STD BY"),(IF(M136="N/A",("N/A"),(IF(M136-K136&gt;0,(M136-K136),(0))))))))</f>
        <v>STD BY</v>
      </c>
      <c r="K136" s="14">
        <v>50</v>
      </c>
      <c r="L136" s="4"/>
      <c r="M136" s="3" t="s">
        <v>376</v>
      </c>
      <c r="N136" s="148"/>
    </row>
    <row r="137" spans="1:14" ht="14.5" customHeight="1" x14ac:dyDescent="0.35">
      <c r="A137" s="19"/>
      <c r="B137" s="154"/>
      <c r="C137" s="154"/>
      <c r="D137" s="10" t="s">
        <v>18</v>
      </c>
      <c r="E137" s="7">
        <f t="shared" si="17"/>
        <v>61</v>
      </c>
      <c r="F137" s="7">
        <f t="shared" si="18"/>
        <v>71</v>
      </c>
      <c r="G137" s="9" t="s">
        <v>16</v>
      </c>
      <c r="H137" s="27" t="str">
        <f t="shared" si="19"/>
        <v>STD BY</v>
      </c>
      <c r="I137" s="157"/>
      <c r="J137" s="7" t="str">
        <f t="shared" si="20"/>
        <v>STD BY</v>
      </c>
      <c r="K137" s="14">
        <v>50</v>
      </c>
      <c r="L137" s="4"/>
      <c r="M137" s="3" t="s">
        <v>376</v>
      </c>
      <c r="N137" s="149"/>
    </row>
    <row r="138" spans="1:14" ht="15" customHeight="1" x14ac:dyDescent="0.35">
      <c r="A138" s="18">
        <v>1</v>
      </c>
      <c r="B138" s="152" t="s">
        <v>132</v>
      </c>
      <c r="C138" s="152" t="s">
        <v>179</v>
      </c>
      <c r="D138" s="8" t="s">
        <v>15</v>
      </c>
      <c r="E138" s="7">
        <f t="shared" si="17"/>
        <v>71</v>
      </c>
      <c r="F138" s="7">
        <f t="shared" si="18"/>
        <v>81</v>
      </c>
      <c r="G138" s="9" t="s">
        <v>16</v>
      </c>
      <c r="H138" s="27" t="str">
        <f t="shared" si="19"/>
        <v>STD BY</v>
      </c>
      <c r="I138" s="155" t="str">
        <f>IF(COUNTIF(H138:H140,"-")&gt;0,("-"),(IF(COUNTIF(H138:H140,"STD BY")&gt;0,("STD BY"),(IF(COUNTIF(H138:H140,"N/A")&gt;0,("N/A"),(IF(COUNTIF(H138:H140,"Critical")&gt;0,("Critical"),(IF(COUNTIF(H138:H140,"High")&gt;0,("High"),(IF(COUNTIF(H138:H140,"Medium")&gt;0,("Medium"),(IF(COUNTIF(H138:H140,"Low")&gt;0,("Low"),("Normal"))))))))))))))</f>
        <v>STD BY</v>
      </c>
      <c r="J138" s="7" t="str">
        <f t="shared" si="20"/>
        <v>STD BY</v>
      </c>
      <c r="K138" s="14">
        <v>60</v>
      </c>
      <c r="L138" s="4"/>
      <c r="M138" s="3" t="s">
        <v>376</v>
      </c>
      <c r="N138" s="196" t="s">
        <v>371</v>
      </c>
    </row>
    <row r="139" spans="1:14" ht="14.5" customHeight="1" x14ac:dyDescent="0.35">
      <c r="A139" s="19"/>
      <c r="B139" s="153"/>
      <c r="C139" s="153"/>
      <c r="D139" s="10" t="s">
        <v>17</v>
      </c>
      <c r="E139" s="7">
        <f t="shared" si="17"/>
        <v>61</v>
      </c>
      <c r="F139" s="7">
        <f t="shared" si="18"/>
        <v>71</v>
      </c>
      <c r="G139" s="9" t="s">
        <v>16</v>
      </c>
      <c r="H139" s="27" t="str">
        <f t="shared" si="19"/>
        <v>STD BY</v>
      </c>
      <c r="I139" s="156"/>
      <c r="J139" s="7" t="str">
        <f t="shared" si="20"/>
        <v>STD BY</v>
      </c>
      <c r="K139" s="14">
        <v>50</v>
      </c>
      <c r="L139" s="4"/>
      <c r="M139" s="3" t="s">
        <v>376</v>
      </c>
      <c r="N139" s="148"/>
    </row>
    <row r="140" spans="1:14" x14ac:dyDescent="0.35">
      <c r="A140" s="19"/>
      <c r="B140" s="154"/>
      <c r="C140" s="154"/>
      <c r="D140" s="10" t="s">
        <v>18</v>
      </c>
      <c r="E140" s="7">
        <f t="shared" si="17"/>
        <v>61</v>
      </c>
      <c r="F140" s="7">
        <f t="shared" si="18"/>
        <v>71</v>
      </c>
      <c r="G140" s="9" t="s">
        <v>16</v>
      </c>
      <c r="H140" s="27" t="str">
        <f t="shared" si="19"/>
        <v>STD BY</v>
      </c>
      <c r="I140" s="157"/>
      <c r="J140" s="7" t="str">
        <f t="shared" si="20"/>
        <v>STD BY</v>
      </c>
      <c r="K140" s="14">
        <v>50</v>
      </c>
      <c r="L140" s="4"/>
      <c r="M140" s="3" t="s">
        <v>376</v>
      </c>
      <c r="N140" s="149"/>
    </row>
    <row r="141" spans="1:14" ht="15" customHeight="1" x14ac:dyDescent="0.35">
      <c r="A141" s="18">
        <v>1</v>
      </c>
      <c r="B141" s="152" t="s">
        <v>133</v>
      </c>
      <c r="C141" s="152" t="s">
        <v>180</v>
      </c>
      <c r="D141" s="8" t="s">
        <v>15</v>
      </c>
      <c r="E141" s="7">
        <f t="shared" si="17"/>
        <v>71</v>
      </c>
      <c r="F141" s="7">
        <f t="shared" si="18"/>
        <v>81</v>
      </c>
      <c r="G141" s="9" t="s">
        <v>16</v>
      </c>
      <c r="H141" s="27" t="str">
        <f t="shared" si="19"/>
        <v>Normal</v>
      </c>
      <c r="I141" s="155" t="str">
        <f>IF(COUNTIF(H141:H143,"-")&gt;0,("-"),(IF(COUNTIF(H141:H143,"STD BY")&gt;0,("STD BY"),(IF(COUNTIF(H141:H143,"N/A")&gt;0,("N/A"),(IF(COUNTIF(H141:H143,"Critical")&gt;0,("Critical"),(IF(COUNTIF(H141:H143,"High")&gt;0,("High"),(IF(COUNTIF(H141:H143,"Medium")&gt;0,("Medium"),(IF(COUNTIF(H141:H143,"Low")&gt;0,("Low"),("Normal"))))))))))))))</f>
        <v>Normal</v>
      </c>
      <c r="J141" s="7">
        <f t="shared" si="20"/>
        <v>0</v>
      </c>
      <c r="K141" s="14">
        <v>60</v>
      </c>
      <c r="L141" s="4">
        <v>46230</v>
      </c>
      <c r="M141" s="3">
        <v>49.4</v>
      </c>
      <c r="N141" s="196" t="s">
        <v>372</v>
      </c>
    </row>
    <row r="142" spans="1:14" x14ac:dyDescent="0.35">
      <c r="A142" s="19"/>
      <c r="B142" s="153"/>
      <c r="C142" s="153"/>
      <c r="D142" s="10" t="s">
        <v>17</v>
      </c>
      <c r="E142" s="7">
        <f t="shared" si="17"/>
        <v>61</v>
      </c>
      <c r="F142" s="7">
        <f t="shared" si="18"/>
        <v>71</v>
      </c>
      <c r="G142" s="9" t="s">
        <v>16</v>
      </c>
      <c r="H142" s="27" t="str">
        <f t="shared" si="19"/>
        <v>Normal</v>
      </c>
      <c r="I142" s="156"/>
      <c r="J142" s="7">
        <f t="shared" si="20"/>
        <v>0</v>
      </c>
      <c r="K142" s="14">
        <v>50</v>
      </c>
      <c r="L142" s="4">
        <v>46230</v>
      </c>
      <c r="M142" s="3">
        <v>41.9</v>
      </c>
      <c r="N142" s="148"/>
    </row>
    <row r="143" spans="1:14" x14ac:dyDescent="0.35">
      <c r="A143" s="20"/>
      <c r="B143" s="154"/>
      <c r="C143" s="154"/>
      <c r="D143" s="10" t="s">
        <v>18</v>
      </c>
      <c r="E143" s="7">
        <f t="shared" si="17"/>
        <v>61</v>
      </c>
      <c r="F143" s="7">
        <f t="shared" si="18"/>
        <v>71</v>
      </c>
      <c r="G143" s="9" t="s">
        <v>16</v>
      </c>
      <c r="H143" s="27" t="str">
        <f t="shared" si="19"/>
        <v>Normal</v>
      </c>
      <c r="I143" s="157"/>
      <c r="J143" s="7">
        <f t="shared" si="20"/>
        <v>0</v>
      </c>
      <c r="K143" s="14">
        <v>50</v>
      </c>
      <c r="L143" s="4">
        <v>46230</v>
      </c>
      <c r="M143" s="3">
        <v>46.2</v>
      </c>
      <c r="N143" s="149"/>
    </row>
    <row r="144" spans="1:14" ht="15" customHeight="1" x14ac:dyDescent="0.35">
      <c r="A144" s="18">
        <v>1</v>
      </c>
      <c r="B144" s="152" t="s">
        <v>134</v>
      </c>
      <c r="C144" s="152" t="s">
        <v>181</v>
      </c>
      <c r="D144" s="10" t="s">
        <v>41</v>
      </c>
      <c r="E144" s="7">
        <f t="shared" si="17"/>
        <v>101</v>
      </c>
      <c r="F144" s="7">
        <f t="shared" si="18"/>
        <v>111</v>
      </c>
      <c r="G144" s="9" t="s">
        <v>16</v>
      </c>
      <c r="H144" s="27" t="str">
        <f t="shared" si="19"/>
        <v>Normal</v>
      </c>
      <c r="I144" s="155" t="str">
        <f>IF(COUNTIF(H144:H145,"-")&gt;0,("-"),(IF(COUNTIF(H144:H145,"STD BY")&gt;0,("STD BY"),(IF(COUNTIF(H144:H145,"N/A")&gt;0,("N/A"),(IF(COUNTIF(H144:H145,"Critical")&gt;0,("Critical"),(IF(COUNTIF(H144:H145,"High")&gt;0,("High"),(IF(COUNTIF(H144:H145,"Medium")&gt;0,("Medium"),(IF(COUNTIF(H144:H145,"Low")&gt;0,("Low"),("Normal"))))))))))))))</f>
        <v>Normal</v>
      </c>
      <c r="J144" s="7">
        <f t="shared" si="20"/>
        <v>0</v>
      </c>
      <c r="K144" s="14">
        <v>90</v>
      </c>
      <c r="L144" s="4">
        <v>46217</v>
      </c>
      <c r="M144" s="3">
        <v>68</v>
      </c>
      <c r="N144" s="187" t="s">
        <v>372</v>
      </c>
    </row>
    <row r="145" spans="1:14" x14ac:dyDescent="0.35">
      <c r="A145" s="19"/>
      <c r="B145" s="154"/>
      <c r="C145" s="154"/>
      <c r="D145" s="10" t="s">
        <v>42</v>
      </c>
      <c r="E145" s="7">
        <f t="shared" si="17"/>
        <v>76</v>
      </c>
      <c r="F145" s="7">
        <f t="shared" si="18"/>
        <v>86</v>
      </c>
      <c r="G145" s="9" t="s">
        <v>16</v>
      </c>
      <c r="H145" s="27" t="str">
        <f t="shared" si="19"/>
        <v>Normal</v>
      </c>
      <c r="I145" s="157"/>
      <c r="J145" s="7">
        <f t="shared" si="20"/>
        <v>3.0999999999999943</v>
      </c>
      <c r="K145" s="14">
        <v>65</v>
      </c>
      <c r="L145" s="4">
        <v>46217</v>
      </c>
      <c r="M145" s="3">
        <v>68.099999999999994</v>
      </c>
      <c r="N145" s="187"/>
    </row>
    <row r="146" spans="1:14" ht="15" customHeight="1" x14ac:dyDescent="0.35">
      <c r="A146" s="18">
        <v>1</v>
      </c>
      <c r="B146" s="152" t="s">
        <v>43</v>
      </c>
      <c r="C146" s="152" t="s">
        <v>44</v>
      </c>
      <c r="D146" s="8" t="s">
        <v>15</v>
      </c>
      <c r="E146" s="7">
        <f t="shared" si="17"/>
        <v>81</v>
      </c>
      <c r="F146" s="7">
        <f t="shared" si="18"/>
        <v>91</v>
      </c>
      <c r="G146" s="9" t="s">
        <v>16</v>
      </c>
      <c r="H146" s="27" t="str">
        <f t="shared" si="19"/>
        <v>Normal</v>
      </c>
      <c r="I146" s="155" t="str">
        <f>IF(COUNTIF(H146:H148,"-")&gt;0,("-"),(IF(COUNTIF(H146:H148,"STD BY")&gt;0,("STD BY"),(IF(COUNTIF(H146:H148,"N/A")&gt;0,("N/A"),(IF(COUNTIF(H146:H148,"Critical")&gt;0,("Critical"),(IF(COUNTIF(H146:H148,"High")&gt;0,("High"),(IF(COUNTIF(H146:H148,"Medium")&gt;0,("Medium"),(IF(COUNTIF(H146:H148,"Low")&gt;0,("Low"),("Normal"))))))))))))))</f>
        <v>Normal</v>
      </c>
      <c r="J146" s="7">
        <f t="shared" si="20"/>
        <v>0</v>
      </c>
      <c r="K146" s="14">
        <v>70</v>
      </c>
      <c r="L146" s="4">
        <v>46217</v>
      </c>
      <c r="M146" s="3">
        <v>63.3</v>
      </c>
      <c r="N146" s="187" t="s">
        <v>372</v>
      </c>
    </row>
    <row r="147" spans="1:14" x14ac:dyDescent="0.35">
      <c r="A147" s="19"/>
      <c r="B147" s="153"/>
      <c r="C147" s="153"/>
      <c r="D147" s="10" t="s">
        <v>121</v>
      </c>
      <c r="E147" s="7">
        <f t="shared" si="17"/>
        <v>71</v>
      </c>
      <c r="F147" s="7">
        <f t="shared" si="18"/>
        <v>81</v>
      </c>
      <c r="G147" s="9" t="s">
        <v>16</v>
      </c>
      <c r="H147" s="27" t="str">
        <f t="shared" si="19"/>
        <v>Normal</v>
      </c>
      <c r="I147" s="156"/>
      <c r="J147" s="7">
        <f t="shared" si="20"/>
        <v>0.79999999999999716</v>
      </c>
      <c r="K147" s="14">
        <v>60</v>
      </c>
      <c r="L147" s="4">
        <v>46217</v>
      </c>
      <c r="M147" s="3">
        <v>60.8</v>
      </c>
      <c r="N147" s="187"/>
    </row>
    <row r="148" spans="1:14" x14ac:dyDescent="0.35">
      <c r="A148" s="19"/>
      <c r="B148" s="153"/>
      <c r="C148" s="153"/>
      <c r="D148" s="15" t="s">
        <v>122</v>
      </c>
      <c r="E148" s="16">
        <f t="shared" si="17"/>
        <v>61</v>
      </c>
      <c r="F148" s="16">
        <f t="shared" si="18"/>
        <v>71</v>
      </c>
      <c r="G148" s="17" t="s">
        <v>16</v>
      </c>
      <c r="H148" s="28" t="str">
        <f t="shared" si="19"/>
        <v>Normal</v>
      </c>
      <c r="I148" s="156"/>
      <c r="J148" s="16">
        <f t="shared" si="20"/>
        <v>2.7999999999999972</v>
      </c>
      <c r="K148" s="44">
        <v>50</v>
      </c>
      <c r="L148" s="45">
        <v>46217</v>
      </c>
      <c r="M148" s="3">
        <v>52.8</v>
      </c>
      <c r="N148" s="187"/>
    </row>
    <row r="149" spans="1:14" ht="14.5" customHeight="1" x14ac:dyDescent="0.35">
      <c r="A149" s="42">
        <v>1</v>
      </c>
      <c r="B149" s="158" t="s">
        <v>349</v>
      </c>
      <c r="C149" s="158" t="s">
        <v>347</v>
      </c>
      <c r="D149" s="11" t="s">
        <v>336</v>
      </c>
      <c r="E149" s="7">
        <f>(K149+11)</f>
        <v>61</v>
      </c>
      <c r="F149" s="7">
        <f t="shared" si="18"/>
        <v>71</v>
      </c>
      <c r="G149" s="9" t="s">
        <v>16</v>
      </c>
      <c r="H149" s="27" t="str">
        <f t="shared" si="19"/>
        <v>Normal</v>
      </c>
      <c r="I149" s="160" t="str">
        <f>IF(COUNTIF(H149:H156,"-")&gt;0,("-"),(IF(COUNTIF(H149:H156,"STD BY")&gt;0,("STD BY"),(IF(COUNTIF(H149:H156,"N/A")&gt;0,("N/A"),(IF(COUNTIF(H149:H156,"Critical")&gt;0,("Critical"),(IF(COUNTIF(H149:H156,"High")&gt;0,("High"),(IF(COUNTIF(H149:H156,"Medium")&gt;0,("Medium"),(IF(COUNTIF(H149:H156,"Low")&gt;0,("Low"),("Normal"))))))))))))))</f>
        <v>Normal</v>
      </c>
      <c r="J149" s="7">
        <f t="shared" si="20"/>
        <v>0</v>
      </c>
      <c r="K149" s="7">
        <v>50</v>
      </c>
      <c r="L149" s="4">
        <v>46233</v>
      </c>
      <c r="M149" s="3">
        <v>42.3</v>
      </c>
      <c r="N149" s="186" t="s">
        <v>372</v>
      </c>
    </row>
    <row r="150" spans="1:14" x14ac:dyDescent="0.35">
      <c r="A150" s="19"/>
      <c r="B150" s="158"/>
      <c r="C150" s="158"/>
      <c r="D150" s="11" t="s">
        <v>291</v>
      </c>
      <c r="E150" s="7">
        <f t="shared" ref="E150:E172" si="21">(K150+11)</f>
        <v>61</v>
      </c>
      <c r="F150" s="7">
        <f t="shared" si="18"/>
        <v>71</v>
      </c>
      <c r="G150" s="9" t="s">
        <v>16</v>
      </c>
      <c r="H150" s="27" t="str">
        <f t="shared" si="19"/>
        <v>Normal</v>
      </c>
      <c r="I150" s="160"/>
      <c r="J150" s="7">
        <f t="shared" si="20"/>
        <v>0</v>
      </c>
      <c r="K150" s="7">
        <v>50</v>
      </c>
      <c r="L150" s="4">
        <v>46233</v>
      </c>
      <c r="M150" s="3">
        <v>40.5</v>
      </c>
      <c r="N150" s="187"/>
    </row>
    <row r="151" spans="1:14" x14ac:dyDescent="0.35">
      <c r="A151" s="19"/>
      <c r="B151" s="158"/>
      <c r="C151" s="158"/>
      <c r="D151" s="11" t="s">
        <v>273</v>
      </c>
      <c r="E151" s="7">
        <f t="shared" si="21"/>
        <v>51</v>
      </c>
      <c r="F151" s="7">
        <f t="shared" si="18"/>
        <v>61</v>
      </c>
      <c r="G151" s="9" t="s">
        <v>16</v>
      </c>
      <c r="H151" s="27" t="str">
        <f t="shared" si="19"/>
        <v>Normal</v>
      </c>
      <c r="I151" s="160"/>
      <c r="J151" s="7">
        <f t="shared" si="20"/>
        <v>0</v>
      </c>
      <c r="K151" s="7">
        <v>40</v>
      </c>
      <c r="L151" s="4">
        <v>46233</v>
      </c>
      <c r="M151" s="3">
        <v>35</v>
      </c>
      <c r="N151" s="187"/>
    </row>
    <row r="152" spans="1:14" x14ac:dyDescent="0.35">
      <c r="A152" s="19"/>
      <c r="B152" s="158"/>
      <c r="C152" s="158"/>
      <c r="D152" s="11" t="s">
        <v>274</v>
      </c>
      <c r="E152" s="7">
        <f t="shared" si="21"/>
        <v>51</v>
      </c>
      <c r="F152" s="7">
        <f t="shared" si="18"/>
        <v>61</v>
      </c>
      <c r="G152" s="9" t="s">
        <v>16</v>
      </c>
      <c r="H152" s="27" t="str">
        <f t="shared" si="19"/>
        <v>Normal</v>
      </c>
      <c r="I152" s="160"/>
      <c r="J152" s="7">
        <f t="shared" si="20"/>
        <v>0</v>
      </c>
      <c r="K152" s="7">
        <v>40</v>
      </c>
      <c r="L152" s="4">
        <v>46233</v>
      </c>
      <c r="M152" s="3">
        <v>36.4</v>
      </c>
      <c r="N152" s="187"/>
    </row>
    <row r="153" spans="1:14" x14ac:dyDescent="0.35">
      <c r="A153" s="19"/>
      <c r="B153" s="158"/>
      <c r="C153" s="158"/>
      <c r="D153" s="11" t="s">
        <v>275</v>
      </c>
      <c r="E153" s="7">
        <f t="shared" si="21"/>
        <v>51</v>
      </c>
      <c r="F153" s="7">
        <f t="shared" si="18"/>
        <v>61</v>
      </c>
      <c r="G153" s="9" t="s">
        <v>16</v>
      </c>
      <c r="H153" s="27" t="str">
        <f t="shared" si="19"/>
        <v>Normal</v>
      </c>
      <c r="I153" s="160"/>
      <c r="J153" s="7">
        <f t="shared" si="20"/>
        <v>0</v>
      </c>
      <c r="K153" s="7">
        <v>40</v>
      </c>
      <c r="L153" s="4">
        <v>46233</v>
      </c>
      <c r="M153" s="3">
        <v>37.700000000000003</v>
      </c>
      <c r="N153" s="187"/>
    </row>
    <row r="154" spans="1:14" x14ac:dyDescent="0.35">
      <c r="A154" s="19"/>
      <c r="B154" s="158"/>
      <c r="C154" s="158"/>
      <c r="D154" s="11" t="s">
        <v>276</v>
      </c>
      <c r="E154" s="7">
        <f t="shared" si="21"/>
        <v>51</v>
      </c>
      <c r="F154" s="7">
        <f t="shared" si="18"/>
        <v>61</v>
      </c>
      <c r="G154" s="9" t="s">
        <v>16</v>
      </c>
      <c r="H154" s="27" t="str">
        <f>IF(J154="",("-"),(IF(J154="STD BY",("STD BY"),(IF(J154="N/A",("N/A"),(IF(J154&lt;5,("Normal"),(IF(J154&lt;11,("Low"),(IF(J154&lt;21,("Medium"),(IF(J154&lt;41,("High"),("Critical"))))))))))))))</f>
        <v>Normal</v>
      </c>
      <c r="I154" s="160"/>
      <c r="J154" s="7">
        <f t="shared" si="20"/>
        <v>0</v>
      </c>
      <c r="K154" s="7">
        <v>40</v>
      </c>
      <c r="L154" s="4">
        <v>46233</v>
      </c>
      <c r="M154" s="3">
        <v>39</v>
      </c>
      <c r="N154" s="187"/>
    </row>
    <row r="155" spans="1:14" x14ac:dyDescent="0.35">
      <c r="A155" s="19"/>
      <c r="B155" s="158"/>
      <c r="C155" s="158"/>
      <c r="D155" s="11" t="s">
        <v>277</v>
      </c>
      <c r="E155" s="7">
        <f t="shared" si="21"/>
        <v>51</v>
      </c>
      <c r="F155" s="7">
        <f t="shared" si="18"/>
        <v>61</v>
      </c>
      <c r="G155" s="9" t="s">
        <v>16</v>
      </c>
      <c r="H155" s="27" t="str">
        <f t="shared" si="19"/>
        <v>Normal</v>
      </c>
      <c r="I155" s="160"/>
      <c r="J155" s="7">
        <f t="shared" si="20"/>
        <v>0</v>
      </c>
      <c r="K155" s="7">
        <v>40</v>
      </c>
      <c r="L155" s="4">
        <v>46233</v>
      </c>
      <c r="M155" s="3">
        <v>38.5</v>
      </c>
      <c r="N155" s="187"/>
    </row>
    <row r="156" spans="1:14" x14ac:dyDescent="0.35">
      <c r="A156" s="19"/>
      <c r="B156" s="158"/>
      <c r="C156" s="158"/>
      <c r="D156" s="11" t="s">
        <v>278</v>
      </c>
      <c r="E156" s="7">
        <f t="shared" si="21"/>
        <v>51</v>
      </c>
      <c r="F156" s="7">
        <f t="shared" si="18"/>
        <v>61</v>
      </c>
      <c r="G156" s="9" t="s">
        <v>16</v>
      </c>
      <c r="H156" s="27" t="str">
        <f t="shared" si="19"/>
        <v>Normal</v>
      </c>
      <c r="I156" s="160"/>
      <c r="J156" s="7">
        <f t="shared" si="20"/>
        <v>0</v>
      </c>
      <c r="K156" s="7">
        <v>40</v>
      </c>
      <c r="L156" s="4">
        <v>46233</v>
      </c>
      <c r="M156" s="3">
        <v>37.9</v>
      </c>
      <c r="N156" s="187"/>
    </row>
    <row r="157" spans="1:14" x14ac:dyDescent="0.35">
      <c r="A157" s="42">
        <v>1</v>
      </c>
      <c r="B157" s="158" t="s">
        <v>350</v>
      </c>
      <c r="C157" s="158" t="s">
        <v>348</v>
      </c>
      <c r="D157" s="11" t="s">
        <v>336</v>
      </c>
      <c r="E157" s="7">
        <f>(K157+11)</f>
        <v>61</v>
      </c>
      <c r="F157" s="7">
        <f t="shared" ref="F157:F172" si="22">(E157+10)</f>
        <v>71</v>
      </c>
      <c r="G157" s="9" t="s">
        <v>16</v>
      </c>
      <c r="H157" s="27" t="str">
        <f t="shared" ref="H157:H161" si="23">IF(J157="",("-"),(IF(J157="STD BY",("STD BY"),(IF(J157="N/A",("N/A"),(IF(J157&lt;5,("Normal"),(IF(J157&lt;11,("Low"),(IF(J157&lt;21,("Medium"),(IF(J157&lt;41,("High"),("Critical"))))))))))))))</f>
        <v>Normal</v>
      </c>
      <c r="I157" s="160" t="str">
        <f>IF(COUNTIF(H157:H164,"-")&gt;0,("-"),(IF(COUNTIF(H157:H164,"STD BY")&gt;0,("STD BY"),(IF(COUNTIF(H157:H164,"N/A")&gt;0,("N/A"),(IF(COUNTIF(H157:H164,"Critical")&gt;0,("Critical"),(IF(COUNTIF(H157:H164,"High")&gt;0,("High"),(IF(COUNTIF(H157:H164,"Medium")&gt;0,("Medium"),(IF(COUNTIF(H157:H164,"Low")&gt;0,("Low"),("Normal"))))))))))))))</f>
        <v>Normal</v>
      </c>
      <c r="J157" s="7">
        <f t="shared" ref="J157:J172" si="24">IF(M157="",(""),(IF(M157="STD BY",("STD BY"),(IF(M157="N/A",("N/A"),(IF(M157-K157&gt;0,(M157-K157),(0))))))))</f>
        <v>0</v>
      </c>
      <c r="K157" s="7">
        <v>50</v>
      </c>
      <c r="L157" s="4">
        <v>46233</v>
      </c>
      <c r="M157" s="3">
        <v>44.7</v>
      </c>
      <c r="N157" s="186" t="s">
        <v>372</v>
      </c>
    </row>
    <row r="158" spans="1:14" x14ac:dyDescent="0.35">
      <c r="A158" s="19"/>
      <c r="B158" s="158"/>
      <c r="C158" s="158"/>
      <c r="D158" s="11" t="s">
        <v>291</v>
      </c>
      <c r="E158" s="7">
        <f t="shared" si="21"/>
        <v>61</v>
      </c>
      <c r="F158" s="7">
        <f t="shared" si="22"/>
        <v>71</v>
      </c>
      <c r="G158" s="9" t="s">
        <v>16</v>
      </c>
      <c r="H158" s="27" t="str">
        <f t="shared" si="23"/>
        <v>Normal</v>
      </c>
      <c r="I158" s="160"/>
      <c r="J158" s="7">
        <f t="shared" si="24"/>
        <v>0</v>
      </c>
      <c r="K158" s="7">
        <v>50</v>
      </c>
      <c r="L158" s="4">
        <v>46233</v>
      </c>
      <c r="M158" s="3">
        <v>42.9</v>
      </c>
      <c r="N158" s="187"/>
    </row>
    <row r="159" spans="1:14" x14ac:dyDescent="0.35">
      <c r="A159" s="19"/>
      <c r="B159" s="158"/>
      <c r="C159" s="158"/>
      <c r="D159" s="11" t="s">
        <v>273</v>
      </c>
      <c r="E159" s="7">
        <f t="shared" si="21"/>
        <v>51</v>
      </c>
      <c r="F159" s="7">
        <f t="shared" si="22"/>
        <v>61</v>
      </c>
      <c r="G159" s="9" t="s">
        <v>16</v>
      </c>
      <c r="H159" s="27" t="str">
        <f t="shared" si="23"/>
        <v>Normal</v>
      </c>
      <c r="I159" s="160"/>
      <c r="J159" s="7">
        <f t="shared" si="24"/>
        <v>0</v>
      </c>
      <c r="K159" s="7">
        <v>40</v>
      </c>
      <c r="L159" s="4">
        <v>46233</v>
      </c>
      <c r="M159" s="3">
        <v>36</v>
      </c>
      <c r="N159" s="187"/>
    </row>
    <row r="160" spans="1:14" x14ac:dyDescent="0.35">
      <c r="A160" s="19"/>
      <c r="B160" s="158"/>
      <c r="C160" s="158"/>
      <c r="D160" s="11" t="s">
        <v>274</v>
      </c>
      <c r="E160" s="7">
        <f t="shared" si="21"/>
        <v>51</v>
      </c>
      <c r="F160" s="7">
        <f t="shared" si="22"/>
        <v>61</v>
      </c>
      <c r="G160" s="9" t="s">
        <v>16</v>
      </c>
      <c r="H160" s="27" t="str">
        <f t="shared" si="23"/>
        <v>Normal</v>
      </c>
      <c r="I160" s="160"/>
      <c r="J160" s="7">
        <f t="shared" si="24"/>
        <v>0</v>
      </c>
      <c r="K160" s="7">
        <v>40</v>
      </c>
      <c r="L160" s="4">
        <v>46233</v>
      </c>
      <c r="M160" s="3">
        <v>37.4</v>
      </c>
      <c r="N160" s="187"/>
    </row>
    <row r="161" spans="1:14" x14ac:dyDescent="0.35">
      <c r="A161" s="19"/>
      <c r="B161" s="158"/>
      <c r="C161" s="158"/>
      <c r="D161" s="11" t="s">
        <v>275</v>
      </c>
      <c r="E161" s="7">
        <f t="shared" si="21"/>
        <v>51</v>
      </c>
      <c r="F161" s="7">
        <f t="shared" si="22"/>
        <v>61</v>
      </c>
      <c r="G161" s="9" t="s">
        <v>16</v>
      </c>
      <c r="H161" s="27" t="str">
        <f t="shared" si="23"/>
        <v>Normal</v>
      </c>
      <c r="I161" s="160"/>
      <c r="J161" s="7">
        <f t="shared" si="24"/>
        <v>0</v>
      </c>
      <c r="K161" s="7">
        <v>40</v>
      </c>
      <c r="L161" s="4">
        <v>46233</v>
      </c>
      <c r="M161" s="3">
        <v>36.5</v>
      </c>
      <c r="N161" s="187"/>
    </row>
    <row r="162" spans="1:14" x14ac:dyDescent="0.35">
      <c r="A162" s="19"/>
      <c r="B162" s="158"/>
      <c r="C162" s="158"/>
      <c r="D162" s="11" t="s">
        <v>276</v>
      </c>
      <c r="E162" s="7">
        <f t="shared" si="21"/>
        <v>51</v>
      </c>
      <c r="F162" s="7">
        <f t="shared" si="22"/>
        <v>61</v>
      </c>
      <c r="G162" s="9" t="s">
        <v>16</v>
      </c>
      <c r="H162" s="27" t="str">
        <f>IF(J162="",("-"),(IF(J162="STD BY",("STD BY"),(IF(J162="N/A",("N/A"),(IF(J162&lt;5,("Normal"),(IF(J162&lt;11,("Low"),(IF(J162&lt;21,("Medium"),(IF(J162&lt;41,("High"),("Critical"))))))))))))))</f>
        <v>Normal</v>
      </c>
      <c r="I162" s="160"/>
      <c r="J162" s="7">
        <f t="shared" si="24"/>
        <v>0</v>
      </c>
      <c r="K162" s="7">
        <v>40</v>
      </c>
      <c r="L162" s="4">
        <v>46233</v>
      </c>
      <c r="M162" s="3">
        <v>34.799999999999997</v>
      </c>
      <c r="N162" s="187"/>
    </row>
    <row r="163" spans="1:14" x14ac:dyDescent="0.35">
      <c r="A163" s="19"/>
      <c r="B163" s="158"/>
      <c r="C163" s="158"/>
      <c r="D163" s="11" t="s">
        <v>277</v>
      </c>
      <c r="E163" s="7">
        <f t="shared" si="21"/>
        <v>51</v>
      </c>
      <c r="F163" s="7">
        <f t="shared" si="22"/>
        <v>61</v>
      </c>
      <c r="G163" s="9" t="s">
        <v>16</v>
      </c>
      <c r="H163" s="27" t="str">
        <f t="shared" ref="H163:H172" si="25">IF(J163="",("-"),(IF(J163="STD BY",("STD BY"),(IF(J163="N/A",("N/A"),(IF(J163&lt;5,("Normal"),(IF(J163&lt;11,("Low"),(IF(J163&lt;21,("Medium"),(IF(J163&lt;41,("High"),("Critical"))))))))))))))</f>
        <v>Normal</v>
      </c>
      <c r="I163" s="160"/>
      <c r="J163" s="7">
        <f t="shared" si="24"/>
        <v>0</v>
      </c>
      <c r="K163" s="7">
        <v>40</v>
      </c>
      <c r="L163" s="4">
        <v>46233</v>
      </c>
      <c r="M163" s="3">
        <v>36.700000000000003</v>
      </c>
      <c r="N163" s="187"/>
    </row>
    <row r="164" spans="1:14" x14ac:dyDescent="0.35">
      <c r="A164" s="24"/>
      <c r="B164" s="152"/>
      <c r="C164" s="152"/>
      <c r="D164" s="29" t="s">
        <v>278</v>
      </c>
      <c r="E164" s="7">
        <f t="shared" si="21"/>
        <v>51</v>
      </c>
      <c r="F164" s="16">
        <f t="shared" si="22"/>
        <v>61</v>
      </c>
      <c r="G164" s="17" t="s">
        <v>16</v>
      </c>
      <c r="H164" s="28" t="str">
        <f t="shared" si="25"/>
        <v>Normal</v>
      </c>
      <c r="I164" s="155"/>
      <c r="J164" s="16">
        <f t="shared" si="24"/>
        <v>0</v>
      </c>
      <c r="K164" s="16">
        <v>40</v>
      </c>
      <c r="L164" s="45">
        <v>46233</v>
      </c>
      <c r="M164" s="108">
        <v>37.4</v>
      </c>
      <c r="N164" s="187"/>
    </row>
    <row r="165" spans="1:14" ht="14.5" customHeight="1" x14ac:dyDescent="0.35">
      <c r="A165" s="42">
        <v>1</v>
      </c>
      <c r="B165" s="158" t="s">
        <v>351</v>
      </c>
      <c r="C165" s="158" t="s">
        <v>337</v>
      </c>
      <c r="D165" s="47" t="s">
        <v>336</v>
      </c>
      <c r="E165" s="7">
        <f>(K165+11)</f>
        <v>61</v>
      </c>
      <c r="F165" s="7">
        <f>(E165+10)</f>
        <v>71</v>
      </c>
      <c r="G165" s="27" t="s">
        <v>16</v>
      </c>
      <c r="H165" s="27" t="str">
        <f t="shared" si="25"/>
        <v>Normal</v>
      </c>
      <c r="I165" s="160" t="str">
        <f>IF(COUNTIF(H165:H172,"-")&gt;0,("-"),(IF(COUNTIF(H165:H172,"STD BY")&gt;0,("STD BY"),(IF(COUNTIF(H165:H172,"N/A")&gt;0,("N/A"),(IF(COUNTIF(H165:H172,"Critical")&gt;0,("Critical"),(IF(COUNTIF(H165:H172,"High")&gt;0,("High"),(IF(COUNTIF(H165:H172,"Medium")&gt;0,("Medium"),(IF(COUNTIF(H165:H172,"Low")&gt;0,("Low"),("Normal"))))))))))))))</f>
        <v>Normal</v>
      </c>
      <c r="J165" s="7">
        <f t="shared" si="24"/>
        <v>0</v>
      </c>
      <c r="K165" s="7">
        <v>50</v>
      </c>
      <c r="L165" s="4">
        <v>46231</v>
      </c>
      <c r="M165" s="7">
        <v>29.9</v>
      </c>
      <c r="N165" s="186" t="s">
        <v>372</v>
      </c>
    </row>
    <row r="166" spans="1:14" x14ac:dyDescent="0.35">
      <c r="A166" s="19"/>
      <c r="B166" s="158"/>
      <c r="C166" s="158"/>
      <c r="D166" s="47" t="s">
        <v>338</v>
      </c>
      <c r="E166" s="7">
        <f t="shared" si="21"/>
        <v>61</v>
      </c>
      <c r="F166" s="7">
        <f t="shared" si="22"/>
        <v>71</v>
      </c>
      <c r="G166" s="27" t="s">
        <v>16</v>
      </c>
      <c r="H166" s="27" t="str">
        <f t="shared" si="25"/>
        <v>Normal</v>
      </c>
      <c r="I166" s="160"/>
      <c r="J166" s="7">
        <f t="shared" si="24"/>
        <v>0</v>
      </c>
      <c r="K166" s="7">
        <v>50</v>
      </c>
      <c r="L166" s="4">
        <v>46231</v>
      </c>
      <c r="M166" s="7">
        <v>0</v>
      </c>
      <c r="N166" s="187"/>
    </row>
    <row r="167" spans="1:14" x14ac:dyDescent="0.35">
      <c r="A167" s="19"/>
      <c r="B167" s="158"/>
      <c r="C167" s="158"/>
      <c r="D167" s="11" t="s">
        <v>273</v>
      </c>
      <c r="E167" s="7">
        <f t="shared" si="21"/>
        <v>51</v>
      </c>
      <c r="F167" s="7">
        <f t="shared" si="22"/>
        <v>61</v>
      </c>
      <c r="G167" s="9" t="s">
        <v>16</v>
      </c>
      <c r="H167" s="27" t="str">
        <f t="shared" si="25"/>
        <v>Normal</v>
      </c>
      <c r="I167" s="160"/>
      <c r="J167" s="7">
        <f t="shared" si="24"/>
        <v>0</v>
      </c>
      <c r="K167" s="7">
        <v>40</v>
      </c>
      <c r="L167" s="4">
        <v>46231</v>
      </c>
      <c r="M167" s="7">
        <v>24.3</v>
      </c>
      <c r="N167" s="187"/>
    </row>
    <row r="168" spans="1:14" x14ac:dyDescent="0.35">
      <c r="A168" s="19"/>
      <c r="B168" s="158"/>
      <c r="C168" s="158"/>
      <c r="D168" s="11" t="s">
        <v>274</v>
      </c>
      <c r="E168" s="7">
        <f t="shared" si="21"/>
        <v>51</v>
      </c>
      <c r="F168" s="7">
        <f t="shared" si="22"/>
        <v>61</v>
      </c>
      <c r="G168" s="9" t="s">
        <v>16</v>
      </c>
      <c r="H168" s="27" t="str">
        <f t="shared" si="25"/>
        <v>Normal</v>
      </c>
      <c r="I168" s="160"/>
      <c r="J168" s="7">
        <f t="shared" si="24"/>
        <v>0</v>
      </c>
      <c r="K168" s="7">
        <v>40</v>
      </c>
      <c r="L168" s="4">
        <v>46231</v>
      </c>
      <c r="M168" s="7">
        <v>24.6</v>
      </c>
      <c r="N168" s="187"/>
    </row>
    <row r="169" spans="1:14" x14ac:dyDescent="0.35">
      <c r="A169" s="19"/>
      <c r="B169" s="158"/>
      <c r="C169" s="158"/>
      <c r="D169" s="11" t="s">
        <v>275</v>
      </c>
      <c r="E169" s="7">
        <f t="shared" si="21"/>
        <v>51</v>
      </c>
      <c r="F169" s="7">
        <f t="shared" si="22"/>
        <v>61</v>
      </c>
      <c r="G169" s="9" t="s">
        <v>16</v>
      </c>
      <c r="H169" s="27" t="str">
        <f t="shared" si="25"/>
        <v>Normal</v>
      </c>
      <c r="I169" s="160"/>
      <c r="J169" s="7">
        <f t="shared" si="24"/>
        <v>0</v>
      </c>
      <c r="K169" s="7">
        <v>40</v>
      </c>
      <c r="L169" s="4">
        <v>46231</v>
      </c>
      <c r="M169" s="7">
        <v>24.5</v>
      </c>
      <c r="N169" s="187"/>
    </row>
    <row r="170" spans="1:14" x14ac:dyDescent="0.35">
      <c r="A170" s="19"/>
      <c r="B170" s="158"/>
      <c r="C170" s="158"/>
      <c r="D170" s="11" t="s">
        <v>276</v>
      </c>
      <c r="E170" s="7">
        <f t="shared" si="21"/>
        <v>51</v>
      </c>
      <c r="F170" s="7">
        <f t="shared" si="22"/>
        <v>61</v>
      </c>
      <c r="G170" s="9" t="s">
        <v>16</v>
      </c>
      <c r="H170" s="27" t="str">
        <f>IF(J170="",("-"),(IF(J170="STD BY",("STD BY"),(IF(J170="N/A",("N/A"),(IF(J170&lt;5,("Normal"),(IF(J170&lt;11,("Low"),(IF(J170&lt;21,("Medium"),(IF(J170&lt;41,("High"),("Critical"))))))))))))))</f>
        <v>Normal</v>
      </c>
      <c r="I170" s="160"/>
      <c r="J170" s="7">
        <f t="shared" si="24"/>
        <v>0</v>
      </c>
      <c r="K170" s="7">
        <v>40</v>
      </c>
      <c r="L170" s="4">
        <v>46231</v>
      </c>
      <c r="M170" s="7">
        <v>26.6</v>
      </c>
      <c r="N170" s="187"/>
    </row>
    <row r="171" spans="1:14" x14ac:dyDescent="0.35">
      <c r="A171" s="19"/>
      <c r="B171" s="158"/>
      <c r="C171" s="158"/>
      <c r="D171" s="11" t="s">
        <v>277</v>
      </c>
      <c r="E171" s="7">
        <f t="shared" si="21"/>
        <v>51</v>
      </c>
      <c r="F171" s="7">
        <f t="shared" si="22"/>
        <v>61</v>
      </c>
      <c r="G171" s="9" t="s">
        <v>16</v>
      </c>
      <c r="H171" s="27" t="str">
        <f t="shared" si="25"/>
        <v>Normal</v>
      </c>
      <c r="I171" s="160"/>
      <c r="J171" s="7">
        <f t="shared" si="24"/>
        <v>0</v>
      </c>
      <c r="K171" s="7">
        <v>40</v>
      </c>
      <c r="L171" s="4">
        <v>46231</v>
      </c>
      <c r="M171" s="7">
        <v>26.5</v>
      </c>
      <c r="N171" s="187"/>
    </row>
    <row r="172" spans="1:14" x14ac:dyDescent="0.35">
      <c r="A172" s="24"/>
      <c r="B172" s="152"/>
      <c r="C172" s="152"/>
      <c r="D172" s="29" t="s">
        <v>278</v>
      </c>
      <c r="E172" s="7">
        <f t="shared" si="21"/>
        <v>51</v>
      </c>
      <c r="F172" s="16">
        <f t="shared" si="22"/>
        <v>61</v>
      </c>
      <c r="G172" s="17" t="s">
        <v>16</v>
      </c>
      <c r="H172" s="28" t="str">
        <f t="shared" si="25"/>
        <v>Normal</v>
      </c>
      <c r="I172" s="155"/>
      <c r="J172" s="16">
        <f t="shared" si="24"/>
        <v>0</v>
      </c>
      <c r="K172" s="16">
        <v>40</v>
      </c>
      <c r="L172" s="45">
        <v>46231</v>
      </c>
      <c r="M172" s="7">
        <v>25.7</v>
      </c>
      <c r="N172" s="187"/>
    </row>
    <row r="173" spans="1:14" x14ac:dyDescent="0.35">
      <c r="A173" s="42">
        <v>1</v>
      </c>
      <c r="B173" s="158" t="s">
        <v>343</v>
      </c>
      <c r="C173" s="158" t="s">
        <v>344</v>
      </c>
      <c r="D173" s="8" t="s">
        <v>15</v>
      </c>
      <c r="E173" s="7">
        <f t="shared" ref="E173:E177" si="26">(K173+11)</f>
        <v>71</v>
      </c>
      <c r="F173" s="7">
        <f t="shared" ref="F173:F177" si="27">(E173+10)</f>
        <v>81</v>
      </c>
      <c r="G173" s="9" t="s">
        <v>16</v>
      </c>
      <c r="H173" s="27" t="str">
        <f t="shared" ref="H173:H177" si="28">IF(J173="",("-"),(IF(J173="STD BY",("STD BY"),(IF(J173="N/A",("N/A"),(IF(J173&lt;5,("Normal"),(IF(J173&lt;11,("Low"),(IF(J173&lt;21,("Medium"),(IF(J173&lt;41,("High"),("Critical"))))))))))))))</f>
        <v>Low</v>
      </c>
      <c r="I173" s="160" t="str">
        <f>IF(COUNTIF(H173:H177,"-")&gt;0,("-"),(IF(COUNTIF(H173:H177,"STD BY")&gt;0,("STD BY"),(IF(COUNTIF(H173:H177,"N/A")&gt;0,("N/A"),(IF(COUNTIF(H173:H177,"Critical")&gt;0,("Critical"),(IF(COUNTIF(H173:H177,"High")&gt;0,("High"),(IF(COUNTIF(H173:H177,"Medium")&gt;0,("Medium"),(IF(COUNTIF(H173:H177,"Low")&gt;0,("Low"),("Normal"))))))))))))))</f>
        <v>Medium</v>
      </c>
      <c r="J173" s="7">
        <f t="shared" ref="J173:J177" si="29">IF(M173="",(""),(IF(M173="STD BY",("STD BY"),(IF(M173="N/A",("N/A"),(IF(M173-K173&gt;0,(M173-K173),(0))))))))</f>
        <v>6.4000000000000057</v>
      </c>
      <c r="K173" s="7">
        <v>60</v>
      </c>
      <c r="L173" s="4">
        <v>46223</v>
      </c>
      <c r="M173" s="7">
        <v>66.400000000000006</v>
      </c>
      <c r="N173" s="190" t="s">
        <v>372</v>
      </c>
    </row>
    <row r="174" spans="1:14" x14ac:dyDescent="0.35">
      <c r="A174" s="19"/>
      <c r="B174" s="158"/>
      <c r="C174" s="158"/>
      <c r="D174" s="10" t="s">
        <v>17</v>
      </c>
      <c r="E174" s="7">
        <f t="shared" si="26"/>
        <v>56</v>
      </c>
      <c r="F174" s="7">
        <f t="shared" si="27"/>
        <v>66</v>
      </c>
      <c r="G174" s="9" t="s">
        <v>16</v>
      </c>
      <c r="H174" s="27" t="str">
        <f t="shared" si="28"/>
        <v>Low</v>
      </c>
      <c r="I174" s="160"/>
      <c r="J174" s="7">
        <f t="shared" si="29"/>
        <v>6.3999999999999986</v>
      </c>
      <c r="K174" s="7">
        <v>45</v>
      </c>
      <c r="L174" s="4">
        <v>46223</v>
      </c>
      <c r="M174" s="7">
        <v>51.4</v>
      </c>
      <c r="N174" s="191"/>
    </row>
    <row r="175" spans="1:14" x14ac:dyDescent="0.35">
      <c r="A175" s="19"/>
      <c r="B175" s="158"/>
      <c r="C175" s="158"/>
      <c r="D175" s="10" t="s">
        <v>18</v>
      </c>
      <c r="E175" s="7">
        <f t="shared" si="26"/>
        <v>66</v>
      </c>
      <c r="F175" s="7">
        <f t="shared" si="27"/>
        <v>76</v>
      </c>
      <c r="G175" s="9" t="s">
        <v>16</v>
      </c>
      <c r="H175" s="27" t="str">
        <f>IF(J175="",("-"),(IF(J175="STD BY",("STD BY"),(IF(J175="N/A",("N/A"),(IF(J175&lt;5,("Normal"),(IF(J175&lt;11,("Low"),(IF(J175&lt;21,("Medium"),(IF(J175&lt;41,("High"),("Critical"))))))))))))))</f>
        <v>Medium</v>
      </c>
      <c r="I175" s="160"/>
      <c r="J175" s="7">
        <f t="shared" si="29"/>
        <v>11.599999999999994</v>
      </c>
      <c r="K175" s="7">
        <v>55</v>
      </c>
      <c r="L175" s="4">
        <v>46223</v>
      </c>
      <c r="M175" s="7">
        <v>66.599999999999994</v>
      </c>
      <c r="N175" s="191"/>
    </row>
    <row r="176" spans="1:14" x14ac:dyDescent="0.35">
      <c r="A176" s="19"/>
      <c r="B176" s="158"/>
      <c r="C176" s="158"/>
      <c r="D176" s="10" t="s">
        <v>19</v>
      </c>
      <c r="E176" s="7">
        <f t="shared" si="26"/>
        <v>71</v>
      </c>
      <c r="F176" s="7">
        <f t="shared" si="27"/>
        <v>81</v>
      </c>
      <c r="G176" s="9" t="s">
        <v>16</v>
      </c>
      <c r="H176" s="27" t="str">
        <f t="shared" si="28"/>
        <v>Normal</v>
      </c>
      <c r="I176" s="160"/>
      <c r="J176" s="7">
        <f t="shared" si="29"/>
        <v>0</v>
      </c>
      <c r="K176" s="7">
        <v>60</v>
      </c>
      <c r="L176" s="4">
        <v>46223</v>
      </c>
      <c r="M176" s="7">
        <v>48.8</v>
      </c>
      <c r="N176" s="191"/>
    </row>
    <row r="177" spans="1:14" x14ac:dyDescent="0.35">
      <c r="A177" s="19"/>
      <c r="B177" s="158"/>
      <c r="C177" s="158"/>
      <c r="D177" s="10" t="s">
        <v>22</v>
      </c>
      <c r="E177" s="7">
        <f t="shared" si="26"/>
        <v>71</v>
      </c>
      <c r="F177" s="7">
        <f t="shared" si="27"/>
        <v>81</v>
      </c>
      <c r="G177" s="9" t="s">
        <v>16</v>
      </c>
      <c r="H177" s="27" t="str">
        <f t="shared" si="28"/>
        <v>Normal</v>
      </c>
      <c r="I177" s="160"/>
      <c r="J177" s="7">
        <f t="shared" si="29"/>
        <v>0</v>
      </c>
      <c r="K177" s="7">
        <v>60</v>
      </c>
      <c r="L177" s="4">
        <v>46223</v>
      </c>
      <c r="M177" s="7">
        <v>36.799999999999997</v>
      </c>
      <c r="N177" s="191"/>
    </row>
    <row r="178" spans="1:14" x14ac:dyDescent="0.35">
      <c r="A178" s="42">
        <v>1</v>
      </c>
      <c r="B178" s="158" t="s">
        <v>345</v>
      </c>
      <c r="C178" s="158" t="s">
        <v>346</v>
      </c>
      <c r="D178" s="8" t="s">
        <v>15</v>
      </c>
      <c r="E178" s="7">
        <f t="shared" ref="E178:E182" si="30">(K178+11)</f>
        <v>71</v>
      </c>
      <c r="F178" s="7">
        <f t="shared" ref="F178:F182" si="31">(E178+10)</f>
        <v>81</v>
      </c>
      <c r="G178" s="9" t="s">
        <v>16</v>
      </c>
      <c r="H178" s="27" t="str">
        <f t="shared" ref="H178:H179" si="32">IF(J178="",("-"),(IF(J178="STD BY",("STD BY"),(IF(J178="N/A",("N/A"),(IF(J178&lt;5,("Normal"),(IF(J178&lt;11,("Low"),(IF(J178&lt;21,("Medium"),(IF(J178&lt;41,("High"),("Critical"))))))))))))))</f>
        <v>Normal</v>
      </c>
      <c r="I178" s="160" t="str">
        <f>IF(COUNTIF(H178:H182,"-")&gt;0,("-"),(IF(COUNTIF(H178:H182,"STD BY")&gt;0,("STD BY"),(IF(COUNTIF(H178:H182,"N/A")&gt;0,("N/A"),(IF(COUNTIF(H178:H182,"Critical")&gt;0,("Critical"),(IF(COUNTIF(H178:H182,"High")&gt;0,("High"),(IF(COUNTIF(H178:H182,"Medium")&gt;0,("Medium"),(IF(COUNTIF(H178:H182,"Low")&gt;0,("Low"),("Normal"))))))))))))))</f>
        <v>Normal</v>
      </c>
      <c r="J178" s="7">
        <f t="shared" ref="J178:J182" si="33">IF(M178="",(""),(IF(M178="STD BY",("STD BY"),(IF(M178="N/A",("N/A"),(IF(M178-K178&gt;0,(M178-K178),(0))))))))</f>
        <v>0</v>
      </c>
      <c r="K178" s="7">
        <v>60</v>
      </c>
      <c r="L178" s="4">
        <v>46223</v>
      </c>
      <c r="M178" s="7">
        <v>42.3</v>
      </c>
      <c r="N178" s="190" t="s">
        <v>372</v>
      </c>
    </row>
    <row r="179" spans="1:14" x14ac:dyDescent="0.35">
      <c r="A179" s="19"/>
      <c r="B179" s="158"/>
      <c r="C179" s="158"/>
      <c r="D179" s="10" t="s">
        <v>17</v>
      </c>
      <c r="E179" s="7">
        <f t="shared" si="30"/>
        <v>56</v>
      </c>
      <c r="F179" s="7">
        <f t="shared" si="31"/>
        <v>66</v>
      </c>
      <c r="G179" s="9" t="s">
        <v>16</v>
      </c>
      <c r="H179" s="27" t="str">
        <f t="shared" si="32"/>
        <v>Normal</v>
      </c>
      <c r="I179" s="160"/>
      <c r="J179" s="7">
        <f t="shared" si="33"/>
        <v>4.1000000000000014</v>
      </c>
      <c r="K179" s="7">
        <v>45</v>
      </c>
      <c r="L179" s="4">
        <v>46223</v>
      </c>
      <c r="M179" s="7">
        <v>49.1</v>
      </c>
      <c r="N179" s="191"/>
    </row>
    <row r="180" spans="1:14" x14ac:dyDescent="0.35">
      <c r="A180" s="19"/>
      <c r="B180" s="158"/>
      <c r="C180" s="158"/>
      <c r="D180" s="10" t="s">
        <v>18</v>
      </c>
      <c r="E180" s="7">
        <f t="shared" si="30"/>
        <v>66</v>
      </c>
      <c r="F180" s="7">
        <f t="shared" si="31"/>
        <v>76</v>
      </c>
      <c r="G180" s="9" t="s">
        <v>16</v>
      </c>
      <c r="H180" s="27" t="str">
        <f>IF(J180="",("-"),(IF(J180="STD BY",("STD BY"),(IF(J180="N/A",("N/A"),(IF(J180&lt;5,("Normal"),(IF(J180&lt;11,("Low"),(IF(J180&lt;21,("Medium"),(IF(J180&lt;41,("High"),("Critical"))))))))))))))</f>
        <v>Normal</v>
      </c>
      <c r="I180" s="160"/>
      <c r="J180" s="7">
        <f t="shared" si="33"/>
        <v>0</v>
      </c>
      <c r="K180" s="7">
        <v>55</v>
      </c>
      <c r="L180" s="4">
        <v>46223</v>
      </c>
      <c r="M180" s="7">
        <v>49.5</v>
      </c>
      <c r="N180" s="191"/>
    </row>
    <row r="181" spans="1:14" x14ac:dyDescent="0.35">
      <c r="A181" s="19"/>
      <c r="B181" s="158"/>
      <c r="C181" s="158"/>
      <c r="D181" s="10" t="s">
        <v>19</v>
      </c>
      <c r="E181" s="7">
        <f t="shared" si="30"/>
        <v>71</v>
      </c>
      <c r="F181" s="7">
        <f t="shared" si="31"/>
        <v>81</v>
      </c>
      <c r="G181" s="9" t="s">
        <v>16</v>
      </c>
      <c r="H181" s="120" t="str">
        <f t="shared" ref="H181" si="34">IF(J181="",("-"),(IF(J181="STD BY",("STD BY"),(IF(J181="N/A",("N/A"),(IF(J181&lt;5,("Normal"),(IF(J181&lt;11,("Low"),(IF(J181&lt;21,("Medium"),(IF(J181&lt;41,("High"),("Critical"))))))))))))))</f>
        <v>Normal</v>
      </c>
      <c r="I181" s="160"/>
      <c r="J181" s="7">
        <v>0</v>
      </c>
      <c r="K181" s="7">
        <v>60</v>
      </c>
      <c r="L181" s="4">
        <v>46223</v>
      </c>
      <c r="M181" s="7">
        <v>42.7</v>
      </c>
      <c r="N181" s="191"/>
    </row>
    <row r="182" spans="1:14" x14ac:dyDescent="0.35">
      <c r="A182" s="19"/>
      <c r="B182" s="158"/>
      <c r="C182" s="158"/>
      <c r="D182" s="10" t="s">
        <v>22</v>
      </c>
      <c r="E182" s="7">
        <f t="shared" si="30"/>
        <v>71</v>
      </c>
      <c r="F182" s="7">
        <f t="shared" si="31"/>
        <v>81</v>
      </c>
      <c r="G182" s="9" t="s">
        <v>16</v>
      </c>
      <c r="H182" s="27" t="str">
        <f t="shared" ref="H182" si="35">IF(J182="",("-"),(IF(J182="STD BY",("STD BY"),(IF(J182="N/A",("N/A"),(IF(J182&lt;5,("Normal"),(IF(J182&lt;11,("Low"),(IF(J182&lt;21,("Medium"),(IF(J182&lt;41,("High"),("Critical"))))))))))))))</f>
        <v>Normal</v>
      </c>
      <c r="I182" s="160"/>
      <c r="J182" s="7">
        <f t="shared" si="33"/>
        <v>0</v>
      </c>
      <c r="K182" s="7">
        <v>60</v>
      </c>
      <c r="L182" s="4">
        <v>46223</v>
      </c>
      <c r="M182" s="7">
        <v>45.3</v>
      </c>
      <c r="N182" s="191"/>
    </row>
    <row r="183" spans="1:14" ht="15" customHeight="1" x14ac:dyDescent="0.35">
      <c r="A183" s="23">
        <v>1</v>
      </c>
      <c r="B183" s="152" t="s">
        <v>45</v>
      </c>
      <c r="C183" s="152" t="s">
        <v>46</v>
      </c>
      <c r="D183" s="11" t="s">
        <v>47</v>
      </c>
      <c r="E183" s="7">
        <f t="shared" si="17"/>
        <v>71</v>
      </c>
      <c r="F183" s="7">
        <f t="shared" si="18"/>
        <v>81</v>
      </c>
      <c r="G183" s="9" t="s">
        <v>16</v>
      </c>
      <c r="H183" s="27" t="str">
        <f t="shared" si="19"/>
        <v>Normal</v>
      </c>
      <c r="I183" s="155" t="str">
        <f>IF(COUNTIF(H183:H192,"-")&gt;0,("-"),(IF(COUNTIF(H183:H192,"STD BY")&gt;0,("STD BY"),(IF(COUNTIF(H183:H192,"N/A")&gt;0,("N/A"),(IF(COUNTIF(H183:H192,"Critical")&gt;0,("Critical"),(IF(COUNTIF(H183:H192,"High")&gt;0,("High"),(IF(COUNTIF(H183:H192,"Medium")&gt;0,("Medium"),(IF(COUNTIF(H183:H192,"Low")&gt;0,("Low"),("Normal"))))))))))))))</f>
        <v>Normal</v>
      </c>
      <c r="J183" s="7">
        <f t="shared" si="20"/>
        <v>0</v>
      </c>
      <c r="K183" s="14">
        <v>60</v>
      </c>
      <c r="L183" s="4">
        <v>46223</v>
      </c>
      <c r="M183" s="3">
        <v>57.3</v>
      </c>
      <c r="N183" s="195" t="s">
        <v>372</v>
      </c>
    </row>
    <row r="184" spans="1:14" x14ac:dyDescent="0.35">
      <c r="A184" s="24"/>
      <c r="B184" s="153"/>
      <c r="C184" s="153"/>
      <c r="D184" s="11" t="s">
        <v>48</v>
      </c>
      <c r="E184" s="7">
        <f t="shared" si="17"/>
        <v>71</v>
      </c>
      <c r="F184" s="7">
        <f t="shared" si="18"/>
        <v>81</v>
      </c>
      <c r="G184" s="9" t="s">
        <v>16</v>
      </c>
      <c r="H184" s="27" t="str">
        <f t="shared" si="19"/>
        <v>Normal</v>
      </c>
      <c r="I184" s="156"/>
      <c r="J184" s="7">
        <f t="shared" si="20"/>
        <v>0</v>
      </c>
      <c r="K184" s="14">
        <v>60</v>
      </c>
      <c r="L184" s="4">
        <v>46223</v>
      </c>
      <c r="M184" s="3">
        <v>53.6</v>
      </c>
      <c r="N184" s="195"/>
    </row>
    <row r="185" spans="1:14" ht="15" customHeight="1" x14ac:dyDescent="0.35">
      <c r="A185" s="24"/>
      <c r="B185" s="153"/>
      <c r="C185" s="153"/>
      <c r="D185" s="11" t="s">
        <v>49</v>
      </c>
      <c r="E185" s="7">
        <f t="shared" si="17"/>
        <v>71</v>
      </c>
      <c r="F185" s="7">
        <f t="shared" si="18"/>
        <v>81</v>
      </c>
      <c r="G185" s="9" t="s">
        <v>16</v>
      </c>
      <c r="H185" s="27" t="str">
        <f t="shared" si="19"/>
        <v>Normal</v>
      </c>
      <c r="I185" s="156"/>
      <c r="J185" s="7">
        <f t="shared" si="20"/>
        <v>0</v>
      </c>
      <c r="K185" s="14">
        <v>60</v>
      </c>
      <c r="L185" s="4">
        <v>46223</v>
      </c>
      <c r="M185" s="3">
        <v>57.7</v>
      </c>
      <c r="N185" s="195"/>
    </row>
    <row r="186" spans="1:14" ht="15" customHeight="1" x14ac:dyDescent="0.35">
      <c r="A186" s="24"/>
      <c r="B186" s="153"/>
      <c r="C186" s="153"/>
      <c r="D186" s="11" t="s">
        <v>50</v>
      </c>
      <c r="E186" s="7">
        <f t="shared" si="17"/>
        <v>71</v>
      </c>
      <c r="F186" s="7">
        <f t="shared" si="18"/>
        <v>81</v>
      </c>
      <c r="G186" s="9" t="s">
        <v>16</v>
      </c>
      <c r="H186" s="27" t="str">
        <f t="shared" si="19"/>
        <v>Normal</v>
      </c>
      <c r="I186" s="156"/>
      <c r="J186" s="7">
        <f t="shared" si="20"/>
        <v>0</v>
      </c>
      <c r="K186" s="14">
        <v>60</v>
      </c>
      <c r="L186" s="4">
        <v>46223</v>
      </c>
      <c r="M186" s="3">
        <v>59.7</v>
      </c>
      <c r="N186" s="195"/>
    </row>
    <row r="187" spans="1:14" x14ac:dyDescent="0.35">
      <c r="A187" s="24"/>
      <c r="B187" s="153"/>
      <c r="C187" s="153"/>
      <c r="D187" s="11" t="s">
        <v>136</v>
      </c>
      <c r="E187" s="7">
        <f t="shared" si="17"/>
        <v>56</v>
      </c>
      <c r="F187" s="7">
        <f t="shared" si="18"/>
        <v>66</v>
      </c>
      <c r="G187" s="9" t="s">
        <v>16</v>
      </c>
      <c r="H187" s="27" t="str">
        <f t="shared" si="19"/>
        <v>Normal</v>
      </c>
      <c r="I187" s="156"/>
      <c r="J187" s="7">
        <f t="shared" si="20"/>
        <v>0</v>
      </c>
      <c r="K187" s="14">
        <v>45</v>
      </c>
      <c r="L187" s="4">
        <v>46223</v>
      </c>
      <c r="M187" s="3">
        <v>33.700000000000003</v>
      </c>
      <c r="N187" s="195"/>
    </row>
    <row r="188" spans="1:14" x14ac:dyDescent="0.35">
      <c r="A188" s="24"/>
      <c r="B188" s="153"/>
      <c r="C188" s="153"/>
      <c r="D188" s="11" t="s">
        <v>137</v>
      </c>
      <c r="E188" s="7">
        <f t="shared" si="17"/>
        <v>56</v>
      </c>
      <c r="F188" s="7">
        <f t="shared" si="18"/>
        <v>66</v>
      </c>
      <c r="G188" s="9" t="s">
        <v>16</v>
      </c>
      <c r="H188" s="27" t="str">
        <f t="shared" si="19"/>
        <v>Normal</v>
      </c>
      <c r="I188" s="156"/>
      <c r="J188" s="7">
        <f t="shared" si="20"/>
        <v>0</v>
      </c>
      <c r="K188" s="14">
        <v>45</v>
      </c>
      <c r="L188" s="4">
        <v>46223</v>
      </c>
      <c r="M188" s="3">
        <v>33.1</v>
      </c>
      <c r="N188" s="195"/>
    </row>
    <row r="189" spans="1:14" x14ac:dyDescent="0.35">
      <c r="A189" s="24"/>
      <c r="B189" s="153"/>
      <c r="C189" s="153"/>
      <c r="D189" s="11" t="s">
        <v>138</v>
      </c>
      <c r="E189" s="7">
        <f t="shared" ref="E189:E274" si="36">(K189+11)</f>
        <v>56</v>
      </c>
      <c r="F189" s="7">
        <f t="shared" ref="F189:F274" si="37">(E189+10)</f>
        <v>66</v>
      </c>
      <c r="G189" s="9" t="s">
        <v>16</v>
      </c>
      <c r="H189" s="27" t="str">
        <f t="shared" ref="H189:H274" si="38">IF(J189="",("-"),(IF(J189="STD BY",("STD BY"),(IF(J189="N/A",("N/A"),(IF(J189&lt;5,("Normal"),(IF(J189&lt;11,("Low"),(IF(J189&lt;21,("Medium"),(IF(J189&lt;41,("High"),("Critical"))))))))))))))</f>
        <v>Normal</v>
      </c>
      <c r="I189" s="156"/>
      <c r="J189" s="7">
        <f t="shared" si="20"/>
        <v>0</v>
      </c>
      <c r="K189" s="14">
        <v>45</v>
      </c>
      <c r="L189" s="4">
        <v>46223</v>
      </c>
      <c r="M189" s="3">
        <v>33.200000000000003</v>
      </c>
      <c r="N189" s="195"/>
    </row>
    <row r="190" spans="1:14" x14ac:dyDescent="0.35">
      <c r="A190" s="24"/>
      <c r="B190" s="153"/>
      <c r="C190" s="153"/>
      <c r="D190" s="11" t="s">
        <v>139</v>
      </c>
      <c r="E190" s="7">
        <f t="shared" si="36"/>
        <v>56</v>
      </c>
      <c r="F190" s="7">
        <f t="shared" si="37"/>
        <v>66</v>
      </c>
      <c r="G190" s="9" t="s">
        <v>16</v>
      </c>
      <c r="H190" s="27" t="str">
        <f t="shared" si="38"/>
        <v>Normal</v>
      </c>
      <c r="I190" s="156"/>
      <c r="J190" s="7">
        <f t="shared" si="20"/>
        <v>0</v>
      </c>
      <c r="K190" s="14">
        <v>45</v>
      </c>
      <c r="L190" s="4">
        <v>46223</v>
      </c>
      <c r="M190" s="3">
        <v>29.1</v>
      </c>
      <c r="N190" s="195"/>
    </row>
    <row r="191" spans="1:14" x14ac:dyDescent="0.35">
      <c r="A191" s="24"/>
      <c r="B191" s="153"/>
      <c r="C191" s="153"/>
      <c r="D191" s="11" t="s">
        <v>140</v>
      </c>
      <c r="E191" s="7">
        <f t="shared" si="36"/>
        <v>56</v>
      </c>
      <c r="F191" s="7">
        <f t="shared" si="37"/>
        <v>66</v>
      </c>
      <c r="G191" s="9" t="s">
        <v>16</v>
      </c>
      <c r="H191" s="27" t="str">
        <f t="shared" si="38"/>
        <v>Normal</v>
      </c>
      <c r="I191" s="156"/>
      <c r="J191" s="7">
        <f t="shared" si="20"/>
        <v>0</v>
      </c>
      <c r="K191" s="14">
        <v>45</v>
      </c>
      <c r="L191" s="4">
        <v>46223</v>
      </c>
      <c r="M191" s="3">
        <v>28.9</v>
      </c>
      <c r="N191" s="195"/>
    </row>
    <row r="192" spans="1:14" x14ac:dyDescent="0.35">
      <c r="A192" s="25"/>
      <c r="B192" s="154"/>
      <c r="C192" s="154"/>
      <c r="D192" s="11" t="s">
        <v>141</v>
      </c>
      <c r="E192" s="7">
        <f t="shared" si="36"/>
        <v>56</v>
      </c>
      <c r="F192" s="7">
        <f t="shared" si="37"/>
        <v>66</v>
      </c>
      <c r="G192" s="9" t="s">
        <v>16</v>
      </c>
      <c r="H192" s="27" t="str">
        <f t="shared" si="38"/>
        <v>Normal</v>
      </c>
      <c r="I192" s="157"/>
      <c r="J192" s="7">
        <f t="shared" si="20"/>
        <v>0</v>
      </c>
      <c r="K192" s="14">
        <v>45</v>
      </c>
      <c r="L192" s="4">
        <v>46223</v>
      </c>
      <c r="M192" s="3">
        <v>29</v>
      </c>
      <c r="N192" s="195"/>
    </row>
    <row r="193" spans="1:14" ht="15" customHeight="1" x14ac:dyDescent="0.35">
      <c r="A193" s="26">
        <v>1</v>
      </c>
      <c r="B193" s="158" t="s">
        <v>259</v>
      </c>
      <c r="C193" s="158" t="s">
        <v>260</v>
      </c>
      <c r="D193" s="11" t="s">
        <v>47</v>
      </c>
      <c r="E193" s="7">
        <f t="shared" ref="E193:E214" si="39">(K193+11)</f>
        <v>71</v>
      </c>
      <c r="F193" s="7">
        <f t="shared" ref="F193:F214" si="40">(E193+10)</f>
        <v>81</v>
      </c>
      <c r="G193" s="9" t="s">
        <v>16</v>
      </c>
      <c r="H193" s="27" t="str">
        <f t="shared" ref="H193:H214" si="41">IF(J193="",("-"),(IF(J193="STD BY",("STD BY"),(IF(J193="N/A",("N/A"),(IF(J193&lt;5,("Normal"),(IF(J193&lt;11,("Low"),(IF(J193&lt;21,("Medium"),(IF(J193&lt;41,("High"),("Critical"))))))))))))))</f>
        <v>Normal</v>
      </c>
      <c r="I193" s="155" t="str">
        <f>IF(COUNTIF(H193:H203,"-")&gt;0,("-"),(IF(COUNTIF(H193:H203,"STD BY")&gt;0,("STD BY"),(IF(COUNTIF(H193:H203,"N/A")&gt;0,("N/A"),(IF(COUNTIF(H193:H203,"Critical")&gt;0,("Critical"),(IF(COUNTIF(H193:H203,"High")&gt;0,("High"),(IF(COUNTIF(H193:H203,"Medium")&gt;0,("Medium"),(IF(COUNTIF(H193:H203,"Low")&gt;0,("Low"),("Normal"))))))))))))))</f>
        <v>Normal</v>
      </c>
      <c r="J193" s="7">
        <f t="shared" ref="J193:J214" si="42">IF(M193="",(""),(IF(M193="STD BY",("STD BY"),(IF(M193="N/A",("N/A"),(IF(M193-K193&gt;0,(M193-K193),(0))))))))</f>
        <v>0</v>
      </c>
      <c r="K193" s="14">
        <v>60</v>
      </c>
      <c r="L193" s="4">
        <v>46216</v>
      </c>
      <c r="M193" s="3">
        <v>37.299999999999997</v>
      </c>
      <c r="N193" s="159" t="s">
        <v>372</v>
      </c>
    </row>
    <row r="194" spans="1:14" x14ac:dyDescent="0.35">
      <c r="A194" s="19"/>
      <c r="B194" s="158"/>
      <c r="C194" s="158"/>
      <c r="D194" s="11" t="s">
        <v>48</v>
      </c>
      <c r="E194" s="7">
        <f t="shared" si="39"/>
        <v>71</v>
      </c>
      <c r="F194" s="7">
        <f t="shared" si="40"/>
        <v>81</v>
      </c>
      <c r="G194" s="9" t="s">
        <v>16</v>
      </c>
      <c r="H194" s="27" t="str">
        <f t="shared" si="41"/>
        <v>Normal</v>
      </c>
      <c r="I194" s="156"/>
      <c r="J194" s="7">
        <f t="shared" si="42"/>
        <v>0</v>
      </c>
      <c r="K194" s="14">
        <v>60</v>
      </c>
      <c r="L194" s="4">
        <v>46216</v>
      </c>
      <c r="M194" s="3">
        <v>38.4</v>
      </c>
      <c r="N194" s="159"/>
    </row>
    <row r="195" spans="1:14" x14ac:dyDescent="0.35">
      <c r="A195" s="19"/>
      <c r="B195" s="158"/>
      <c r="C195" s="158"/>
      <c r="D195" s="11" t="s">
        <v>49</v>
      </c>
      <c r="E195" s="7">
        <f t="shared" si="39"/>
        <v>71</v>
      </c>
      <c r="F195" s="7">
        <f t="shared" si="40"/>
        <v>81</v>
      </c>
      <c r="G195" s="9" t="s">
        <v>16</v>
      </c>
      <c r="H195" s="27" t="str">
        <f t="shared" si="41"/>
        <v>Normal</v>
      </c>
      <c r="I195" s="156"/>
      <c r="J195" s="7">
        <f t="shared" si="42"/>
        <v>0</v>
      </c>
      <c r="K195" s="14">
        <v>60</v>
      </c>
      <c r="L195" s="4">
        <v>46216</v>
      </c>
      <c r="M195" s="3">
        <v>38.5</v>
      </c>
      <c r="N195" s="159"/>
    </row>
    <row r="196" spans="1:14" x14ac:dyDescent="0.35">
      <c r="A196" s="19"/>
      <c r="B196" s="158"/>
      <c r="C196" s="158"/>
      <c r="D196" s="11" t="s">
        <v>50</v>
      </c>
      <c r="E196" s="7">
        <f t="shared" si="39"/>
        <v>71</v>
      </c>
      <c r="F196" s="7">
        <f t="shared" si="40"/>
        <v>81</v>
      </c>
      <c r="G196" s="9" t="s">
        <v>16</v>
      </c>
      <c r="H196" s="27" t="str">
        <f t="shared" si="41"/>
        <v>Normal</v>
      </c>
      <c r="I196" s="156"/>
      <c r="J196" s="7">
        <f t="shared" si="42"/>
        <v>0</v>
      </c>
      <c r="K196" s="14">
        <v>60</v>
      </c>
      <c r="L196" s="4">
        <v>46216</v>
      </c>
      <c r="M196" s="3">
        <v>37.200000000000003</v>
      </c>
      <c r="N196" s="159"/>
    </row>
    <row r="197" spans="1:14" x14ac:dyDescent="0.35">
      <c r="A197" s="19"/>
      <c r="B197" s="158"/>
      <c r="C197" s="158"/>
      <c r="D197" s="11" t="s">
        <v>142</v>
      </c>
      <c r="E197" s="7">
        <f t="shared" si="39"/>
        <v>56</v>
      </c>
      <c r="F197" s="7">
        <f t="shared" si="40"/>
        <v>66</v>
      </c>
      <c r="G197" s="9" t="s">
        <v>16</v>
      </c>
      <c r="H197" s="27" t="str">
        <f t="shared" si="41"/>
        <v>Normal</v>
      </c>
      <c r="I197" s="156"/>
      <c r="J197" s="7">
        <f t="shared" si="42"/>
        <v>0</v>
      </c>
      <c r="K197" s="14">
        <v>45</v>
      </c>
      <c r="L197" s="4">
        <v>46216</v>
      </c>
      <c r="M197" s="3">
        <v>32.200000000000003</v>
      </c>
      <c r="N197" s="159"/>
    </row>
    <row r="198" spans="1:14" x14ac:dyDescent="0.35">
      <c r="A198" s="19"/>
      <c r="B198" s="158"/>
      <c r="C198" s="158"/>
      <c r="D198" s="11" t="s">
        <v>143</v>
      </c>
      <c r="E198" s="7">
        <f t="shared" si="39"/>
        <v>56</v>
      </c>
      <c r="F198" s="7">
        <f t="shared" si="40"/>
        <v>66</v>
      </c>
      <c r="G198" s="9" t="s">
        <v>16</v>
      </c>
      <c r="H198" s="27" t="str">
        <f t="shared" si="41"/>
        <v>Normal</v>
      </c>
      <c r="I198" s="156"/>
      <c r="J198" s="7">
        <f t="shared" si="42"/>
        <v>0</v>
      </c>
      <c r="K198" s="14">
        <v>45</v>
      </c>
      <c r="L198" s="4">
        <v>46216</v>
      </c>
      <c r="M198" s="3">
        <v>31.4</v>
      </c>
      <c r="N198" s="159"/>
    </row>
    <row r="199" spans="1:14" x14ac:dyDescent="0.35">
      <c r="A199" s="19"/>
      <c r="B199" s="158"/>
      <c r="C199" s="158"/>
      <c r="D199" s="11" t="s">
        <v>144</v>
      </c>
      <c r="E199" s="7">
        <f t="shared" si="39"/>
        <v>56</v>
      </c>
      <c r="F199" s="7">
        <f t="shared" si="40"/>
        <v>66</v>
      </c>
      <c r="G199" s="9" t="s">
        <v>16</v>
      </c>
      <c r="H199" s="27" t="str">
        <f t="shared" si="41"/>
        <v>Normal</v>
      </c>
      <c r="I199" s="156"/>
      <c r="J199" s="7">
        <f t="shared" si="42"/>
        <v>0</v>
      </c>
      <c r="K199" s="14">
        <v>45</v>
      </c>
      <c r="L199" s="4">
        <v>46216</v>
      </c>
      <c r="M199" s="3">
        <v>32.1</v>
      </c>
      <c r="N199" s="159"/>
    </row>
    <row r="200" spans="1:14" x14ac:dyDescent="0.35">
      <c r="A200" s="19"/>
      <c r="B200" s="158"/>
      <c r="C200" s="158"/>
      <c r="D200" s="11" t="s">
        <v>185</v>
      </c>
      <c r="E200" s="7">
        <f t="shared" si="39"/>
        <v>56</v>
      </c>
      <c r="F200" s="7">
        <f t="shared" si="40"/>
        <v>66</v>
      </c>
      <c r="G200" s="9" t="s">
        <v>16</v>
      </c>
      <c r="H200" s="27" t="str">
        <f t="shared" si="41"/>
        <v>Normal</v>
      </c>
      <c r="I200" s="156"/>
      <c r="J200" s="7">
        <f t="shared" si="42"/>
        <v>0</v>
      </c>
      <c r="K200" s="14">
        <v>45</v>
      </c>
      <c r="L200" s="4">
        <v>46216</v>
      </c>
      <c r="M200" s="3">
        <v>31.7</v>
      </c>
      <c r="N200" s="159"/>
    </row>
    <row r="201" spans="1:14" x14ac:dyDescent="0.35">
      <c r="A201" s="19"/>
      <c r="B201" s="158"/>
      <c r="C201" s="158"/>
      <c r="D201" s="11" t="s">
        <v>186</v>
      </c>
      <c r="E201" s="7">
        <f t="shared" si="39"/>
        <v>56</v>
      </c>
      <c r="F201" s="7">
        <f t="shared" si="40"/>
        <v>66</v>
      </c>
      <c r="G201" s="9" t="s">
        <v>16</v>
      </c>
      <c r="H201" s="27" t="str">
        <f t="shared" si="41"/>
        <v>Normal</v>
      </c>
      <c r="I201" s="156"/>
      <c r="J201" s="7">
        <f t="shared" si="42"/>
        <v>0</v>
      </c>
      <c r="K201" s="14">
        <v>45</v>
      </c>
      <c r="L201" s="4">
        <v>46216</v>
      </c>
      <c r="M201" s="3">
        <v>31.6</v>
      </c>
      <c r="N201" s="159"/>
    </row>
    <row r="202" spans="1:14" x14ac:dyDescent="0.35">
      <c r="A202" s="19"/>
      <c r="B202" s="158"/>
      <c r="C202" s="158"/>
      <c r="D202" s="11" t="s">
        <v>187</v>
      </c>
      <c r="E202" s="7">
        <f t="shared" si="39"/>
        <v>56</v>
      </c>
      <c r="F202" s="7">
        <f t="shared" si="40"/>
        <v>66</v>
      </c>
      <c r="G202" s="9" t="s">
        <v>16</v>
      </c>
      <c r="H202" s="27" t="str">
        <f t="shared" si="41"/>
        <v>Normal</v>
      </c>
      <c r="I202" s="156"/>
      <c r="J202" s="7">
        <f t="shared" si="42"/>
        <v>0</v>
      </c>
      <c r="K202" s="14">
        <v>45</v>
      </c>
      <c r="L202" s="4">
        <v>46216</v>
      </c>
      <c r="M202" s="3">
        <v>31.3</v>
      </c>
      <c r="N202" s="159"/>
    </row>
    <row r="203" spans="1:14" x14ac:dyDescent="0.35">
      <c r="A203" s="19"/>
      <c r="B203" s="158"/>
      <c r="C203" s="158"/>
      <c r="D203" s="11" t="s">
        <v>188</v>
      </c>
      <c r="E203" s="7">
        <f t="shared" si="39"/>
        <v>56</v>
      </c>
      <c r="F203" s="7">
        <f t="shared" si="40"/>
        <v>66</v>
      </c>
      <c r="G203" s="9" t="s">
        <v>16</v>
      </c>
      <c r="H203" s="27" t="str">
        <f t="shared" si="41"/>
        <v>Normal</v>
      </c>
      <c r="I203" s="157"/>
      <c r="J203" s="7">
        <f t="shared" si="42"/>
        <v>0</v>
      </c>
      <c r="K203" s="14">
        <v>45</v>
      </c>
      <c r="L203" s="4">
        <v>46216</v>
      </c>
      <c r="M203" s="3">
        <v>29.7</v>
      </c>
      <c r="N203" s="159"/>
    </row>
    <row r="204" spans="1:14" ht="15" customHeight="1" x14ac:dyDescent="0.35">
      <c r="A204" s="18">
        <v>1</v>
      </c>
      <c r="B204" s="158" t="s">
        <v>261</v>
      </c>
      <c r="C204" s="158" t="s">
        <v>262</v>
      </c>
      <c r="D204" s="40" t="s">
        <v>47</v>
      </c>
      <c r="E204" s="37">
        <f t="shared" si="39"/>
        <v>71</v>
      </c>
      <c r="F204" s="37">
        <f t="shared" si="40"/>
        <v>81</v>
      </c>
      <c r="G204" s="38" t="s">
        <v>16</v>
      </c>
      <c r="H204" s="36" t="str">
        <f t="shared" si="41"/>
        <v>Normal</v>
      </c>
      <c r="I204" s="156" t="str">
        <f>IF(COUNTIF(H204:H214,"-")&gt;0,("-"),(IF(COUNTIF(H204:H214,"STD BY")&gt;0,("STD BY"),(IF(COUNTIF(H204:H214,"N/A")&gt;0,("N/A"),(IF(COUNTIF(H204:H214,"Critical")&gt;0,("Critical"),(IF(COUNTIF(H204:H214,"High")&gt;0,("High"),(IF(COUNTIF(H204:H214,"Medium")&gt;0,("Medium"),(IF(COUNTIF(H204:H214,"Low")&gt;0,("Low"),("Normal"))))))))))))))</f>
        <v>Normal</v>
      </c>
      <c r="J204" s="37">
        <f t="shared" si="42"/>
        <v>0</v>
      </c>
      <c r="K204" s="39">
        <v>60</v>
      </c>
      <c r="L204" s="4">
        <v>46230</v>
      </c>
      <c r="M204" s="5">
        <v>30.3</v>
      </c>
      <c r="N204" s="159" t="s">
        <v>372</v>
      </c>
    </row>
    <row r="205" spans="1:14" x14ac:dyDescent="0.35">
      <c r="A205" s="48"/>
      <c r="B205" s="158"/>
      <c r="C205" s="158"/>
      <c r="D205" s="41" t="s">
        <v>48</v>
      </c>
      <c r="E205" s="7">
        <f t="shared" si="39"/>
        <v>71</v>
      </c>
      <c r="F205" s="7">
        <f t="shared" si="40"/>
        <v>81</v>
      </c>
      <c r="G205" s="9" t="s">
        <v>16</v>
      </c>
      <c r="H205" s="27" t="str">
        <f t="shared" si="41"/>
        <v>Normal</v>
      </c>
      <c r="I205" s="156"/>
      <c r="J205" s="7">
        <f t="shared" si="42"/>
        <v>0</v>
      </c>
      <c r="K205" s="14">
        <v>60</v>
      </c>
      <c r="L205" s="4">
        <v>46230</v>
      </c>
      <c r="M205" s="5">
        <v>48.2</v>
      </c>
      <c r="N205" s="159"/>
    </row>
    <row r="206" spans="1:14" x14ac:dyDescent="0.35">
      <c r="A206" s="48"/>
      <c r="B206" s="158"/>
      <c r="C206" s="158"/>
      <c r="D206" s="41" t="s">
        <v>49</v>
      </c>
      <c r="E206" s="7">
        <f t="shared" si="39"/>
        <v>71</v>
      </c>
      <c r="F206" s="7">
        <f t="shared" si="40"/>
        <v>81</v>
      </c>
      <c r="G206" s="9" t="s">
        <v>16</v>
      </c>
      <c r="H206" s="27" t="str">
        <f t="shared" si="41"/>
        <v>Normal</v>
      </c>
      <c r="I206" s="156"/>
      <c r="J206" s="7">
        <f t="shared" si="42"/>
        <v>0</v>
      </c>
      <c r="K206" s="14">
        <v>60</v>
      </c>
      <c r="L206" s="4">
        <v>46230</v>
      </c>
      <c r="M206" s="5">
        <v>31.9</v>
      </c>
      <c r="N206" s="159"/>
    </row>
    <row r="207" spans="1:14" x14ac:dyDescent="0.35">
      <c r="A207" s="48"/>
      <c r="B207" s="158"/>
      <c r="C207" s="158"/>
      <c r="D207" s="41" t="s">
        <v>50</v>
      </c>
      <c r="E207" s="7">
        <f t="shared" si="39"/>
        <v>71</v>
      </c>
      <c r="F207" s="7">
        <f t="shared" si="40"/>
        <v>81</v>
      </c>
      <c r="G207" s="9" t="s">
        <v>16</v>
      </c>
      <c r="H207" s="27" t="str">
        <f t="shared" si="41"/>
        <v>Normal</v>
      </c>
      <c r="I207" s="156"/>
      <c r="J207" s="7">
        <f t="shared" si="42"/>
        <v>0</v>
      </c>
      <c r="K207" s="14">
        <v>60</v>
      </c>
      <c r="L207" s="4">
        <v>46230</v>
      </c>
      <c r="M207" s="5">
        <v>31.4</v>
      </c>
      <c r="N207" s="159"/>
    </row>
    <row r="208" spans="1:14" x14ac:dyDescent="0.35">
      <c r="A208" s="48"/>
      <c r="B208" s="158"/>
      <c r="C208" s="158"/>
      <c r="D208" s="41" t="s">
        <v>142</v>
      </c>
      <c r="E208" s="7">
        <f t="shared" si="39"/>
        <v>56</v>
      </c>
      <c r="F208" s="7">
        <f t="shared" si="40"/>
        <v>66</v>
      </c>
      <c r="G208" s="9" t="s">
        <v>16</v>
      </c>
      <c r="H208" s="27" t="str">
        <f t="shared" si="41"/>
        <v>Normal</v>
      </c>
      <c r="I208" s="156"/>
      <c r="J208" s="7">
        <f t="shared" si="42"/>
        <v>0</v>
      </c>
      <c r="K208" s="14">
        <v>45</v>
      </c>
      <c r="L208" s="4">
        <v>46230</v>
      </c>
      <c r="M208" s="5">
        <v>30</v>
      </c>
      <c r="N208" s="159"/>
    </row>
    <row r="209" spans="1:14" x14ac:dyDescent="0.35">
      <c r="A209" s="48"/>
      <c r="B209" s="158"/>
      <c r="C209" s="158"/>
      <c r="D209" s="41" t="s">
        <v>143</v>
      </c>
      <c r="E209" s="7">
        <f t="shared" si="39"/>
        <v>56</v>
      </c>
      <c r="F209" s="7">
        <f t="shared" si="40"/>
        <v>66</v>
      </c>
      <c r="G209" s="9" t="s">
        <v>16</v>
      </c>
      <c r="H209" s="27" t="str">
        <f t="shared" si="41"/>
        <v>Normal</v>
      </c>
      <c r="I209" s="156"/>
      <c r="J209" s="7">
        <f t="shared" si="42"/>
        <v>0</v>
      </c>
      <c r="K209" s="14">
        <v>45</v>
      </c>
      <c r="L209" s="4">
        <v>46230</v>
      </c>
      <c r="M209" s="5">
        <v>30.6</v>
      </c>
      <c r="N209" s="159"/>
    </row>
    <row r="210" spans="1:14" x14ac:dyDescent="0.35">
      <c r="A210" s="48"/>
      <c r="B210" s="158"/>
      <c r="C210" s="158"/>
      <c r="D210" s="41" t="s">
        <v>144</v>
      </c>
      <c r="E210" s="7">
        <f t="shared" si="39"/>
        <v>56</v>
      </c>
      <c r="F210" s="7">
        <f t="shared" si="40"/>
        <v>66</v>
      </c>
      <c r="G210" s="9" t="s">
        <v>16</v>
      </c>
      <c r="H210" s="27" t="str">
        <f t="shared" si="41"/>
        <v>Normal</v>
      </c>
      <c r="I210" s="156"/>
      <c r="J210" s="7">
        <f t="shared" si="42"/>
        <v>0</v>
      </c>
      <c r="K210" s="14">
        <v>45</v>
      </c>
      <c r="L210" s="4">
        <v>46230</v>
      </c>
      <c r="M210" s="5">
        <v>30.3</v>
      </c>
      <c r="N210" s="159"/>
    </row>
    <row r="211" spans="1:14" x14ac:dyDescent="0.35">
      <c r="A211" s="48"/>
      <c r="B211" s="158"/>
      <c r="C211" s="158"/>
      <c r="D211" s="41" t="s">
        <v>185</v>
      </c>
      <c r="E211" s="7">
        <f t="shared" si="39"/>
        <v>56</v>
      </c>
      <c r="F211" s="7">
        <f t="shared" si="40"/>
        <v>66</v>
      </c>
      <c r="G211" s="9" t="s">
        <v>16</v>
      </c>
      <c r="H211" s="27" t="str">
        <f t="shared" si="41"/>
        <v>Normal</v>
      </c>
      <c r="I211" s="156"/>
      <c r="J211" s="7">
        <f t="shared" si="42"/>
        <v>0</v>
      </c>
      <c r="K211" s="14">
        <v>45</v>
      </c>
      <c r="L211" s="4">
        <v>46230</v>
      </c>
      <c r="M211" s="5">
        <v>30.3</v>
      </c>
      <c r="N211" s="159"/>
    </row>
    <row r="212" spans="1:14" x14ac:dyDescent="0.35">
      <c r="A212" s="48"/>
      <c r="B212" s="158"/>
      <c r="C212" s="158"/>
      <c r="D212" s="41" t="s">
        <v>186</v>
      </c>
      <c r="E212" s="7">
        <f t="shared" si="39"/>
        <v>56</v>
      </c>
      <c r="F212" s="7">
        <f t="shared" si="40"/>
        <v>66</v>
      </c>
      <c r="G212" s="9" t="s">
        <v>16</v>
      </c>
      <c r="H212" s="27" t="str">
        <f t="shared" si="41"/>
        <v>Normal</v>
      </c>
      <c r="I212" s="156"/>
      <c r="J212" s="7">
        <f t="shared" si="42"/>
        <v>0</v>
      </c>
      <c r="K212" s="14">
        <v>45</v>
      </c>
      <c r="L212" s="4">
        <v>46230</v>
      </c>
      <c r="M212" s="5">
        <v>30.4</v>
      </c>
      <c r="N212" s="159"/>
    </row>
    <row r="213" spans="1:14" x14ac:dyDescent="0.35">
      <c r="A213" s="48"/>
      <c r="B213" s="158"/>
      <c r="C213" s="158"/>
      <c r="D213" s="41" t="s">
        <v>187</v>
      </c>
      <c r="E213" s="7">
        <f t="shared" si="39"/>
        <v>56</v>
      </c>
      <c r="F213" s="7">
        <f t="shared" si="40"/>
        <v>66</v>
      </c>
      <c r="G213" s="9" t="s">
        <v>16</v>
      </c>
      <c r="H213" s="27" t="str">
        <f t="shared" si="41"/>
        <v>Normal</v>
      </c>
      <c r="I213" s="156"/>
      <c r="J213" s="7">
        <f t="shared" si="42"/>
        <v>0</v>
      </c>
      <c r="K213" s="14">
        <v>45</v>
      </c>
      <c r="L213" s="4">
        <v>46230</v>
      </c>
      <c r="M213" s="5">
        <v>30.3</v>
      </c>
      <c r="N213" s="159"/>
    </row>
    <row r="214" spans="1:14" x14ac:dyDescent="0.35">
      <c r="A214" s="49"/>
      <c r="B214" s="152"/>
      <c r="C214" s="152"/>
      <c r="D214" s="43" t="s">
        <v>188</v>
      </c>
      <c r="E214" s="16">
        <f t="shared" si="39"/>
        <v>56</v>
      </c>
      <c r="F214" s="16">
        <f t="shared" si="40"/>
        <v>66</v>
      </c>
      <c r="G214" s="17" t="s">
        <v>16</v>
      </c>
      <c r="H214" s="28" t="str">
        <f t="shared" si="41"/>
        <v>Normal</v>
      </c>
      <c r="I214" s="156"/>
      <c r="J214" s="16">
        <f t="shared" si="42"/>
        <v>0</v>
      </c>
      <c r="K214" s="44">
        <v>45</v>
      </c>
      <c r="L214" s="4">
        <v>46230</v>
      </c>
      <c r="M214" s="46">
        <v>30.9</v>
      </c>
      <c r="N214" s="159"/>
    </row>
    <row r="215" spans="1:14" ht="15" customHeight="1" x14ac:dyDescent="0.35">
      <c r="A215" s="26">
        <v>2</v>
      </c>
      <c r="B215" s="152" t="s">
        <v>237</v>
      </c>
      <c r="C215" s="152" t="s">
        <v>221</v>
      </c>
      <c r="D215" s="8" t="s">
        <v>15</v>
      </c>
      <c r="E215" s="7">
        <f t="shared" si="36"/>
        <v>71</v>
      </c>
      <c r="F215" s="7">
        <f t="shared" si="37"/>
        <v>81</v>
      </c>
      <c r="G215" s="9" t="s">
        <v>16</v>
      </c>
      <c r="H215" s="27" t="str">
        <f t="shared" si="38"/>
        <v>STD BY</v>
      </c>
      <c r="I215" s="155" t="str">
        <f>IF(COUNTIF(H215:H221,"-")&gt;0,("-"),(IF(COUNTIF(H215:H221,"STD BY")&gt;0,("STD BY"),(IF(COUNTIF(H215:H221,"N/A")&gt;0,("N/A"),(IF(COUNTIF(H215:H221,"Critical")&gt;0,("Critical"),(IF(COUNTIF(H215:H221,"High")&gt;0,("High"),(IF(COUNTIF(H215:H221,"Medium")&gt;0,("Medium"),(IF(COUNTIF(H215:H221,"Low")&gt;0,("Low"),("Normal"))))))))))))))</f>
        <v>STD BY</v>
      </c>
      <c r="J215" s="7" t="str">
        <f t="shared" si="20"/>
        <v>STD BY</v>
      </c>
      <c r="K215" s="14">
        <v>60</v>
      </c>
      <c r="L215" s="4"/>
      <c r="M215" s="3" t="s">
        <v>376</v>
      </c>
      <c r="N215" s="147" t="s">
        <v>371</v>
      </c>
    </row>
    <row r="216" spans="1:14" ht="21" customHeight="1" x14ac:dyDescent="0.35">
      <c r="A216" s="19"/>
      <c r="B216" s="153"/>
      <c r="C216" s="153"/>
      <c r="D216" s="10" t="s">
        <v>17</v>
      </c>
      <c r="E216" s="7">
        <f t="shared" si="36"/>
        <v>61</v>
      </c>
      <c r="F216" s="7">
        <f t="shared" si="37"/>
        <v>71</v>
      </c>
      <c r="G216" s="9" t="s">
        <v>16</v>
      </c>
      <c r="H216" s="27" t="str">
        <f t="shared" si="38"/>
        <v>STD BY</v>
      </c>
      <c r="I216" s="156"/>
      <c r="J216" s="7" t="str">
        <f t="shared" si="20"/>
        <v>STD BY</v>
      </c>
      <c r="K216" s="14">
        <v>50</v>
      </c>
      <c r="L216" s="4"/>
      <c r="M216" s="3" t="s">
        <v>376</v>
      </c>
      <c r="N216" s="188"/>
    </row>
    <row r="217" spans="1:14" ht="21" customHeight="1" x14ac:dyDescent="0.35">
      <c r="A217" s="19"/>
      <c r="B217" s="153"/>
      <c r="C217" s="153"/>
      <c r="D217" s="10" t="s">
        <v>18</v>
      </c>
      <c r="E217" s="7">
        <f t="shared" si="36"/>
        <v>61</v>
      </c>
      <c r="F217" s="7">
        <f t="shared" si="37"/>
        <v>71</v>
      </c>
      <c r="G217" s="9" t="s">
        <v>16</v>
      </c>
      <c r="H217" s="27" t="str">
        <f t="shared" si="38"/>
        <v>STD BY</v>
      </c>
      <c r="I217" s="156"/>
      <c r="J217" s="7" t="str">
        <f t="shared" si="20"/>
        <v>STD BY</v>
      </c>
      <c r="K217" s="14">
        <v>50</v>
      </c>
      <c r="L217" s="4"/>
      <c r="M217" s="3" t="s">
        <v>376</v>
      </c>
      <c r="N217" s="188"/>
    </row>
    <row r="218" spans="1:14" ht="21" customHeight="1" x14ac:dyDescent="0.35">
      <c r="A218" s="19"/>
      <c r="B218" s="153"/>
      <c r="C218" s="153"/>
      <c r="D218" s="10" t="s">
        <v>19</v>
      </c>
      <c r="E218" s="7">
        <f t="shared" si="36"/>
        <v>81</v>
      </c>
      <c r="F218" s="7">
        <f t="shared" si="37"/>
        <v>91</v>
      </c>
      <c r="G218" s="9" t="s">
        <v>16</v>
      </c>
      <c r="H218" s="27" t="str">
        <f t="shared" si="38"/>
        <v>STD BY</v>
      </c>
      <c r="I218" s="156"/>
      <c r="J218" s="7" t="str">
        <f t="shared" si="20"/>
        <v>STD BY</v>
      </c>
      <c r="K218" s="14">
        <v>70</v>
      </c>
      <c r="L218" s="4"/>
      <c r="M218" s="3" t="s">
        <v>376</v>
      </c>
      <c r="N218" s="188"/>
    </row>
    <row r="219" spans="1:14" x14ac:dyDescent="0.35">
      <c r="A219" s="19"/>
      <c r="B219" s="153"/>
      <c r="C219" s="153"/>
      <c r="D219" s="10" t="s">
        <v>33</v>
      </c>
      <c r="E219" s="7">
        <f t="shared" si="36"/>
        <v>41</v>
      </c>
      <c r="F219" s="7">
        <f t="shared" si="37"/>
        <v>51</v>
      </c>
      <c r="G219" s="9" t="s">
        <v>16</v>
      </c>
      <c r="H219" s="27" t="str">
        <f t="shared" si="38"/>
        <v>STD BY</v>
      </c>
      <c r="I219" s="156"/>
      <c r="J219" s="7" t="str">
        <f t="shared" si="20"/>
        <v>STD BY</v>
      </c>
      <c r="K219" s="14">
        <v>30</v>
      </c>
      <c r="L219" s="4"/>
      <c r="M219" s="3" t="s">
        <v>376</v>
      </c>
      <c r="N219" s="188"/>
    </row>
    <row r="220" spans="1:14" x14ac:dyDescent="0.35">
      <c r="A220" s="19"/>
      <c r="B220" s="153"/>
      <c r="C220" s="153"/>
      <c r="D220" s="10" t="s">
        <v>34</v>
      </c>
      <c r="E220" s="7">
        <f t="shared" si="36"/>
        <v>41</v>
      </c>
      <c r="F220" s="7">
        <f t="shared" si="37"/>
        <v>51</v>
      </c>
      <c r="G220" s="9" t="s">
        <v>16</v>
      </c>
      <c r="H220" s="27" t="str">
        <f t="shared" si="38"/>
        <v>STD BY</v>
      </c>
      <c r="I220" s="156"/>
      <c r="J220" s="7" t="str">
        <f t="shared" si="20"/>
        <v>STD BY</v>
      </c>
      <c r="K220" s="14">
        <v>30</v>
      </c>
      <c r="L220" s="4"/>
      <c r="M220" s="3" t="s">
        <v>376</v>
      </c>
      <c r="N220" s="188"/>
    </row>
    <row r="221" spans="1:14" x14ac:dyDescent="0.35">
      <c r="A221" s="19"/>
      <c r="B221" s="154"/>
      <c r="C221" s="154"/>
      <c r="D221" s="10" t="s">
        <v>35</v>
      </c>
      <c r="E221" s="7">
        <f t="shared" si="36"/>
        <v>41</v>
      </c>
      <c r="F221" s="7">
        <f t="shared" si="37"/>
        <v>51</v>
      </c>
      <c r="G221" s="9" t="s">
        <v>16</v>
      </c>
      <c r="H221" s="27" t="str">
        <f t="shared" si="38"/>
        <v>STD BY</v>
      </c>
      <c r="I221" s="157"/>
      <c r="J221" s="7" t="str">
        <f t="shared" si="20"/>
        <v>STD BY</v>
      </c>
      <c r="K221" s="14">
        <v>30</v>
      </c>
      <c r="L221" s="4"/>
      <c r="M221" s="3" t="s">
        <v>376</v>
      </c>
      <c r="N221" s="189"/>
    </row>
    <row r="222" spans="1:14" ht="15" customHeight="1" x14ac:dyDescent="0.35">
      <c r="A222" s="18">
        <v>2</v>
      </c>
      <c r="B222" s="152" t="s">
        <v>238</v>
      </c>
      <c r="C222" s="152" t="s">
        <v>229</v>
      </c>
      <c r="D222" s="8" t="s">
        <v>15</v>
      </c>
      <c r="E222" s="7">
        <f t="shared" si="36"/>
        <v>71</v>
      </c>
      <c r="F222" s="7">
        <f t="shared" si="37"/>
        <v>81</v>
      </c>
      <c r="G222" s="9" t="s">
        <v>16</v>
      </c>
      <c r="H222" s="27" t="str">
        <f t="shared" si="38"/>
        <v>Normal</v>
      </c>
      <c r="I222" s="155" t="str">
        <f>IF(COUNTIF(H222:H228,"-")&gt;0,("-"),(IF(COUNTIF(H222:H228,"STD BY")&gt;0,("STD BY"),(IF(COUNTIF(H222:H228,"N/A")&gt;0,("N/A"),(IF(COUNTIF(H222:H228,"Critical")&gt;0,("Critical"),(IF(COUNTIF(H222:H228,"High")&gt;0,("High"),(IF(COUNTIF(H222:H228,"Medium")&gt;0,("Medium"),(IF(COUNTIF(H222:H228,"Low")&gt;0,("Low"),("Normal"))))))))))))))</f>
        <v>Normal</v>
      </c>
      <c r="J222" s="7">
        <f t="shared" si="20"/>
        <v>0</v>
      </c>
      <c r="K222" s="14">
        <v>60</v>
      </c>
      <c r="L222" s="4">
        <v>46226</v>
      </c>
      <c r="M222" s="3">
        <v>58.1</v>
      </c>
      <c r="N222" s="147" t="s">
        <v>372</v>
      </c>
    </row>
    <row r="223" spans="1:14" x14ac:dyDescent="0.35">
      <c r="A223" s="19"/>
      <c r="B223" s="153"/>
      <c r="C223" s="153"/>
      <c r="D223" s="10" t="s">
        <v>17</v>
      </c>
      <c r="E223" s="7">
        <f t="shared" si="36"/>
        <v>61</v>
      </c>
      <c r="F223" s="7">
        <f t="shared" si="37"/>
        <v>71</v>
      </c>
      <c r="G223" s="9" t="s">
        <v>16</v>
      </c>
      <c r="H223" s="27" t="str">
        <f t="shared" si="38"/>
        <v>Normal</v>
      </c>
      <c r="I223" s="156"/>
      <c r="J223" s="7">
        <f t="shared" si="20"/>
        <v>0</v>
      </c>
      <c r="K223" s="14">
        <v>50</v>
      </c>
      <c r="L223" s="4">
        <v>46226</v>
      </c>
      <c r="M223" s="3">
        <v>46.6</v>
      </c>
      <c r="N223" s="188"/>
    </row>
    <row r="224" spans="1:14" x14ac:dyDescent="0.35">
      <c r="A224" s="19"/>
      <c r="B224" s="153"/>
      <c r="C224" s="153"/>
      <c r="D224" s="10" t="s">
        <v>18</v>
      </c>
      <c r="E224" s="7">
        <f t="shared" si="36"/>
        <v>61</v>
      </c>
      <c r="F224" s="7">
        <f t="shared" si="37"/>
        <v>71</v>
      </c>
      <c r="G224" s="9" t="s">
        <v>16</v>
      </c>
      <c r="H224" s="27" t="str">
        <f t="shared" si="38"/>
        <v>Normal</v>
      </c>
      <c r="I224" s="156"/>
      <c r="J224" s="7">
        <f t="shared" si="20"/>
        <v>0</v>
      </c>
      <c r="K224" s="14">
        <v>50</v>
      </c>
      <c r="L224" s="4">
        <v>46226</v>
      </c>
      <c r="M224" s="3">
        <v>49.4</v>
      </c>
      <c r="N224" s="188"/>
    </row>
    <row r="225" spans="1:14" x14ac:dyDescent="0.35">
      <c r="A225" s="19"/>
      <c r="B225" s="153"/>
      <c r="C225" s="153"/>
      <c r="D225" s="10" t="s">
        <v>19</v>
      </c>
      <c r="E225" s="7">
        <f t="shared" si="36"/>
        <v>61</v>
      </c>
      <c r="F225" s="7">
        <f t="shared" si="37"/>
        <v>71</v>
      </c>
      <c r="G225" s="9" t="s">
        <v>16</v>
      </c>
      <c r="H225" s="27" t="str">
        <f t="shared" si="38"/>
        <v>Normal</v>
      </c>
      <c r="I225" s="156"/>
      <c r="J225" s="7">
        <f t="shared" si="20"/>
        <v>0</v>
      </c>
      <c r="K225" s="14">
        <v>50</v>
      </c>
      <c r="L225" s="4">
        <v>46226</v>
      </c>
      <c r="M225" s="3">
        <v>0</v>
      </c>
      <c r="N225" s="188"/>
    </row>
    <row r="226" spans="1:14" x14ac:dyDescent="0.35">
      <c r="A226" s="19"/>
      <c r="B226" s="153"/>
      <c r="C226" s="153"/>
      <c r="D226" s="10" t="s">
        <v>33</v>
      </c>
      <c r="E226" s="7">
        <f t="shared" si="36"/>
        <v>41</v>
      </c>
      <c r="F226" s="7">
        <f t="shared" si="37"/>
        <v>51</v>
      </c>
      <c r="G226" s="9" t="s">
        <v>16</v>
      </c>
      <c r="H226" s="27" t="str">
        <f t="shared" si="38"/>
        <v>Normal</v>
      </c>
      <c r="I226" s="156"/>
      <c r="J226" s="7">
        <f t="shared" si="20"/>
        <v>0</v>
      </c>
      <c r="K226" s="14">
        <v>30</v>
      </c>
      <c r="L226" s="4">
        <v>46226</v>
      </c>
      <c r="M226" s="3">
        <v>0</v>
      </c>
      <c r="N226" s="188"/>
    </row>
    <row r="227" spans="1:14" x14ac:dyDescent="0.35">
      <c r="A227" s="19"/>
      <c r="B227" s="153"/>
      <c r="C227" s="153"/>
      <c r="D227" s="10" t="s">
        <v>34</v>
      </c>
      <c r="E227" s="7">
        <f t="shared" si="36"/>
        <v>41</v>
      </c>
      <c r="F227" s="7">
        <f t="shared" si="37"/>
        <v>51</v>
      </c>
      <c r="G227" s="9" t="s">
        <v>16</v>
      </c>
      <c r="H227" s="27" t="str">
        <f t="shared" si="38"/>
        <v>Normal</v>
      </c>
      <c r="I227" s="156"/>
      <c r="J227" s="7">
        <f t="shared" si="20"/>
        <v>0</v>
      </c>
      <c r="K227" s="14">
        <v>30</v>
      </c>
      <c r="L227" s="4">
        <v>46226</v>
      </c>
      <c r="M227" s="3">
        <v>0</v>
      </c>
      <c r="N227" s="188"/>
    </row>
    <row r="228" spans="1:14" x14ac:dyDescent="0.35">
      <c r="A228" s="19"/>
      <c r="B228" s="154"/>
      <c r="C228" s="154"/>
      <c r="D228" s="10" t="s">
        <v>35</v>
      </c>
      <c r="E228" s="7">
        <f t="shared" si="36"/>
        <v>41</v>
      </c>
      <c r="F228" s="7">
        <f t="shared" si="37"/>
        <v>51</v>
      </c>
      <c r="G228" s="9" t="s">
        <v>16</v>
      </c>
      <c r="H228" s="27" t="str">
        <f t="shared" si="38"/>
        <v>Normal</v>
      </c>
      <c r="I228" s="157"/>
      <c r="J228" s="7">
        <f t="shared" si="20"/>
        <v>0</v>
      </c>
      <c r="K228" s="14">
        <v>30</v>
      </c>
      <c r="L228" s="4">
        <v>46226</v>
      </c>
      <c r="M228" s="3">
        <v>0</v>
      </c>
      <c r="N228" s="189"/>
    </row>
    <row r="229" spans="1:14" ht="15" customHeight="1" x14ac:dyDescent="0.35">
      <c r="A229" s="18">
        <v>2</v>
      </c>
      <c r="B229" s="152" t="s">
        <v>239</v>
      </c>
      <c r="C229" s="152" t="s">
        <v>222</v>
      </c>
      <c r="D229" s="8" t="s">
        <v>15</v>
      </c>
      <c r="E229" s="7">
        <f t="shared" si="36"/>
        <v>71</v>
      </c>
      <c r="F229" s="7">
        <f t="shared" si="37"/>
        <v>81</v>
      </c>
      <c r="G229" s="9" t="s">
        <v>16</v>
      </c>
      <c r="H229" s="27" t="str">
        <f t="shared" si="38"/>
        <v>STD BY</v>
      </c>
      <c r="I229" s="155" t="str">
        <f>IF(COUNTIF(H229:H238,"-")&gt;0,("-"),(IF(COUNTIF(H229:H238,"STD BY")&gt;0,("STD BY"),(IF(COUNTIF(H229:H238,"N/A")&gt;0,("N/A"),(IF(COUNTIF(H229:H238,"Critical")&gt;0,("Critical"),(IF(COUNTIF(H229:H238,"High")&gt;0,("High"),(IF(COUNTIF(H229:H238,"Medium")&gt;0,("Medium"),(IF(COUNTIF(H229:H238,"Low")&gt;0,("Low"),("Normal"))))))))))))))</f>
        <v>STD BY</v>
      </c>
      <c r="J229" s="7" t="str">
        <f t="shared" si="20"/>
        <v>STD BY</v>
      </c>
      <c r="K229" s="14">
        <v>60</v>
      </c>
      <c r="L229" s="4"/>
      <c r="M229" s="3" t="s">
        <v>376</v>
      </c>
      <c r="N229" s="195" t="s">
        <v>371</v>
      </c>
    </row>
    <row r="230" spans="1:14" x14ac:dyDescent="0.35">
      <c r="A230" s="19"/>
      <c r="B230" s="153"/>
      <c r="C230" s="153"/>
      <c r="D230" s="10" t="s">
        <v>17</v>
      </c>
      <c r="E230" s="7">
        <f t="shared" si="36"/>
        <v>66</v>
      </c>
      <c r="F230" s="7">
        <f t="shared" si="37"/>
        <v>76</v>
      </c>
      <c r="G230" s="9" t="s">
        <v>16</v>
      </c>
      <c r="H230" s="27" t="str">
        <f t="shared" si="38"/>
        <v>STD BY</v>
      </c>
      <c r="I230" s="156"/>
      <c r="J230" s="7" t="str">
        <f t="shared" si="20"/>
        <v>STD BY</v>
      </c>
      <c r="K230" s="14">
        <v>55</v>
      </c>
      <c r="L230" s="4"/>
      <c r="M230" s="3" t="s">
        <v>376</v>
      </c>
      <c r="N230" s="195"/>
    </row>
    <row r="231" spans="1:14" x14ac:dyDescent="0.35">
      <c r="A231" s="19"/>
      <c r="B231" s="153"/>
      <c r="C231" s="153"/>
      <c r="D231" s="10" t="s">
        <v>18</v>
      </c>
      <c r="E231" s="7">
        <f t="shared" si="36"/>
        <v>61</v>
      </c>
      <c r="F231" s="7">
        <f t="shared" si="37"/>
        <v>71</v>
      </c>
      <c r="G231" s="9" t="s">
        <v>16</v>
      </c>
      <c r="H231" s="27" t="str">
        <f t="shared" si="38"/>
        <v>STD BY</v>
      </c>
      <c r="I231" s="156"/>
      <c r="J231" s="7" t="str">
        <f t="shared" si="20"/>
        <v>STD BY</v>
      </c>
      <c r="K231" s="14">
        <v>50</v>
      </c>
      <c r="L231" s="4"/>
      <c r="M231" s="3" t="s">
        <v>376</v>
      </c>
      <c r="N231" s="195"/>
    </row>
    <row r="232" spans="1:14" x14ac:dyDescent="0.35">
      <c r="A232" s="19"/>
      <c r="B232" s="153"/>
      <c r="C232" s="153"/>
      <c r="D232" s="10" t="s">
        <v>157</v>
      </c>
      <c r="E232" s="7">
        <f t="shared" si="36"/>
        <v>61</v>
      </c>
      <c r="F232" s="7">
        <f t="shared" si="37"/>
        <v>71</v>
      </c>
      <c r="G232" s="9" t="s">
        <v>16</v>
      </c>
      <c r="H232" s="27" t="str">
        <f t="shared" si="38"/>
        <v>STD BY</v>
      </c>
      <c r="I232" s="156"/>
      <c r="J232" s="7" t="str">
        <f t="shared" si="20"/>
        <v>STD BY</v>
      </c>
      <c r="K232" s="14">
        <v>50</v>
      </c>
      <c r="L232" s="4"/>
      <c r="M232" s="3" t="s">
        <v>376</v>
      </c>
      <c r="N232" s="195"/>
    </row>
    <row r="233" spans="1:14" x14ac:dyDescent="0.35">
      <c r="A233" s="19"/>
      <c r="B233" s="153"/>
      <c r="C233" s="153"/>
      <c r="D233" s="10" t="s">
        <v>158</v>
      </c>
      <c r="E233" s="7">
        <f t="shared" si="36"/>
        <v>61</v>
      </c>
      <c r="F233" s="7">
        <f t="shared" si="37"/>
        <v>71</v>
      </c>
      <c r="G233" s="9" t="s">
        <v>16</v>
      </c>
      <c r="H233" s="27" t="str">
        <f t="shared" si="38"/>
        <v>STD BY</v>
      </c>
      <c r="I233" s="156"/>
      <c r="J233" s="7" t="str">
        <f t="shared" si="20"/>
        <v>STD BY</v>
      </c>
      <c r="K233" s="14">
        <v>50</v>
      </c>
      <c r="L233" s="4"/>
      <c r="M233" s="3" t="s">
        <v>376</v>
      </c>
      <c r="N233" s="195"/>
    </row>
    <row r="234" spans="1:14" x14ac:dyDescent="0.35">
      <c r="A234" s="19"/>
      <c r="B234" s="153"/>
      <c r="C234" s="153"/>
      <c r="D234" s="10" t="s">
        <v>159</v>
      </c>
      <c r="E234" s="7">
        <f t="shared" si="36"/>
        <v>61</v>
      </c>
      <c r="F234" s="7">
        <f t="shared" si="37"/>
        <v>71</v>
      </c>
      <c r="G234" s="9" t="s">
        <v>16</v>
      </c>
      <c r="H234" s="27" t="str">
        <f t="shared" si="38"/>
        <v>STD BY</v>
      </c>
      <c r="I234" s="156"/>
      <c r="J234" s="7" t="str">
        <f t="shared" si="20"/>
        <v>STD BY</v>
      </c>
      <c r="K234" s="14">
        <v>50</v>
      </c>
      <c r="L234" s="4"/>
      <c r="M234" s="3" t="s">
        <v>376</v>
      </c>
      <c r="N234" s="195"/>
    </row>
    <row r="235" spans="1:14" x14ac:dyDescent="0.35">
      <c r="A235" s="19"/>
      <c r="B235" s="153"/>
      <c r="C235" s="153"/>
      <c r="D235" s="10" t="s">
        <v>160</v>
      </c>
      <c r="E235" s="7">
        <f t="shared" si="36"/>
        <v>61</v>
      </c>
      <c r="F235" s="7">
        <f t="shared" si="37"/>
        <v>71</v>
      </c>
      <c r="G235" s="9" t="s">
        <v>16</v>
      </c>
      <c r="H235" s="27" t="str">
        <f t="shared" si="38"/>
        <v>STD BY</v>
      </c>
      <c r="I235" s="156"/>
      <c r="J235" s="7" t="str">
        <f t="shared" si="20"/>
        <v>STD BY</v>
      </c>
      <c r="K235" s="14">
        <v>50</v>
      </c>
      <c r="L235" s="4"/>
      <c r="M235" s="3" t="s">
        <v>376</v>
      </c>
      <c r="N235" s="195"/>
    </row>
    <row r="236" spans="1:14" x14ac:dyDescent="0.35">
      <c r="A236" s="19"/>
      <c r="B236" s="153"/>
      <c r="C236" s="153"/>
      <c r="D236" s="10" t="s">
        <v>33</v>
      </c>
      <c r="E236" s="7">
        <f t="shared" si="36"/>
        <v>41</v>
      </c>
      <c r="F236" s="7">
        <f t="shared" si="37"/>
        <v>51</v>
      </c>
      <c r="G236" s="9" t="s">
        <v>16</v>
      </c>
      <c r="H236" s="27" t="str">
        <f t="shared" si="38"/>
        <v>STD BY</v>
      </c>
      <c r="I236" s="156"/>
      <c r="J236" s="7" t="str">
        <f t="shared" si="20"/>
        <v>STD BY</v>
      </c>
      <c r="K236" s="14">
        <v>30</v>
      </c>
      <c r="L236" s="4"/>
      <c r="M236" s="3" t="s">
        <v>376</v>
      </c>
      <c r="N236" s="195"/>
    </row>
    <row r="237" spans="1:14" x14ac:dyDescent="0.35">
      <c r="A237" s="19"/>
      <c r="B237" s="153"/>
      <c r="C237" s="153"/>
      <c r="D237" s="10" t="s">
        <v>34</v>
      </c>
      <c r="E237" s="7">
        <f t="shared" si="36"/>
        <v>41</v>
      </c>
      <c r="F237" s="7">
        <f t="shared" si="37"/>
        <v>51</v>
      </c>
      <c r="G237" s="9" t="s">
        <v>16</v>
      </c>
      <c r="H237" s="27" t="str">
        <f t="shared" si="38"/>
        <v>STD BY</v>
      </c>
      <c r="I237" s="156"/>
      <c r="J237" s="7" t="str">
        <f t="shared" si="20"/>
        <v>STD BY</v>
      </c>
      <c r="K237" s="14">
        <v>30</v>
      </c>
      <c r="L237" s="4"/>
      <c r="M237" s="3" t="s">
        <v>376</v>
      </c>
      <c r="N237" s="195"/>
    </row>
    <row r="238" spans="1:14" x14ac:dyDescent="0.35">
      <c r="A238" s="19"/>
      <c r="B238" s="154"/>
      <c r="C238" s="154"/>
      <c r="D238" s="10" t="s">
        <v>35</v>
      </c>
      <c r="E238" s="7">
        <f t="shared" si="36"/>
        <v>41</v>
      </c>
      <c r="F238" s="7">
        <f t="shared" si="37"/>
        <v>51</v>
      </c>
      <c r="G238" s="9" t="s">
        <v>16</v>
      </c>
      <c r="H238" s="27" t="str">
        <f t="shared" si="38"/>
        <v>STD BY</v>
      </c>
      <c r="I238" s="157"/>
      <c r="J238" s="7" t="str">
        <f t="shared" si="20"/>
        <v>STD BY</v>
      </c>
      <c r="K238" s="14">
        <v>30</v>
      </c>
      <c r="L238" s="4"/>
      <c r="M238" s="3" t="s">
        <v>376</v>
      </c>
      <c r="N238" s="195"/>
    </row>
    <row r="239" spans="1:14" ht="15" customHeight="1" x14ac:dyDescent="0.35">
      <c r="A239" s="18">
        <v>2</v>
      </c>
      <c r="B239" s="152" t="s">
        <v>240</v>
      </c>
      <c r="C239" s="152" t="s">
        <v>230</v>
      </c>
      <c r="D239" s="8" t="s">
        <v>15</v>
      </c>
      <c r="E239" s="7">
        <f t="shared" si="36"/>
        <v>71</v>
      </c>
      <c r="F239" s="7">
        <f t="shared" si="37"/>
        <v>81</v>
      </c>
      <c r="G239" s="9" t="s">
        <v>16</v>
      </c>
      <c r="H239" s="27" t="str">
        <f t="shared" si="38"/>
        <v>Normal</v>
      </c>
      <c r="I239" s="155" t="str">
        <f>IF(COUNTIF(H239:H248,"-")&gt;0,("-"),(IF(COUNTIF(H239:H248,"STD BY")&gt;0,("STD BY"),(IF(COUNTIF(H239:H248,"N/A")&gt;0,("N/A"),(IF(COUNTIF(H239:H248,"Critical")&gt;0,("Critical"),(IF(COUNTIF(H239:H248,"High")&gt;0,("High"),(IF(COUNTIF(H239:H248,"Medium")&gt;0,("Medium"),(IF(COUNTIF(H239:H248,"Low")&gt;0,("Low"),("Normal"))))))))))))))</f>
        <v>Low</v>
      </c>
      <c r="J239" s="7">
        <f t="shared" si="20"/>
        <v>0</v>
      </c>
      <c r="K239" s="14">
        <v>60</v>
      </c>
      <c r="L239" s="4">
        <v>46224</v>
      </c>
      <c r="M239" s="5">
        <v>60</v>
      </c>
      <c r="N239" s="195" t="s">
        <v>372</v>
      </c>
    </row>
    <row r="240" spans="1:14" x14ac:dyDescent="0.35">
      <c r="A240" s="19"/>
      <c r="B240" s="153"/>
      <c r="C240" s="153"/>
      <c r="D240" s="10" t="s">
        <v>17</v>
      </c>
      <c r="E240" s="7">
        <f t="shared" si="36"/>
        <v>66</v>
      </c>
      <c r="F240" s="7">
        <f t="shared" si="37"/>
        <v>76</v>
      </c>
      <c r="G240" s="9" t="s">
        <v>16</v>
      </c>
      <c r="H240" s="27" t="str">
        <f t="shared" si="38"/>
        <v>Normal</v>
      </c>
      <c r="I240" s="156"/>
      <c r="J240" s="7">
        <f t="shared" si="20"/>
        <v>0</v>
      </c>
      <c r="K240" s="14">
        <v>55</v>
      </c>
      <c r="L240" s="4">
        <v>46224</v>
      </c>
      <c r="M240" s="5">
        <v>53.9</v>
      </c>
      <c r="N240" s="195"/>
    </row>
    <row r="241" spans="1:14" x14ac:dyDescent="0.35">
      <c r="A241" s="19"/>
      <c r="B241" s="153"/>
      <c r="C241" s="153"/>
      <c r="D241" s="10" t="s">
        <v>18</v>
      </c>
      <c r="E241" s="7">
        <f t="shared" si="36"/>
        <v>61</v>
      </c>
      <c r="F241" s="7">
        <f t="shared" si="37"/>
        <v>71</v>
      </c>
      <c r="G241" s="9" t="s">
        <v>16</v>
      </c>
      <c r="H241" s="27" t="str">
        <f t="shared" si="38"/>
        <v>Normal</v>
      </c>
      <c r="I241" s="156"/>
      <c r="J241" s="7">
        <f t="shared" si="20"/>
        <v>0</v>
      </c>
      <c r="K241" s="14">
        <v>50</v>
      </c>
      <c r="L241" s="4">
        <v>46224</v>
      </c>
      <c r="M241" s="5">
        <v>49.7</v>
      </c>
      <c r="N241" s="195"/>
    </row>
    <row r="242" spans="1:14" x14ac:dyDescent="0.35">
      <c r="A242" s="19"/>
      <c r="B242" s="153"/>
      <c r="C242" s="153"/>
      <c r="D242" s="10" t="s">
        <v>157</v>
      </c>
      <c r="E242" s="7">
        <f t="shared" si="36"/>
        <v>61</v>
      </c>
      <c r="F242" s="7">
        <f t="shared" si="37"/>
        <v>71</v>
      </c>
      <c r="G242" s="9" t="s">
        <v>16</v>
      </c>
      <c r="H242" s="27" t="str">
        <f t="shared" si="38"/>
        <v>Low</v>
      </c>
      <c r="I242" s="156"/>
      <c r="J242" s="7">
        <f t="shared" si="20"/>
        <v>7.2999999999999972</v>
      </c>
      <c r="K242" s="14">
        <v>50</v>
      </c>
      <c r="L242" s="4">
        <v>46224</v>
      </c>
      <c r="M242" s="5">
        <v>57.3</v>
      </c>
      <c r="N242" s="195"/>
    </row>
    <row r="243" spans="1:14" x14ac:dyDescent="0.35">
      <c r="A243" s="19"/>
      <c r="B243" s="153"/>
      <c r="C243" s="153"/>
      <c r="D243" s="10" t="s">
        <v>158</v>
      </c>
      <c r="E243" s="7">
        <f t="shared" si="36"/>
        <v>61</v>
      </c>
      <c r="F243" s="7">
        <f t="shared" si="37"/>
        <v>71</v>
      </c>
      <c r="G243" s="9" t="s">
        <v>16</v>
      </c>
      <c r="H243" s="27" t="str">
        <f t="shared" si="38"/>
        <v>Low</v>
      </c>
      <c r="I243" s="156"/>
      <c r="J243" s="7">
        <f t="shared" si="20"/>
        <v>8.8999999999999986</v>
      </c>
      <c r="K243" s="14">
        <v>50</v>
      </c>
      <c r="L243" s="4">
        <v>46224</v>
      </c>
      <c r="M243" s="5">
        <v>58.9</v>
      </c>
      <c r="N243" s="195"/>
    </row>
    <row r="244" spans="1:14" x14ac:dyDescent="0.35">
      <c r="A244" s="19"/>
      <c r="B244" s="153"/>
      <c r="C244" s="153"/>
      <c r="D244" s="10" t="s">
        <v>159</v>
      </c>
      <c r="E244" s="7">
        <f t="shared" si="36"/>
        <v>61</v>
      </c>
      <c r="F244" s="7">
        <f t="shared" si="37"/>
        <v>71</v>
      </c>
      <c r="G244" s="9" t="s">
        <v>16</v>
      </c>
      <c r="H244" s="27" t="str">
        <f t="shared" si="38"/>
        <v>Normal</v>
      </c>
      <c r="I244" s="156"/>
      <c r="J244" s="7">
        <f t="shared" si="20"/>
        <v>0</v>
      </c>
      <c r="K244" s="14">
        <v>50</v>
      </c>
      <c r="L244" s="4">
        <v>46224</v>
      </c>
      <c r="M244" s="5">
        <v>46.5</v>
      </c>
      <c r="N244" s="195"/>
    </row>
    <row r="245" spans="1:14" x14ac:dyDescent="0.35">
      <c r="A245" s="19"/>
      <c r="B245" s="153"/>
      <c r="C245" s="153"/>
      <c r="D245" s="10" t="s">
        <v>160</v>
      </c>
      <c r="E245" s="7">
        <f t="shared" si="36"/>
        <v>61</v>
      </c>
      <c r="F245" s="7">
        <f t="shared" si="37"/>
        <v>71</v>
      </c>
      <c r="G245" s="9" t="s">
        <v>16</v>
      </c>
      <c r="H245" s="27" t="str">
        <f t="shared" si="38"/>
        <v>Low</v>
      </c>
      <c r="I245" s="156"/>
      <c r="J245" s="7">
        <f t="shared" si="20"/>
        <v>7</v>
      </c>
      <c r="K245" s="14">
        <v>50</v>
      </c>
      <c r="L245" s="4">
        <v>46224</v>
      </c>
      <c r="M245" s="5">
        <v>57</v>
      </c>
      <c r="N245" s="195"/>
    </row>
    <row r="246" spans="1:14" x14ac:dyDescent="0.35">
      <c r="A246" s="19"/>
      <c r="B246" s="153"/>
      <c r="C246" s="153"/>
      <c r="D246" s="10" t="s">
        <v>33</v>
      </c>
      <c r="E246" s="7">
        <f t="shared" si="36"/>
        <v>41</v>
      </c>
      <c r="F246" s="7">
        <f t="shared" si="37"/>
        <v>51</v>
      </c>
      <c r="G246" s="9" t="s">
        <v>16</v>
      </c>
      <c r="H246" s="27" t="str">
        <f t="shared" si="38"/>
        <v>Normal</v>
      </c>
      <c r="I246" s="156"/>
      <c r="J246" s="7">
        <f t="shared" si="20"/>
        <v>0</v>
      </c>
      <c r="K246" s="14">
        <v>30</v>
      </c>
      <c r="L246" s="4">
        <v>46224</v>
      </c>
      <c r="M246" s="5">
        <v>0</v>
      </c>
      <c r="N246" s="195"/>
    </row>
    <row r="247" spans="1:14" x14ac:dyDescent="0.35">
      <c r="A247" s="19"/>
      <c r="B247" s="153"/>
      <c r="C247" s="153"/>
      <c r="D247" s="10" t="s">
        <v>34</v>
      </c>
      <c r="E247" s="7">
        <f t="shared" si="36"/>
        <v>41</v>
      </c>
      <c r="F247" s="7">
        <f t="shared" si="37"/>
        <v>51</v>
      </c>
      <c r="G247" s="9" t="s">
        <v>16</v>
      </c>
      <c r="H247" s="27" t="str">
        <f t="shared" si="38"/>
        <v>Normal</v>
      </c>
      <c r="I247" s="156"/>
      <c r="J247" s="7">
        <f t="shared" si="20"/>
        <v>0</v>
      </c>
      <c r="K247" s="14">
        <v>30</v>
      </c>
      <c r="L247" s="4">
        <v>46224</v>
      </c>
      <c r="M247" s="5">
        <v>0</v>
      </c>
      <c r="N247" s="195"/>
    </row>
    <row r="248" spans="1:14" x14ac:dyDescent="0.35">
      <c r="A248" s="19"/>
      <c r="B248" s="154"/>
      <c r="C248" s="154"/>
      <c r="D248" s="10" t="s">
        <v>35</v>
      </c>
      <c r="E248" s="7">
        <f t="shared" si="36"/>
        <v>41</v>
      </c>
      <c r="F248" s="7">
        <f t="shared" si="37"/>
        <v>51</v>
      </c>
      <c r="G248" s="9" t="s">
        <v>16</v>
      </c>
      <c r="H248" s="27" t="str">
        <f t="shared" si="38"/>
        <v>Normal</v>
      </c>
      <c r="I248" s="157"/>
      <c r="J248" s="7">
        <f t="shared" si="20"/>
        <v>0</v>
      </c>
      <c r="K248" s="14">
        <v>30</v>
      </c>
      <c r="L248" s="4">
        <v>46224</v>
      </c>
      <c r="M248" s="5">
        <v>0</v>
      </c>
      <c r="N248" s="195"/>
    </row>
    <row r="249" spans="1:14" ht="15" customHeight="1" x14ac:dyDescent="0.35">
      <c r="A249" s="18">
        <v>2</v>
      </c>
      <c r="B249" s="152" t="s">
        <v>241</v>
      </c>
      <c r="C249" s="152" t="s">
        <v>223</v>
      </c>
      <c r="D249" s="8" t="s">
        <v>15</v>
      </c>
      <c r="E249" s="7">
        <f t="shared" si="36"/>
        <v>71</v>
      </c>
      <c r="F249" s="7">
        <f t="shared" si="37"/>
        <v>81</v>
      </c>
      <c r="G249" s="9" t="s">
        <v>16</v>
      </c>
      <c r="H249" s="27" t="str">
        <f t="shared" si="38"/>
        <v>Normal</v>
      </c>
      <c r="I249" s="155" t="str">
        <f>IF(COUNTIF(H249:H256,"-")&gt;0,("-"),(IF(COUNTIF(H249:H256,"STD BY")&gt;0,("STD BY"),(IF(COUNTIF(H249:H256,"N/A")&gt;0,("N/A"),(IF(COUNTIF(H249:H256,"Critical")&gt;0,("Critical"),(IF(COUNTIF(H249:H256,"High")&gt;0,("High"),(IF(COUNTIF(H249:H256,"Medium")&gt;0,("Medium"),(IF(COUNTIF(H249:H256,"Low")&gt;0,("Low"),("Normal"))))))))))))))</f>
        <v>Normal</v>
      </c>
      <c r="J249" s="7">
        <f t="shared" si="20"/>
        <v>0</v>
      </c>
      <c r="K249" s="14">
        <v>60</v>
      </c>
      <c r="L249" s="4">
        <v>46224</v>
      </c>
      <c r="M249" s="5">
        <v>50</v>
      </c>
      <c r="N249" s="186" t="s">
        <v>372</v>
      </c>
    </row>
    <row r="250" spans="1:14" x14ac:dyDescent="0.35">
      <c r="A250" s="19"/>
      <c r="B250" s="153"/>
      <c r="C250" s="153"/>
      <c r="D250" s="10" t="s">
        <v>17</v>
      </c>
      <c r="E250" s="7">
        <f t="shared" si="36"/>
        <v>61</v>
      </c>
      <c r="F250" s="7">
        <f t="shared" si="37"/>
        <v>71</v>
      </c>
      <c r="G250" s="9" t="s">
        <v>16</v>
      </c>
      <c r="H250" s="27" t="str">
        <f t="shared" si="38"/>
        <v>Normal</v>
      </c>
      <c r="I250" s="156"/>
      <c r="J250" s="7">
        <f t="shared" si="20"/>
        <v>0</v>
      </c>
      <c r="K250" s="14">
        <v>50</v>
      </c>
      <c r="L250" s="4">
        <v>46224</v>
      </c>
      <c r="M250" s="5">
        <v>36.4</v>
      </c>
      <c r="N250" s="187"/>
    </row>
    <row r="251" spans="1:14" x14ac:dyDescent="0.35">
      <c r="A251" s="19"/>
      <c r="B251" s="153"/>
      <c r="C251" s="153"/>
      <c r="D251" s="10" t="s">
        <v>18</v>
      </c>
      <c r="E251" s="7">
        <f t="shared" si="36"/>
        <v>61</v>
      </c>
      <c r="F251" s="7">
        <f t="shared" si="37"/>
        <v>71</v>
      </c>
      <c r="G251" s="9" t="s">
        <v>16</v>
      </c>
      <c r="H251" s="27" t="str">
        <f t="shared" si="38"/>
        <v>Normal</v>
      </c>
      <c r="I251" s="156"/>
      <c r="J251" s="7">
        <f t="shared" si="20"/>
        <v>1.1000000000000014</v>
      </c>
      <c r="K251" s="14">
        <v>50</v>
      </c>
      <c r="L251" s="4">
        <v>46224</v>
      </c>
      <c r="M251" s="5">
        <v>51.1</v>
      </c>
      <c r="N251" s="187"/>
    </row>
    <row r="252" spans="1:14" x14ac:dyDescent="0.35">
      <c r="A252" s="19"/>
      <c r="B252" s="153"/>
      <c r="C252" s="153"/>
      <c r="D252" s="10" t="s">
        <v>25</v>
      </c>
      <c r="E252" s="7">
        <f t="shared" si="36"/>
        <v>61</v>
      </c>
      <c r="F252" s="7">
        <f t="shared" si="37"/>
        <v>71</v>
      </c>
      <c r="G252" s="9" t="s">
        <v>16</v>
      </c>
      <c r="H252" s="27" t="str">
        <f t="shared" si="38"/>
        <v>Normal</v>
      </c>
      <c r="I252" s="156"/>
      <c r="J252" s="7">
        <f t="shared" si="20"/>
        <v>0</v>
      </c>
      <c r="K252" s="14">
        <v>50</v>
      </c>
      <c r="L252" s="4">
        <v>46224</v>
      </c>
      <c r="M252" s="5">
        <v>39.200000000000003</v>
      </c>
      <c r="N252" s="187"/>
    </row>
    <row r="253" spans="1:14" x14ac:dyDescent="0.35">
      <c r="A253" s="19"/>
      <c r="B253" s="153"/>
      <c r="C253" s="153"/>
      <c r="D253" s="10" t="s">
        <v>26</v>
      </c>
      <c r="E253" s="7">
        <f t="shared" si="36"/>
        <v>61</v>
      </c>
      <c r="F253" s="7">
        <f t="shared" si="37"/>
        <v>71</v>
      </c>
      <c r="G253" s="9" t="s">
        <v>16</v>
      </c>
      <c r="H253" s="27" t="str">
        <f t="shared" si="38"/>
        <v>Normal</v>
      </c>
      <c r="I253" s="156"/>
      <c r="J253" s="7">
        <f t="shared" si="20"/>
        <v>0</v>
      </c>
      <c r="K253" s="14">
        <v>50</v>
      </c>
      <c r="L253" s="4">
        <v>46224</v>
      </c>
      <c r="M253" s="5">
        <v>40.200000000000003</v>
      </c>
      <c r="N253" s="187"/>
    </row>
    <row r="254" spans="1:14" x14ac:dyDescent="0.35">
      <c r="A254" s="19"/>
      <c r="B254" s="153"/>
      <c r="C254" s="153"/>
      <c r="D254" s="10" t="s">
        <v>33</v>
      </c>
      <c r="E254" s="7">
        <f t="shared" si="36"/>
        <v>41</v>
      </c>
      <c r="F254" s="7">
        <f t="shared" si="37"/>
        <v>51</v>
      </c>
      <c r="G254" s="9" t="s">
        <v>16</v>
      </c>
      <c r="H254" s="27" t="str">
        <f t="shared" si="38"/>
        <v>Normal</v>
      </c>
      <c r="I254" s="156"/>
      <c r="J254" s="7">
        <f t="shared" si="20"/>
        <v>0</v>
      </c>
      <c r="K254" s="14">
        <v>30</v>
      </c>
      <c r="L254" s="4">
        <v>46224</v>
      </c>
      <c r="M254" s="5">
        <v>0</v>
      </c>
      <c r="N254" s="187"/>
    </row>
    <row r="255" spans="1:14" x14ac:dyDescent="0.35">
      <c r="A255" s="19"/>
      <c r="B255" s="153"/>
      <c r="C255" s="153"/>
      <c r="D255" s="10" t="s">
        <v>34</v>
      </c>
      <c r="E255" s="7">
        <f t="shared" si="36"/>
        <v>41</v>
      </c>
      <c r="F255" s="7">
        <f t="shared" si="37"/>
        <v>51</v>
      </c>
      <c r="G255" s="9" t="s">
        <v>16</v>
      </c>
      <c r="H255" s="27" t="str">
        <f t="shared" si="38"/>
        <v>Normal</v>
      </c>
      <c r="I255" s="156"/>
      <c r="J255" s="7">
        <f t="shared" si="20"/>
        <v>0</v>
      </c>
      <c r="K255" s="14">
        <v>30</v>
      </c>
      <c r="L255" s="4">
        <v>46224</v>
      </c>
      <c r="M255" s="5">
        <v>0</v>
      </c>
      <c r="N255" s="187"/>
    </row>
    <row r="256" spans="1:14" x14ac:dyDescent="0.35">
      <c r="A256" s="20"/>
      <c r="B256" s="154"/>
      <c r="C256" s="154"/>
      <c r="D256" s="10" t="s">
        <v>35</v>
      </c>
      <c r="E256" s="7">
        <f t="shared" si="36"/>
        <v>41</v>
      </c>
      <c r="F256" s="7">
        <f t="shared" si="37"/>
        <v>51</v>
      </c>
      <c r="G256" s="9" t="s">
        <v>16</v>
      </c>
      <c r="H256" s="27" t="str">
        <f t="shared" si="38"/>
        <v>Normal</v>
      </c>
      <c r="I256" s="157"/>
      <c r="J256" s="7">
        <f t="shared" ref="J256:J319" si="43">IF(M256="",(""),(IF(M256="STD BY",("STD BY"),(IF(M256="N/A",("N/A"),(IF(M256-K256&gt;0,(M256-K256),(0))))))))</f>
        <v>0</v>
      </c>
      <c r="K256" s="14">
        <v>30</v>
      </c>
      <c r="L256" s="4">
        <v>46224</v>
      </c>
      <c r="M256" s="5">
        <v>0</v>
      </c>
      <c r="N256" s="187"/>
    </row>
    <row r="257" spans="1:14" ht="15" customHeight="1" x14ac:dyDescent="0.35">
      <c r="A257" s="18">
        <v>2</v>
      </c>
      <c r="B257" s="152" t="s">
        <v>242</v>
      </c>
      <c r="C257" s="152" t="s">
        <v>231</v>
      </c>
      <c r="D257" s="8" t="s">
        <v>15</v>
      </c>
      <c r="E257" s="7">
        <f t="shared" si="36"/>
        <v>71</v>
      </c>
      <c r="F257" s="7">
        <f t="shared" si="37"/>
        <v>81</v>
      </c>
      <c r="G257" s="9" t="s">
        <v>16</v>
      </c>
      <c r="H257" s="27" t="str">
        <f t="shared" si="38"/>
        <v>Normal</v>
      </c>
      <c r="I257" s="155" t="str">
        <f>IF(COUNTIF(H257:H264,"-")&gt;0,("-"),(IF(COUNTIF(H257:H264,"STD BY")&gt;0,("STD BY"),(IF(COUNTIF(H257:H264,"N/A")&gt;0,("N/A"),(IF(COUNTIF(H257:H264,"Critical")&gt;0,("Critical"),(IF(COUNTIF(H257:H264,"High")&gt;0,("High"),(IF(COUNTIF(H257:H264,"Medium")&gt;0,("Medium"),(IF(COUNTIF(H257:H264,"Low")&gt;0,("Low"),("Normal"))))))))))))))</f>
        <v>Normal</v>
      </c>
      <c r="J257" s="7">
        <f t="shared" si="43"/>
        <v>0</v>
      </c>
      <c r="K257" s="14">
        <v>60</v>
      </c>
      <c r="L257" s="4">
        <v>46224</v>
      </c>
      <c r="M257" s="3">
        <v>55.4</v>
      </c>
      <c r="N257" s="186" t="s">
        <v>372</v>
      </c>
    </row>
    <row r="258" spans="1:14" x14ac:dyDescent="0.35">
      <c r="A258" s="19"/>
      <c r="B258" s="153"/>
      <c r="C258" s="153"/>
      <c r="D258" s="10" t="s">
        <v>17</v>
      </c>
      <c r="E258" s="7">
        <f t="shared" si="36"/>
        <v>61</v>
      </c>
      <c r="F258" s="7">
        <f t="shared" si="37"/>
        <v>71</v>
      </c>
      <c r="G258" s="9" t="s">
        <v>16</v>
      </c>
      <c r="H258" s="27" t="str">
        <f t="shared" si="38"/>
        <v>Normal</v>
      </c>
      <c r="I258" s="156"/>
      <c r="J258" s="7">
        <f t="shared" si="43"/>
        <v>0</v>
      </c>
      <c r="K258" s="14">
        <v>50</v>
      </c>
      <c r="L258" s="4">
        <v>46224</v>
      </c>
      <c r="M258" s="3">
        <v>38.9</v>
      </c>
      <c r="N258" s="187"/>
    </row>
    <row r="259" spans="1:14" x14ac:dyDescent="0.35">
      <c r="A259" s="19"/>
      <c r="B259" s="153"/>
      <c r="C259" s="153"/>
      <c r="D259" s="10" t="s">
        <v>18</v>
      </c>
      <c r="E259" s="7">
        <f t="shared" si="36"/>
        <v>61</v>
      </c>
      <c r="F259" s="7">
        <f t="shared" si="37"/>
        <v>71</v>
      </c>
      <c r="G259" s="9" t="s">
        <v>16</v>
      </c>
      <c r="H259" s="27" t="str">
        <f t="shared" si="38"/>
        <v>Normal</v>
      </c>
      <c r="I259" s="156"/>
      <c r="J259" s="7">
        <f t="shared" si="43"/>
        <v>4.8999999999999986</v>
      </c>
      <c r="K259" s="14">
        <v>50</v>
      </c>
      <c r="L259" s="4">
        <v>46224</v>
      </c>
      <c r="M259" s="3">
        <v>54.9</v>
      </c>
      <c r="N259" s="187"/>
    </row>
    <row r="260" spans="1:14" x14ac:dyDescent="0.35">
      <c r="A260" s="19"/>
      <c r="B260" s="153"/>
      <c r="C260" s="153"/>
      <c r="D260" s="10" t="s">
        <v>25</v>
      </c>
      <c r="E260" s="7">
        <f t="shared" si="36"/>
        <v>61</v>
      </c>
      <c r="F260" s="7">
        <f t="shared" si="37"/>
        <v>71</v>
      </c>
      <c r="G260" s="9" t="s">
        <v>16</v>
      </c>
      <c r="H260" s="27" t="str">
        <f t="shared" si="38"/>
        <v>Normal</v>
      </c>
      <c r="I260" s="156"/>
      <c r="J260" s="7">
        <v>0</v>
      </c>
      <c r="K260" s="14">
        <v>50</v>
      </c>
      <c r="L260" s="4">
        <v>46224</v>
      </c>
      <c r="M260" s="3">
        <v>41.8</v>
      </c>
      <c r="N260" s="187"/>
    </row>
    <row r="261" spans="1:14" x14ac:dyDescent="0.35">
      <c r="A261" s="19"/>
      <c r="B261" s="153"/>
      <c r="C261" s="153"/>
      <c r="D261" s="10" t="s">
        <v>26</v>
      </c>
      <c r="E261" s="7">
        <f t="shared" si="36"/>
        <v>61</v>
      </c>
      <c r="F261" s="7">
        <f t="shared" si="37"/>
        <v>71</v>
      </c>
      <c r="G261" s="9" t="s">
        <v>16</v>
      </c>
      <c r="H261" s="27" t="str">
        <f t="shared" si="38"/>
        <v>Normal</v>
      </c>
      <c r="I261" s="156"/>
      <c r="J261" s="7">
        <f t="shared" si="43"/>
        <v>0</v>
      </c>
      <c r="K261" s="14">
        <v>50</v>
      </c>
      <c r="L261" s="4">
        <v>46224</v>
      </c>
      <c r="M261" s="3">
        <v>42.6</v>
      </c>
      <c r="N261" s="187"/>
    </row>
    <row r="262" spans="1:14" x14ac:dyDescent="0.35">
      <c r="A262" s="19"/>
      <c r="B262" s="153"/>
      <c r="C262" s="153"/>
      <c r="D262" s="10" t="s">
        <v>33</v>
      </c>
      <c r="E262" s="7">
        <f t="shared" si="36"/>
        <v>41</v>
      </c>
      <c r="F262" s="7">
        <f t="shared" si="37"/>
        <v>51</v>
      </c>
      <c r="G262" s="9" t="s">
        <v>16</v>
      </c>
      <c r="H262" s="27" t="str">
        <f t="shared" si="38"/>
        <v>Normal</v>
      </c>
      <c r="I262" s="156"/>
      <c r="J262" s="7">
        <f t="shared" si="43"/>
        <v>0</v>
      </c>
      <c r="K262" s="14">
        <v>30</v>
      </c>
      <c r="L262" s="4">
        <v>46224</v>
      </c>
      <c r="M262" s="3">
        <v>0</v>
      </c>
      <c r="N262" s="187"/>
    </row>
    <row r="263" spans="1:14" x14ac:dyDescent="0.35">
      <c r="A263" s="19"/>
      <c r="B263" s="153"/>
      <c r="C263" s="153"/>
      <c r="D263" s="10" t="s">
        <v>34</v>
      </c>
      <c r="E263" s="7">
        <f t="shared" si="36"/>
        <v>41</v>
      </c>
      <c r="F263" s="7">
        <f t="shared" si="37"/>
        <v>51</v>
      </c>
      <c r="G263" s="9" t="s">
        <v>16</v>
      </c>
      <c r="H263" s="27" t="str">
        <f t="shared" si="38"/>
        <v>Normal</v>
      </c>
      <c r="I263" s="156"/>
      <c r="J263" s="7">
        <f t="shared" si="43"/>
        <v>0</v>
      </c>
      <c r="K263" s="14">
        <v>30</v>
      </c>
      <c r="L263" s="4">
        <v>46224</v>
      </c>
      <c r="M263" s="3">
        <v>0</v>
      </c>
      <c r="N263" s="187"/>
    </row>
    <row r="264" spans="1:14" x14ac:dyDescent="0.35">
      <c r="A264" s="19"/>
      <c r="B264" s="154"/>
      <c r="C264" s="154"/>
      <c r="D264" s="10" t="s">
        <v>35</v>
      </c>
      <c r="E264" s="7">
        <f t="shared" si="36"/>
        <v>41</v>
      </c>
      <c r="F264" s="7">
        <f t="shared" si="37"/>
        <v>51</v>
      </c>
      <c r="G264" s="9" t="s">
        <v>16</v>
      </c>
      <c r="H264" s="27" t="str">
        <f t="shared" si="38"/>
        <v>Normal</v>
      </c>
      <c r="I264" s="157"/>
      <c r="J264" s="7">
        <f t="shared" si="43"/>
        <v>0</v>
      </c>
      <c r="K264" s="14">
        <v>30</v>
      </c>
      <c r="L264" s="4">
        <v>46224</v>
      </c>
      <c r="M264" s="3">
        <v>0</v>
      </c>
      <c r="N264" s="187"/>
    </row>
    <row r="265" spans="1:14" ht="15" customHeight="1" x14ac:dyDescent="0.35">
      <c r="A265" s="18">
        <v>2</v>
      </c>
      <c r="B265" s="152" t="s">
        <v>243</v>
      </c>
      <c r="C265" s="152" t="s">
        <v>224</v>
      </c>
      <c r="D265" s="8" t="s">
        <v>15</v>
      </c>
      <c r="E265" s="7">
        <f t="shared" si="36"/>
        <v>71</v>
      </c>
      <c r="F265" s="7">
        <f t="shared" si="37"/>
        <v>81</v>
      </c>
      <c r="G265" s="9" t="s">
        <v>16</v>
      </c>
      <c r="H265" s="27" t="str">
        <f t="shared" si="38"/>
        <v>Normal</v>
      </c>
      <c r="I265" s="155" t="str">
        <f>IF(COUNTIF(H265:H272,"-")&gt;0,("-"),(IF(COUNTIF(H265:H272,"STD BY")&gt;0,("STD BY"),(IF(COUNTIF(H265:H272,"N/A")&gt;0,("N/A"),(IF(COUNTIF(H265:H272,"Critical")&gt;0,("Critical"),(IF(COUNTIF(H265:H272,"High")&gt;0,("High"),(IF(COUNTIF(H265:H272,"Medium")&gt;0,("Medium"),(IF(COUNTIF(H265:H272,"Low")&gt;0,("Low"),("Normal"))))))))))))))</f>
        <v>Low</v>
      </c>
      <c r="J265" s="7">
        <f t="shared" si="43"/>
        <v>0</v>
      </c>
      <c r="K265" s="14">
        <v>60</v>
      </c>
      <c r="L265" s="4">
        <v>46224</v>
      </c>
      <c r="M265" s="5">
        <v>53.8</v>
      </c>
      <c r="N265" s="186" t="s">
        <v>372</v>
      </c>
    </row>
    <row r="266" spans="1:14" x14ac:dyDescent="0.35">
      <c r="A266" s="19"/>
      <c r="B266" s="153"/>
      <c r="C266" s="153"/>
      <c r="D266" s="10" t="s">
        <v>17</v>
      </c>
      <c r="E266" s="7">
        <f t="shared" si="36"/>
        <v>51</v>
      </c>
      <c r="F266" s="7">
        <f t="shared" si="37"/>
        <v>61</v>
      </c>
      <c r="G266" s="9" t="s">
        <v>16</v>
      </c>
      <c r="H266" s="27" t="str">
        <f t="shared" si="38"/>
        <v>Normal</v>
      </c>
      <c r="I266" s="156"/>
      <c r="J266" s="7">
        <f t="shared" si="43"/>
        <v>0.29999999999999716</v>
      </c>
      <c r="K266" s="14">
        <v>40</v>
      </c>
      <c r="L266" s="4">
        <v>46224</v>
      </c>
      <c r="M266" s="5">
        <v>40.299999999999997</v>
      </c>
      <c r="N266" s="187"/>
    </row>
    <row r="267" spans="1:14" x14ac:dyDescent="0.35">
      <c r="A267" s="19"/>
      <c r="B267" s="153"/>
      <c r="C267" s="153"/>
      <c r="D267" s="10" t="s">
        <v>18</v>
      </c>
      <c r="E267" s="7">
        <f t="shared" si="36"/>
        <v>61</v>
      </c>
      <c r="F267" s="7">
        <f t="shared" si="37"/>
        <v>71</v>
      </c>
      <c r="G267" s="9" t="s">
        <v>16</v>
      </c>
      <c r="H267" s="27" t="str">
        <f t="shared" si="38"/>
        <v>Low</v>
      </c>
      <c r="I267" s="156"/>
      <c r="J267" s="7">
        <f t="shared" si="43"/>
        <v>5.2000000000000028</v>
      </c>
      <c r="K267" s="14">
        <v>50</v>
      </c>
      <c r="L267" s="4">
        <v>46224</v>
      </c>
      <c r="M267" s="5">
        <v>55.2</v>
      </c>
      <c r="N267" s="187"/>
    </row>
    <row r="268" spans="1:14" x14ac:dyDescent="0.35">
      <c r="A268" s="19"/>
      <c r="B268" s="153"/>
      <c r="C268" s="153"/>
      <c r="D268" s="10" t="s">
        <v>25</v>
      </c>
      <c r="E268" s="7">
        <f t="shared" si="36"/>
        <v>61</v>
      </c>
      <c r="F268" s="7">
        <f t="shared" si="37"/>
        <v>71</v>
      </c>
      <c r="G268" s="9" t="s">
        <v>16</v>
      </c>
      <c r="H268" s="27" t="str">
        <f t="shared" si="38"/>
        <v>Normal</v>
      </c>
      <c r="I268" s="156"/>
      <c r="J268" s="7">
        <f t="shared" si="43"/>
        <v>4.2000000000000028</v>
      </c>
      <c r="K268" s="14">
        <v>50</v>
      </c>
      <c r="L268" s="4">
        <v>46224</v>
      </c>
      <c r="M268" s="5">
        <v>54.2</v>
      </c>
      <c r="N268" s="187"/>
    </row>
    <row r="269" spans="1:14" x14ac:dyDescent="0.35">
      <c r="A269" s="19"/>
      <c r="B269" s="153"/>
      <c r="C269" s="153"/>
      <c r="D269" s="10" t="s">
        <v>26</v>
      </c>
      <c r="E269" s="7">
        <f t="shared" si="36"/>
        <v>61</v>
      </c>
      <c r="F269" s="7">
        <f t="shared" si="37"/>
        <v>71</v>
      </c>
      <c r="G269" s="9" t="s">
        <v>16</v>
      </c>
      <c r="H269" s="27" t="str">
        <f t="shared" si="38"/>
        <v>Normal</v>
      </c>
      <c r="I269" s="156"/>
      <c r="J269" s="7">
        <f t="shared" si="43"/>
        <v>1</v>
      </c>
      <c r="K269" s="14">
        <v>50</v>
      </c>
      <c r="L269" s="4">
        <v>46224</v>
      </c>
      <c r="M269" s="5">
        <v>51</v>
      </c>
      <c r="N269" s="187"/>
    </row>
    <row r="270" spans="1:14" x14ac:dyDescent="0.35">
      <c r="A270" s="19"/>
      <c r="B270" s="153"/>
      <c r="C270" s="153"/>
      <c r="D270" s="10" t="s">
        <v>33</v>
      </c>
      <c r="E270" s="7">
        <f t="shared" si="36"/>
        <v>41</v>
      </c>
      <c r="F270" s="7">
        <f t="shared" si="37"/>
        <v>51</v>
      </c>
      <c r="G270" s="9" t="s">
        <v>16</v>
      </c>
      <c r="H270" s="27" t="str">
        <f t="shared" si="38"/>
        <v>Normal</v>
      </c>
      <c r="I270" s="156"/>
      <c r="J270" s="7">
        <f t="shared" si="43"/>
        <v>0</v>
      </c>
      <c r="K270" s="14">
        <v>30</v>
      </c>
      <c r="L270" s="4">
        <v>46224</v>
      </c>
      <c r="M270" s="5">
        <v>0</v>
      </c>
      <c r="N270" s="187"/>
    </row>
    <row r="271" spans="1:14" x14ac:dyDescent="0.35">
      <c r="A271" s="19"/>
      <c r="B271" s="153"/>
      <c r="C271" s="153"/>
      <c r="D271" s="10" t="s">
        <v>34</v>
      </c>
      <c r="E271" s="7">
        <f t="shared" si="36"/>
        <v>41</v>
      </c>
      <c r="F271" s="7">
        <f t="shared" si="37"/>
        <v>51</v>
      </c>
      <c r="G271" s="9" t="s">
        <v>16</v>
      </c>
      <c r="H271" s="27" t="str">
        <f t="shared" si="38"/>
        <v>Normal</v>
      </c>
      <c r="I271" s="156"/>
      <c r="J271" s="7">
        <f t="shared" si="43"/>
        <v>0</v>
      </c>
      <c r="K271" s="14">
        <v>30</v>
      </c>
      <c r="L271" s="4">
        <v>46224</v>
      </c>
      <c r="M271" s="5">
        <v>0</v>
      </c>
      <c r="N271" s="187"/>
    </row>
    <row r="272" spans="1:14" x14ac:dyDescent="0.35">
      <c r="A272" s="19"/>
      <c r="B272" s="154"/>
      <c r="C272" s="154"/>
      <c r="D272" s="10" t="s">
        <v>35</v>
      </c>
      <c r="E272" s="7">
        <f t="shared" si="36"/>
        <v>41</v>
      </c>
      <c r="F272" s="7">
        <f t="shared" si="37"/>
        <v>51</v>
      </c>
      <c r="G272" s="9" t="s">
        <v>16</v>
      </c>
      <c r="H272" s="27" t="str">
        <f t="shared" si="38"/>
        <v>Normal</v>
      </c>
      <c r="I272" s="157"/>
      <c r="J272" s="7">
        <f t="shared" si="43"/>
        <v>0</v>
      </c>
      <c r="K272" s="14">
        <v>30</v>
      </c>
      <c r="L272" s="4">
        <v>46224</v>
      </c>
      <c r="M272" s="5">
        <v>0</v>
      </c>
      <c r="N272" s="187"/>
    </row>
    <row r="273" spans="1:14" ht="15" customHeight="1" x14ac:dyDescent="0.35">
      <c r="A273" s="18">
        <v>2</v>
      </c>
      <c r="B273" s="152" t="s">
        <v>244</v>
      </c>
      <c r="C273" s="152" t="s">
        <v>232</v>
      </c>
      <c r="D273" s="8" t="s">
        <v>15</v>
      </c>
      <c r="E273" s="7">
        <f t="shared" si="36"/>
        <v>71</v>
      </c>
      <c r="F273" s="7">
        <f t="shared" si="37"/>
        <v>81</v>
      </c>
      <c r="G273" s="9" t="s">
        <v>16</v>
      </c>
      <c r="H273" s="27" t="str">
        <f t="shared" si="38"/>
        <v>Normal</v>
      </c>
      <c r="I273" s="155" t="str">
        <f>IF(COUNTIF(H273:H280,"-")&gt;0,("-"),(IF(COUNTIF(H273:H280,"STD BY")&gt;0,("STD BY"),(IF(COUNTIF(H273:H280,"N/A")&gt;0,("N/A"),(IF(COUNTIF(H273:H280,"Critical")&gt;0,("Critical"),(IF(COUNTIF(H273:H280,"High")&gt;0,("High"),(IF(COUNTIF(H273:H280,"Medium")&gt;0,("Medium"),(IF(COUNTIF(H273:H280,"Low")&gt;0,("Low"),("Normal"))))))))))))))</f>
        <v>Low</v>
      </c>
      <c r="J273" s="7">
        <f t="shared" si="43"/>
        <v>0</v>
      </c>
      <c r="K273" s="14">
        <v>60</v>
      </c>
      <c r="L273" s="4">
        <v>46224</v>
      </c>
      <c r="M273" s="3">
        <v>57.6</v>
      </c>
      <c r="N273" s="186" t="s">
        <v>372</v>
      </c>
    </row>
    <row r="274" spans="1:14" x14ac:dyDescent="0.35">
      <c r="A274" s="19"/>
      <c r="B274" s="153"/>
      <c r="C274" s="153"/>
      <c r="D274" s="10" t="s">
        <v>17</v>
      </c>
      <c r="E274" s="7">
        <f t="shared" si="36"/>
        <v>51</v>
      </c>
      <c r="F274" s="7">
        <f t="shared" si="37"/>
        <v>61</v>
      </c>
      <c r="G274" s="9" t="s">
        <v>16</v>
      </c>
      <c r="H274" s="27" t="str">
        <f t="shared" si="38"/>
        <v>Normal</v>
      </c>
      <c r="I274" s="156"/>
      <c r="J274" s="7">
        <f t="shared" si="43"/>
        <v>1.1000000000000014</v>
      </c>
      <c r="K274" s="14">
        <v>40</v>
      </c>
      <c r="L274" s="4">
        <v>46224</v>
      </c>
      <c r="M274" s="3">
        <v>41.1</v>
      </c>
      <c r="N274" s="187"/>
    </row>
    <row r="275" spans="1:14" x14ac:dyDescent="0.35">
      <c r="A275" s="19"/>
      <c r="B275" s="153"/>
      <c r="C275" s="153"/>
      <c r="D275" s="10" t="s">
        <v>18</v>
      </c>
      <c r="E275" s="7">
        <f t="shared" ref="E275:E389" si="44">(K275+11)</f>
        <v>61</v>
      </c>
      <c r="F275" s="7">
        <f t="shared" ref="F275:F302" si="45">(E275+10)</f>
        <v>71</v>
      </c>
      <c r="G275" s="9" t="s">
        <v>16</v>
      </c>
      <c r="H275" s="27" t="str">
        <f t="shared" ref="H275:H338" si="46">IF(J275="",("-"),(IF(J275="STD BY",("STD BY"),(IF(J275="N/A",("N/A"),(IF(J275&lt;5,("Normal"),(IF(J275&lt;11,("Low"),(IF(J275&lt;21,("Medium"),(IF(J275&lt;41,("High"),("Critical"))))))))))))))</f>
        <v>Low</v>
      </c>
      <c r="I275" s="156"/>
      <c r="J275" s="7">
        <f t="shared" si="43"/>
        <v>10.700000000000003</v>
      </c>
      <c r="K275" s="14">
        <v>50</v>
      </c>
      <c r="L275" s="4">
        <v>46224</v>
      </c>
      <c r="M275" s="3">
        <v>60.7</v>
      </c>
      <c r="N275" s="187"/>
    </row>
    <row r="276" spans="1:14" x14ac:dyDescent="0.35">
      <c r="A276" s="19"/>
      <c r="B276" s="153"/>
      <c r="C276" s="153"/>
      <c r="D276" s="10" t="s">
        <v>25</v>
      </c>
      <c r="E276" s="7">
        <f t="shared" si="44"/>
        <v>61</v>
      </c>
      <c r="F276" s="7">
        <f t="shared" si="45"/>
        <v>71</v>
      </c>
      <c r="G276" s="9" t="s">
        <v>16</v>
      </c>
      <c r="H276" s="27" t="str">
        <f t="shared" si="46"/>
        <v>Normal</v>
      </c>
      <c r="I276" s="156"/>
      <c r="J276" s="7">
        <f t="shared" si="43"/>
        <v>3.1000000000000014</v>
      </c>
      <c r="K276" s="14">
        <v>50</v>
      </c>
      <c r="L276" s="4">
        <v>46224</v>
      </c>
      <c r="M276" s="3">
        <v>53.1</v>
      </c>
      <c r="N276" s="187"/>
    </row>
    <row r="277" spans="1:14" x14ac:dyDescent="0.35">
      <c r="A277" s="19"/>
      <c r="B277" s="153"/>
      <c r="C277" s="153"/>
      <c r="D277" s="10" t="s">
        <v>26</v>
      </c>
      <c r="E277" s="7">
        <f t="shared" si="44"/>
        <v>61</v>
      </c>
      <c r="F277" s="7">
        <f t="shared" si="45"/>
        <v>71</v>
      </c>
      <c r="G277" s="9" t="s">
        <v>16</v>
      </c>
      <c r="H277" s="27" t="str">
        <f t="shared" si="46"/>
        <v>Low</v>
      </c>
      <c r="I277" s="156"/>
      <c r="J277" s="7">
        <f t="shared" si="43"/>
        <v>6.7000000000000028</v>
      </c>
      <c r="K277" s="14">
        <v>50</v>
      </c>
      <c r="L277" s="4">
        <v>46224</v>
      </c>
      <c r="M277" s="3">
        <v>56.7</v>
      </c>
      <c r="N277" s="187"/>
    </row>
    <row r="278" spans="1:14" x14ac:dyDescent="0.35">
      <c r="A278" s="19"/>
      <c r="B278" s="153"/>
      <c r="C278" s="153"/>
      <c r="D278" s="10" t="s">
        <v>33</v>
      </c>
      <c r="E278" s="7">
        <f t="shared" si="44"/>
        <v>41</v>
      </c>
      <c r="F278" s="7">
        <f t="shared" si="45"/>
        <v>51</v>
      </c>
      <c r="G278" s="9" t="s">
        <v>16</v>
      </c>
      <c r="H278" s="27" t="str">
        <f t="shared" si="46"/>
        <v>Normal</v>
      </c>
      <c r="I278" s="156"/>
      <c r="J278" s="7">
        <f t="shared" si="43"/>
        <v>0</v>
      </c>
      <c r="K278" s="14">
        <v>30</v>
      </c>
      <c r="L278" s="4">
        <v>46224</v>
      </c>
      <c r="M278" s="3">
        <v>0</v>
      </c>
      <c r="N278" s="187"/>
    </row>
    <row r="279" spans="1:14" x14ac:dyDescent="0.35">
      <c r="A279" s="19"/>
      <c r="B279" s="153"/>
      <c r="C279" s="153"/>
      <c r="D279" s="10" t="s">
        <v>34</v>
      </c>
      <c r="E279" s="7">
        <f t="shared" si="44"/>
        <v>41</v>
      </c>
      <c r="F279" s="7">
        <f t="shared" si="45"/>
        <v>51</v>
      </c>
      <c r="G279" s="9" t="s">
        <v>16</v>
      </c>
      <c r="H279" s="27" t="str">
        <f t="shared" si="46"/>
        <v>Normal</v>
      </c>
      <c r="I279" s="156"/>
      <c r="J279" s="7">
        <f t="shared" si="43"/>
        <v>0</v>
      </c>
      <c r="K279" s="14">
        <v>30</v>
      </c>
      <c r="L279" s="4">
        <v>46224</v>
      </c>
      <c r="M279" s="3">
        <v>0</v>
      </c>
      <c r="N279" s="187"/>
    </row>
    <row r="280" spans="1:14" x14ac:dyDescent="0.35">
      <c r="A280" s="19"/>
      <c r="B280" s="154"/>
      <c r="C280" s="154"/>
      <c r="D280" s="10" t="s">
        <v>35</v>
      </c>
      <c r="E280" s="7">
        <f t="shared" si="44"/>
        <v>41</v>
      </c>
      <c r="F280" s="7">
        <f t="shared" si="45"/>
        <v>51</v>
      </c>
      <c r="G280" s="9" t="s">
        <v>16</v>
      </c>
      <c r="H280" s="27" t="str">
        <f t="shared" si="46"/>
        <v>Normal</v>
      </c>
      <c r="I280" s="157"/>
      <c r="J280" s="7">
        <f t="shared" si="43"/>
        <v>0</v>
      </c>
      <c r="K280" s="14">
        <v>30</v>
      </c>
      <c r="L280" s="4">
        <v>46224</v>
      </c>
      <c r="M280" s="3">
        <v>0</v>
      </c>
      <c r="N280" s="187"/>
    </row>
    <row r="281" spans="1:14" ht="15" customHeight="1" x14ac:dyDescent="0.35">
      <c r="A281" s="18">
        <v>2</v>
      </c>
      <c r="B281" s="152" t="s">
        <v>245</v>
      </c>
      <c r="C281" s="152" t="s">
        <v>225</v>
      </c>
      <c r="D281" s="8" t="s">
        <v>15</v>
      </c>
      <c r="E281" s="7">
        <f t="shared" si="44"/>
        <v>71</v>
      </c>
      <c r="F281" s="7">
        <f t="shared" si="45"/>
        <v>81</v>
      </c>
      <c r="G281" s="9" t="s">
        <v>16</v>
      </c>
      <c r="H281" s="27" t="str">
        <f t="shared" si="46"/>
        <v>Normal</v>
      </c>
      <c r="I281" s="155" t="str">
        <f>IF(COUNTIF(H281:H288,"-")&gt;0,("-"),(IF(COUNTIF(H281:H288,"STD BY")&gt;0,("STD BY"),(IF(COUNTIF(H281:H288,"N/A")&gt;0,("N/A"),(IF(COUNTIF(H281:H288,"Critical")&gt;0,("Critical"),(IF(COUNTIF(H281:H288,"High")&gt;0,("High"),(IF(COUNTIF(H281:H288,"Medium")&gt;0,("Medium"),(IF(COUNTIF(H281:H288,"Low")&gt;0,("Low"),("Normal"))))))))))))))</f>
        <v>Low</v>
      </c>
      <c r="J281" s="7">
        <f t="shared" si="43"/>
        <v>0</v>
      </c>
      <c r="K281" s="14">
        <v>60</v>
      </c>
      <c r="L281" s="4">
        <v>46224</v>
      </c>
      <c r="M281" s="5">
        <v>53.2</v>
      </c>
      <c r="N281" s="186" t="s">
        <v>372</v>
      </c>
    </row>
    <row r="282" spans="1:14" x14ac:dyDescent="0.35">
      <c r="A282" s="19"/>
      <c r="B282" s="153"/>
      <c r="C282" s="153"/>
      <c r="D282" s="10" t="s">
        <v>17</v>
      </c>
      <c r="E282" s="7">
        <f t="shared" si="44"/>
        <v>61</v>
      </c>
      <c r="F282" s="7">
        <f t="shared" si="45"/>
        <v>71</v>
      </c>
      <c r="G282" s="9" t="s">
        <v>16</v>
      </c>
      <c r="H282" s="27" t="str">
        <f t="shared" si="46"/>
        <v>Low</v>
      </c>
      <c r="I282" s="156"/>
      <c r="J282" s="7">
        <f t="shared" si="43"/>
        <v>6.6000000000000014</v>
      </c>
      <c r="K282" s="14">
        <v>50</v>
      </c>
      <c r="L282" s="4">
        <v>46224</v>
      </c>
      <c r="M282" s="5">
        <v>56.6</v>
      </c>
      <c r="N282" s="187"/>
    </row>
    <row r="283" spans="1:14" x14ac:dyDescent="0.35">
      <c r="A283" s="19"/>
      <c r="B283" s="153"/>
      <c r="C283" s="153"/>
      <c r="D283" s="10" t="s">
        <v>18</v>
      </c>
      <c r="E283" s="7">
        <f t="shared" si="44"/>
        <v>61</v>
      </c>
      <c r="F283" s="7">
        <f t="shared" si="45"/>
        <v>71</v>
      </c>
      <c r="G283" s="9" t="s">
        <v>16</v>
      </c>
      <c r="H283" s="27" t="str">
        <f t="shared" si="46"/>
        <v>Normal</v>
      </c>
      <c r="I283" s="156"/>
      <c r="J283" s="7">
        <f t="shared" si="43"/>
        <v>3.8999999999999986</v>
      </c>
      <c r="K283" s="14">
        <v>50</v>
      </c>
      <c r="L283" s="4">
        <v>46224</v>
      </c>
      <c r="M283" s="5">
        <v>53.9</v>
      </c>
      <c r="N283" s="187"/>
    </row>
    <row r="284" spans="1:14" x14ac:dyDescent="0.35">
      <c r="A284" s="19"/>
      <c r="B284" s="153"/>
      <c r="C284" s="153"/>
      <c r="D284" s="10" t="s">
        <v>25</v>
      </c>
      <c r="E284" s="7">
        <f t="shared" si="44"/>
        <v>61</v>
      </c>
      <c r="F284" s="7">
        <f t="shared" si="45"/>
        <v>71</v>
      </c>
      <c r="G284" s="9" t="s">
        <v>16</v>
      </c>
      <c r="H284" s="27" t="str">
        <f t="shared" si="46"/>
        <v>Normal</v>
      </c>
      <c r="I284" s="156"/>
      <c r="J284" s="7">
        <f t="shared" si="43"/>
        <v>0</v>
      </c>
      <c r="K284" s="14">
        <v>50</v>
      </c>
      <c r="L284" s="4">
        <v>46224</v>
      </c>
      <c r="M284" s="5">
        <v>43.5</v>
      </c>
      <c r="N284" s="187"/>
    </row>
    <row r="285" spans="1:14" x14ac:dyDescent="0.35">
      <c r="A285" s="19"/>
      <c r="B285" s="153"/>
      <c r="C285" s="153"/>
      <c r="D285" s="10" t="s">
        <v>26</v>
      </c>
      <c r="E285" s="7">
        <f t="shared" si="44"/>
        <v>61</v>
      </c>
      <c r="F285" s="7">
        <f t="shared" si="45"/>
        <v>71</v>
      </c>
      <c r="G285" s="9" t="s">
        <v>16</v>
      </c>
      <c r="H285" s="27" t="str">
        <f t="shared" si="46"/>
        <v>Normal</v>
      </c>
      <c r="I285" s="156"/>
      <c r="J285" s="7">
        <f t="shared" si="43"/>
        <v>0</v>
      </c>
      <c r="K285" s="14">
        <v>50</v>
      </c>
      <c r="L285" s="4">
        <v>46224</v>
      </c>
      <c r="M285" s="5">
        <v>47.1</v>
      </c>
      <c r="N285" s="187"/>
    </row>
    <row r="286" spans="1:14" x14ac:dyDescent="0.35">
      <c r="A286" s="19"/>
      <c r="B286" s="153"/>
      <c r="C286" s="153"/>
      <c r="D286" s="10" t="s">
        <v>33</v>
      </c>
      <c r="E286" s="7">
        <f t="shared" si="44"/>
        <v>41</v>
      </c>
      <c r="F286" s="7">
        <f t="shared" si="45"/>
        <v>51</v>
      </c>
      <c r="G286" s="9" t="s">
        <v>16</v>
      </c>
      <c r="H286" s="27" t="str">
        <f t="shared" si="46"/>
        <v>Normal</v>
      </c>
      <c r="I286" s="156"/>
      <c r="J286" s="7">
        <f t="shared" si="43"/>
        <v>0</v>
      </c>
      <c r="K286" s="14">
        <v>30</v>
      </c>
      <c r="L286" s="4">
        <v>46224</v>
      </c>
      <c r="M286" s="5">
        <v>0</v>
      </c>
      <c r="N286" s="187"/>
    </row>
    <row r="287" spans="1:14" x14ac:dyDescent="0.35">
      <c r="A287" s="19"/>
      <c r="B287" s="153"/>
      <c r="C287" s="153"/>
      <c r="D287" s="10" t="s">
        <v>34</v>
      </c>
      <c r="E287" s="7">
        <f t="shared" si="44"/>
        <v>41</v>
      </c>
      <c r="F287" s="7">
        <f t="shared" si="45"/>
        <v>51</v>
      </c>
      <c r="G287" s="9" t="s">
        <v>16</v>
      </c>
      <c r="H287" s="27" t="str">
        <f t="shared" si="46"/>
        <v>Normal</v>
      </c>
      <c r="I287" s="156"/>
      <c r="J287" s="7">
        <f t="shared" si="43"/>
        <v>0</v>
      </c>
      <c r="K287" s="14">
        <v>30</v>
      </c>
      <c r="L287" s="4">
        <v>46224</v>
      </c>
      <c r="M287" s="5">
        <v>0</v>
      </c>
      <c r="N287" s="187"/>
    </row>
    <row r="288" spans="1:14" x14ac:dyDescent="0.35">
      <c r="A288" s="19"/>
      <c r="B288" s="154"/>
      <c r="C288" s="154"/>
      <c r="D288" s="10" t="s">
        <v>35</v>
      </c>
      <c r="E288" s="7">
        <f t="shared" si="44"/>
        <v>41</v>
      </c>
      <c r="F288" s="7">
        <f t="shared" si="45"/>
        <v>51</v>
      </c>
      <c r="G288" s="9" t="s">
        <v>16</v>
      </c>
      <c r="H288" s="27" t="str">
        <f t="shared" si="46"/>
        <v>Normal</v>
      </c>
      <c r="I288" s="157"/>
      <c r="J288" s="7">
        <f t="shared" si="43"/>
        <v>0</v>
      </c>
      <c r="K288" s="14">
        <v>30</v>
      </c>
      <c r="L288" s="4">
        <v>46224</v>
      </c>
      <c r="M288" s="5">
        <v>0</v>
      </c>
      <c r="N288" s="187"/>
    </row>
    <row r="289" spans="1:14" ht="15" customHeight="1" x14ac:dyDescent="0.35">
      <c r="A289" s="18">
        <v>2</v>
      </c>
      <c r="B289" s="152" t="s">
        <v>246</v>
      </c>
      <c r="C289" s="152" t="s">
        <v>233</v>
      </c>
      <c r="D289" s="8" t="s">
        <v>15</v>
      </c>
      <c r="E289" s="7">
        <f t="shared" si="44"/>
        <v>71</v>
      </c>
      <c r="F289" s="7">
        <f t="shared" si="45"/>
        <v>81</v>
      </c>
      <c r="G289" s="9" t="s">
        <v>16</v>
      </c>
      <c r="H289" s="27" t="str">
        <f t="shared" si="46"/>
        <v>Normal</v>
      </c>
      <c r="I289" s="155" t="str">
        <f>IF(COUNTIF(H289:H296,"-")&gt;0,("-"),(IF(COUNTIF(H289:H296,"STD BY")&gt;0,("STD BY"),(IF(COUNTIF(H289:H296,"N/A")&gt;0,("N/A"),(IF(COUNTIF(H289:H296,"Critical")&gt;0,("Critical"),(IF(COUNTIF(H289:H296,"High")&gt;0,("High"),(IF(COUNTIF(H289:H296,"Medium")&gt;0,("Medium"),(IF(COUNTIF(H289:H296,"Low")&gt;0,("Low"),("Normal"))))))))))))))</f>
        <v>Normal</v>
      </c>
      <c r="J289" s="7">
        <f t="shared" si="43"/>
        <v>0</v>
      </c>
      <c r="K289" s="14">
        <v>60</v>
      </c>
      <c r="L289" s="4">
        <v>46224</v>
      </c>
      <c r="M289" s="3">
        <v>52.3</v>
      </c>
      <c r="N289" s="186" t="s">
        <v>372</v>
      </c>
    </row>
    <row r="290" spans="1:14" x14ac:dyDescent="0.35">
      <c r="A290" s="19"/>
      <c r="B290" s="153"/>
      <c r="C290" s="153"/>
      <c r="D290" s="10" t="s">
        <v>17</v>
      </c>
      <c r="E290" s="7">
        <f t="shared" si="44"/>
        <v>61</v>
      </c>
      <c r="F290" s="7">
        <f t="shared" si="45"/>
        <v>71</v>
      </c>
      <c r="G290" s="9" t="s">
        <v>16</v>
      </c>
      <c r="H290" s="27" t="str">
        <f t="shared" si="46"/>
        <v>Normal</v>
      </c>
      <c r="I290" s="156"/>
      <c r="J290" s="7">
        <f t="shared" si="43"/>
        <v>3.3999999999999986</v>
      </c>
      <c r="K290" s="14">
        <v>50</v>
      </c>
      <c r="L290" s="4">
        <v>46224</v>
      </c>
      <c r="M290" s="3">
        <v>53.4</v>
      </c>
      <c r="N290" s="187"/>
    </row>
    <row r="291" spans="1:14" x14ac:dyDescent="0.35">
      <c r="A291" s="19"/>
      <c r="B291" s="153"/>
      <c r="C291" s="153"/>
      <c r="D291" s="10" t="s">
        <v>18</v>
      </c>
      <c r="E291" s="7">
        <f t="shared" si="44"/>
        <v>61</v>
      </c>
      <c r="F291" s="7">
        <f t="shared" si="45"/>
        <v>71</v>
      </c>
      <c r="G291" s="9" t="s">
        <v>16</v>
      </c>
      <c r="H291" s="27" t="str">
        <f t="shared" si="46"/>
        <v>Normal</v>
      </c>
      <c r="I291" s="156"/>
      <c r="J291" s="7">
        <f t="shared" si="43"/>
        <v>3.6000000000000014</v>
      </c>
      <c r="K291" s="14">
        <v>50</v>
      </c>
      <c r="L291" s="4">
        <v>46224</v>
      </c>
      <c r="M291" s="3">
        <v>53.6</v>
      </c>
      <c r="N291" s="187"/>
    </row>
    <row r="292" spans="1:14" x14ac:dyDescent="0.35">
      <c r="A292" s="19"/>
      <c r="B292" s="153"/>
      <c r="C292" s="153"/>
      <c r="D292" s="10" t="s">
        <v>25</v>
      </c>
      <c r="E292" s="7">
        <f t="shared" si="44"/>
        <v>61</v>
      </c>
      <c r="F292" s="7">
        <f t="shared" si="45"/>
        <v>71</v>
      </c>
      <c r="G292" s="9" t="s">
        <v>16</v>
      </c>
      <c r="H292" s="27" t="str">
        <f t="shared" si="46"/>
        <v>Normal</v>
      </c>
      <c r="I292" s="156"/>
      <c r="J292" s="7">
        <f t="shared" si="43"/>
        <v>0</v>
      </c>
      <c r="K292" s="14">
        <v>50</v>
      </c>
      <c r="L292" s="4">
        <v>46224</v>
      </c>
      <c r="M292" s="3">
        <v>41.1</v>
      </c>
      <c r="N292" s="187"/>
    </row>
    <row r="293" spans="1:14" x14ac:dyDescent="0.35">
      <c r="A293" s="19"/>
      <c r="B293" s="153"/>
      <c r="C293" s="153"/>
      <c r="D293" s="10" t="s">
        <v>26</v>
      </c>
      <c r="E293" s="7">
        <f t="shared" si="44"/>
        <v>61</v>
      </c>
      <c r="F293" s="7">
        <f t="shared" si="45"/>
        <v>71</v>
      </c>
      <c r="G293" s="9" t="s">
        <v>16</v>
      </c>
      <c r="H293" s="27" t="str">
        <f t="shared" si="46"/>
        <v>Normal</v>
      </c>
      <c r="I293" s="156"/>
      <c r="J293" s="7">
        <f t="shared" si="43"/>
        <v>0</v>
      </c>
      <c r="K293" s="14">
        <v>50</v>
      </c>
      <c r="L293" s="4">
        <v>46224</v>
      </c>
      <c r="M293" s="3">
        <v>45.3</v>
      </c>
      <c r="N293" s="187"/>
    </row>
    <row r="294" spans="1:14" x14ac:dyDescent="0.35">
      <c r="A294" s="19"/>
      <c r="B294" s="153"/>
      <c r="C294" s="153"/>
      <c r="D294" s="10" t="s">
        <v>33</v>
      </c>
      <c r="E294" s="7">
        <f t="shared" si="44"/>
        <v>41</v>
      </c>
      <c r="F294" s="7">
        <f t="shared" si="45"/>
        <v>51</v>
      </c>
      <c r="G294" s="9" t="s">
        <v>16</v>
      </c>
      <c r="H294" s="27" t="str">
        <f t="shared" si="46"/>
        <v>Normal</v>
      </c>
      <c r="I294" s="156"/>
      <c r="J294" s="7">
        <f t="shared" si="43"/>
        <v>0</v>
      </c>
      <c r="K294" s="14">
        <v>30</v>
      </c>
      <c r="L294" s="4">
        <v>46224</v>
      </c>
      <c r="M294" s="3">
        <v>0</v>
      </c>
      <c r="N294" s="187"/>
    </row>
    <row r="295" spans="1:14" x14ac:dyDescent="0.35">
      <c r="A295" s="19"/>
      <c r="B295" s="153"/>
      <c r="C295" s="153"/>
      <c r="D295" s="10" t="s">
        <v>34</v>
      </c>
      <c r="E295" s="7">
        <f t="shared" si="44"/>
        <v>41</v>
      </c>
      <c r="F295" s="7">
        <f t="shared" si="45"/>
        <v>51</v>
      </c>
      <c r="G295" s="9" t="s">
        <v>16</v>
      </c>
      <c r="H295" s="27" t="str">
        <f t="shared" si="46"/>
        <v>Normal</v>
      </c>
      <c r="I295" s="156"/>
      <c r="J295" s="7">
        <f t="shared" si="43"/>
        <v>0</v>
      </c>
      <c r="K295" s="14">
        <v>30</v>
      </c>
      <c r="L295" s="4">
        <v>46224</v>
      </c>
      <c r="M295" s="3">
        <v>0</v>
      </c>
      <c r="N295" s="187"/>
    </row>
    <row r="296" spans="1:14" x14ac:dyDescent="0.35">
      <c r="A296" s="20"/>
      <c r="B296" s="154"/>
      <c r="C296" s="154"/>
      <c r="D296" s="10" t="s">
        <v>35</v>
      </c>
      <c r="E296" s="7">
        <f t="shared" si="44"/>
        <v>41</v>
      </c>
      <c r="F296" s="7">
        <f t="shared" si="45"/>
        <v>51</v>
      </c>
      <c r="G296" s="9" t="s">
        <v>16</v>
      </c>
      <c r="H296" s="27" t="str">
        <f t="shared" si="46"/>
        <v>Normal</v>
      </c>
      <c r="I296" s="157"/>
      <c r="J296" s="7">
        <f t="shared" si="43"/>
        <v>0</v>
      </c>
      <c r="K296" s="14">
        <v>30</v>
      </c>
      <c r="L296" s="4">
        <v>46224</v>
      </c>
      <c r="M296" s="3">
        <v>0</v>
      </c>
      <c r="N296" s="187"/>
    </row>
    <row r="297" spans="1:14" ht="15" customHeight="1" x14ac:dyDescent="0.35">
      <c r="A297" s="18">
        <v>2</v>
      </c>
      <c r="B297" s="152" t="s">
        <v>247</v>
      </c>
      <c r="C297" s="152" t="s">
        <v>226</v>
      </c>
      <c r="D297" s="8" t="s">
        <v>15</v>
      </c>
      <c r="E297" s="7">
        <f t="shared" si="44"/>
        <v>71</v>
      </c>
      <c r="F297" s="7">
        <f t="shared" si="45"/>
        <v>81</v>
      </c>
      <c r="G297" s="9" t="s">
        <v>16</v>
      </c>
      <c r="H297" s="27" t="str">
        <f t="shared" si="46"/>
        <v>STD BY</v>
      </c>
      <c r="I297" s="155" t="str">
        <f>IF(COUNTIF(H297:H303,"-")&gt;0,("-"),(IF(COUNTIF(H297:H303,"STD BY")&gt;0,("STD BY"),(IF(COUNTIF(H297:H303,"N/A")&gt;0,("N/A"),(IF(COUNTIF(H297:H303,"Critical")&gt;0,("Critical"),(IF(COUNTIF(H297:H303,"High")&gt;0,("High"),(IF(COUNTIF(H297:H303,"Medium")&gt;0,("Medium"),(IF(COUNTIF(H297:H303,"Low")&gt;0,("Low"),("Normal"))))))))))))))</f>
        <v>STD BY</v>
      </c>
      <c r="J297" s="7" t="str">
        <f t="shared" si="43"/>
        <v>STD BY</v>
      </c>
      <c r="K297" s="14">
        <v>60</v>
      </c>
      <c r="L297" s="6"/>
      <c r="M297" s="5" t="s">
        <v>376</v>
      </c>
      <c r="N297" s="147" t="s">
        <v>372</v>
      </c>
    </row>
    <row r="298" spans="1:14" x14ac:dyDescent="0.35">
      <c r="A298" s="19"/>
      <c r="B298" s="153"/>
      <c r="C298" s="153"/>
      <c r="D298" s="10" t="s">
        <v>17</v>
      </c>
      <c r="E298" s="7">
        <f t="shared" si="44"/>
        <v>61</v>
      </c>
      <c r="F298" s="7">
        <f t="shared" si="45"/>
        <v>71</v>
      </c>
      <c r="G298" s="9" t="s">
        <v>16</v>
      </c>
      <c r="H298" s="27" t="str">
        <f t="shared" si="46"/>
        <v>STD BY</v>
      </c>
      <c r="I298" s="156"/>
      <c r="J298" s="7" t="str">
        <f t="shared" si="43"/>
        <v>STD BY</v>
      </c>
      <c r="K298" s="14">
        <v>50</v>
      </c>
      <c r="L298" s="6"/>
      <c r="M298" s="5" t="s">
        <v>376</v>
      </c>
      <c r="N298" s="188"/>
    </row>
    <row r="299" spans="1:14" x14ac:dyDescent="0.35">
      <c r="A299" s="19"/>
      <c r="B299" s="153"/>
      <c r="C299" s="153"/>
      <c r="D299" s="10" t="s">
        <v>18</v>
      </c>
      <c r="E299" s="7">
        <f t="shared" si="44"/>
        <v>71</v>
      </c>
      <c r="F299" s="7">
        <f t="shared" si="45"/>
        <v>81</v>
      </c>
      <c r="G299" s="9" t="s">
        <v>16</v>
      </c>
      <c r="H299" s="27" t="str">
        <f t="shared" si="46"/>
        <v>STD BY</v>
      </c>
      <c r="I299" s="156"/>
      <c r="J299" s="7" t="str">
        <f t="shared" si="43"/>
        <v>STD BY</v>
      </c>
      <c r="K299" s="14">
        <v>60</v>
      </c>
      <c r="L299" s="6"/>
      <c r="M299" s="5" t="s">
        <v>376</v>
      </c>
      <c r="N299" s="188"/>
    </row>
    <row r="300" spans="1:14" x14ac:dyDescent="0.35">
      <c r="A300" s="19"/>
      <c r="B300" s="153"/>
      <c r="C300" s="153"/>
      <c r="D300" s="10" t="s">
        <v>19</v>
      </c>
      <c r="E300" s="7">
        <f t="shared" si="44"/>
        <v>71</v>
      </c>
      <c r="F300" s="7">
        <f t="shared" si="45"/>
        <v>81</v>
      </c>
      <c r="G300" s="9" t="s">
        <v>16</v>
      </c>
      <c r="H300" s="27" t="str">
        <f t="shared" si="46"/>
        <v>STD BY</v>
      </c>
      <c r="I300" s="156"/>
      <c r="J300" s="7" t="str">
        <f t="shared" si="43"/>
        <v>STD BY</v>
      </c>
      <c r="K300" s="14">
        <v>60</v>
      </c>
      <c r="L300" s="6"/>
      <c r="M300" s="5" t="s">
        <v>376</v>
      </c>
      <c r="N300" s="188"/>
    </row>
    <row r="301" spans="1:14" x14ac:dyDescent="0.35">
      <c r="A301" s="19"/>
      <c r="B301" s="153"/>
      <c r="C301" s="153"/>
      <c r="D301" s="10" t="s">
        <v>33</v>
      </c>
      <c r="E301" s="7">
        <f t="shared" si="44"/>
        <v>51</v>
      </c>
      <c r="F301" s="7">
        <f t="shared" si="45"/>
        <v>61</v>
      </c>
      <c r="G301" s="9" t="s">
        <v>16</v>
      </c>
      <c r="H301" s="27" t="str">
        <f t="shared" si="46"/>
        <v>STD BY</v>
      </c>
      <c r="I301" s="156"/>
      <c r="J301" s="7" t="str">
        <f t="shared" si="43"/>
        <v>STD BY</v>
      </c>
      <c r="K301" s="14">
        <v>40</v>
      </c>
      <c r="L301" s="6"/>
      <c r="M301" s="5" t="s">
        <v>376</v>
      </c>
      <c r="N301" s="188"/>
    </row>
    <row r="302" spans="1:14" x14ac:dyDescent="0.35">
      <c r="A302" s="19"/>
      <c r="B302" s="153"/>
      <c r="C302" s="153"/>
      <c r="D302" s="10" t="s">
        <v>34</v>
      </c>
      <c r="E302" s="7">
        <f t="shared" si="44"/>
        <v>51</v>
      </c>
      <c r="F302" s="7">
        <f t="shared" si="45"/>
        <v>61</v>
      </c>
      <c r="G302" s="9" t="s">
        <v>16</v>
      </c>
      <c r="H302" s="27" t="str">
        <f t="shared" si="46"/>
        <v>STD BY</v>
      </c>
      <c r="I302" s="156"/>
      <c r="J302" s="7" t="str">
        <f t="shared" si="43"/>
        <v>STD BY</v>
      </c>
      <c r="K302" s="14">
        <v>40</v>
      </c>
      <c r="L302" s="6"/>
      <c r="M302" s="5" t="s">
        <v>376</v>
      </c>
      <c r="N302" s="188"/>
    </row>
    <row r="303" spans="1:14" x14ac:dyDescent="0.35">
      <c r="A303" s="19"/>
      <c r="B303" s="154"/>
      <c r="C303" s="154"/>
      <c r="D303" s="10" t="s">
        <v>35</v>
      </c>
      <c r="E303" s="7">
        <f t="shared" si="44"/>
        <v>51</v>
      </c>
      <c r="F303" s="7">
        <f>(E303+10)</f>
        <v>61</v>
      </c>
      <c r="G303" s="9" t="s">
        <v>16</v>
      </c>
      <c r="H303" s="27" t="str">
        <f t="shared" si="46"/>
        <v>STD BY</v>
      </c>
      <c r="I303" s="157"/>
      <c r="J303" s="7" t="str">
        <f t="shared" si="43"/>
        <v>STD BY</v>
      </c>
      <c r="K303" s="14">
        <v>40</v>
      </c>
      <c r="L303" s="6"/>
      <c r="M303" s="5" t="s">
        <v>376</v>
      </c>
      <c r="N303" s="189"/>
    </row>
    <row r="304" spans="1:14" ht="15" customHeight="1" x14ac:dyDescent="0.35">
      <c r="A304" s="18">
        <v>2</v>
      </c>
      <c r="B304" s="152" t="s">
        <v>248</v>
      </c>
      <c r="C304" s="152" t="s">
        <v>234</v>
      </c>
      <c r="D304" s="8" t="s">
        <v>15</v>
      </c>
      <c r="E304" s="7">
        <f t="shared" si="44"/>
        <v>71</v>
      </c>
      <c r="F304" s="7">
        <f t="shared" ref="F304:F389" si="47">(E304+10)</f>
        <v>81</v>
      </c>
      <c r="G304" s="9" t="s">
        <v>16</v>
      </c>
      <c r="H304" s="27" t="str">
        <f t="shared" si="46"/>
        <v>Normal</v>
      </c>
      <c r="I304" s="155" t="str">
        <f>IF(COUNTIF(H304:H310,"-")&gt;0,("-"),(IF(COUNTIF(H304:H310,"STD BY")&gt;0,("STD BY"),(IF(COUNTIF(H304:H310,"N/A")&gt;0,("N/A"),(IF(COUNTIF(H304:H310,"Critical")&gt;0,("Critical"),(IF(COUNTIF(H304:H310,"High")&gt;0,("High"),(IF(COUNTIF(H304:H310,"Medium")&gt;0,("Medium"),(IF(COUNTIF(H304:H310,"Low")&gt;0,("Low"),("Normal"))))))))))))))</f>
        <v>Normal</v>
      </c>
      <c r="J304" s="7">
        <f t="shared" si="43"/>
        <v>1.7999999999999972</v>
      </c>
      <c r="K304" s="14">
        <v>60</v>
      </c>
      <c r="L304" s="4">
        <v>46223</v>
      </c>
      <c r="M304" s="5">
        <v>61.8</v>
      </c>
      <c r="N304" s="147" t="s">
        <v>371</v>
      </c>
    </row>
    <row r="305" spans="1:14" x14ac:dyDescent="0.35">
      <c r="A305" s="19"/>
      <c r="B305" s="153"/>
      <c r="C305" s="153"/>
      <c r="D305" s="10" t="s">
        <v>17</v>
      </c>
      <c r="E305" s="7">
        <f t="shared" si="44"/>
        <v>61</v>
      </c>
      <c r="F305" s="7">
        <f t="shared" si="47"/>
        <v>71</v>
      </c>
      <c r="G305" s="9" t="s">
        <v>16</v>
      </c>
      <c r="H305" s="27" t="str">
        <f t="shared" si="46"/>
        <v>Normal</v>
      </c>
      <c r="I305" s="156"/>
      <c r="J305" s="7">
        <f t="shared" si="43"/>
        <v>0</v>
      </c>
      <c r="K305" s="14">
        <v>50</v>
      </c>
      <c r="L305" s="4">
        <v>46223</v>
      </c>
      <c r="M305" s="5">
        <v>40.5</v>
      </c>
      <c r="N305" s="188"/>
    </row>
    <row r="306" spans="1:14" x14ac:dyDescent="0.35">
      <c r="A306" s="19"/>
      <c r="B306" s="153"/>
      <c r="C306" s="153"/>
      <c r="D306" s="10" t="s">
        <v>18</v>
      </c>
      <c r="E306" s="7">
        <f t="shared" si="44"/>
        <v>71</v>
      </c>
      <c r="F306" s="7">
        <f t="shared" si="47"/>
        <v>81</v>
      </c>
      <c r="G306" s="9" t="s">
        <v>16</v>
      </c>
      <c r="H306" s="27" t="str">
        <f t="shared" si="46"/>
        <v>Normal</v>
      </c>
      <c r="I306" s="156"/>
      <c r="J306" s="7">
        <f t="shared" si="43"/>
        <v>0</v>
      </c>
      <c r="K306" s="14">
        <v>60</v>
      </c>
      <c r="L306" s="4">
        <v>46223</v>
      </c>
      <c r="M306" s="5">
        <v>45.8</v>
      </c>
      <c r="N306" s="188"/>
    </row>
    <row r="307" spans="1:14" x14ac:dyDescent="0.35">
      <c r="A307" s="19"/>
      <c r="B307" s="153"/>
      <c r="C307" s="153"/>
      <c r="D307" s="10" t="s">
        <v>19</v>
      </c>
      <c r="E307" s="7">
        <f t="shared" si="44"/>
        <v>71</v>
      </c>
      <c r="F307" s="7">
        <f t="shared" si="47"/>
        <v>81</v>
      </c>
      <c r="G307" s="9" t="s">
        <v>16</v>
      </c>
      <c r="H307" s="27" t="str">
        <f t="shared" si="46"/>
        <v>Normal</v>
      </c>
      <c r="I307" s="156"/>
      <c r="J307" s="7">
        <f t="shared" si="43"/>
        <v>0</v>
      </c>
      <c r="K307" s="14">
        <v>60</v>
      </c>
      <c r="L307" s="4">
        <v>46223</v>
      </c>
      <c r="M307" s="5">
        <v>53.6</v>
      </c>
      <c r="N307" s="188"/>
    </row>
    <row r="308" spans="1:14" x14ac:dyDescent="0.35">
      <c r="A308" s="19"/>
      <c r="B308" s="153"/>
      <c r="C308" s="153"/>
      <c r="D308" s="10" t="s">
        <v>33</v>
      </c>
      <c r="E308" s="7">
        <f t="shared" si="44"/>
        <v>51</v>
      </c>
      <c r="F308" s="7">
        <f t="shared" si="47"/>
        <v>61</v>
      </c>
      <c r="G308" s="9" t="s">
        <v>16</v>
      </c>
      <c r="H308" s="27" t="str">
        <f t="shared" si="46"/>
        <v>Normal</v>
      </c>
      <c r="I308" s="156"/>
      <c r="J308" s="7">
        <f t="shared" si="43"/>
        <v>0</v>
      </c>
      <c r="K308" s="14">
        <v>40</v>
      </c>
      <c r="L308" s="4">
        <v>46223</v>
      </c>
      <c r="M308" s="5">
        <v>38</v>
      </c>
      <c r="N308" s="188"/>
    </row>
    <row r="309" spans="1:14" x14ac:dyDescent="0.35">
      <c r="A309" s="19"/>
      <c r="B309" s="153"/>
      <c r="C309" s="153"/>
      <c r="D309" s="10" t="s">
        <v>34</v>
      </c>
      <c r="E309" s="7">
        <f t="shared" si="44"/>
        <v>51</v>
      </c>
      <c r="F309" s="7">
        <f t="shared" si="47"/>
        <v>61</v>
      </c>
      <c r="G309" s="9" t="s">
        <v>16</v>
      </c>
      <c r="H309" s="27" t="str">
        <f t="shared" si="46"/>
        <v>Normal</v>
      </c>
      <c r="I309" s="156"/>
      <c r="J309" s="7">
        <f t="shared" si="43"/>
        <v>0</v>
      </c>
      <c r="K309" s="14">
        <v>40</v>
      </c>
      <c r="L309" s="4">
        <v>46223</v>
      </c>
      <c r="M309" s="5">
        <v>38.1</v>
      </c>
      <c r="N309" s="188"/>
    </row>
    <row r="310" spans="1:14" x14ac:dyDescent="0.35">
      <c r="A310" s="20"/>
      <c r="B310" s="154"/>
      <c r="C310" s="154"/>
      <c r="D310" s="10" t="s">
        <v>35</v>
      </c>
      <c r="E310" s="7">
        <f t="shared" si="44"/>
        <v>51</v>
      </c>
      <c r="F310" s="7">
        <f t="shared" si="47"/>
        <v>61</v>
      </c>
      <c r="G310" s="9" t="s">
        <v>16</v>
      </c>
      <c r="H310" s="27" t="str">
        <f t="shared" si="46"/>
        <v>Normal</v>
      </c>
      <c r="I310" s="157"/>
      <c r="J310" s="7">
        <f t="shared" si="43"/>
        <v>0</v>
      </c>
      <c r="K310" s="14">
        <v>40</v>
      </c>
      <c r="L310" s="4">
        <v>46223</v>
      </c>
      <c r="M310" s="5">
        <v>38.299999999999997</v>
      </c>
      <c r="N310" s="189"/>
    </row>
    <row r="311" spans="1:14" ht="15" customHeight="1" x14ac:dyDescent="0.35">
      <c r="A311" s="18">
        <v>2</v>
      </c>
      <c r="B311" s="152" t="s">
        <v>249</v>
      </c>
      <c r="C311" s="152" t="s">
        <v>227</v>
      </c>
      <c r="D311" s="8" t="s">
        <v>15</v>
      </c>
      <c r="E311" s="7">
        <f t="shared" si="44"/>
        <v>81</v>
      </c>
      <c r="F311" s="7">
        <f t="shared" si="47"/>
        <v>91</v>
      </c>
      <c r="G311" s="9" t="s">
        <v>16</v>
      </c>
      <c r="H311" s="27" t="str">
        <f t="shared" si="46"/>
        <v>Normal</v>
      </c>
      <c r="I311" s="155" t="str">
        <f>IF(COUNTIF(H311:H317,"-")&gt;0,("-"),(IF(COUNTIF(H311:H317,"STD BY")&gt;0,("STD BY"),(IF(COUNTIF(H311:H317,"N/A")&gt;0,("N/A"),(IF(COUNTIF(H311:H317,"Critical")&gt;0,("Critical"),(IF(COUNTIF(H311:H317,"High")&gt;0,("High"),(IF(COUNTIF(H311:H317,"Medium")&gt;0,("Medium"),(IF(COUNTIF(H311:H317,"Low")&gt;0,("Low"),("Normal"))))))))))))))</f>
        <v>Normal</v>
      </c>
      <c r="J311" s="7">
        <f t="shared" si="43"/>
        <v>0</v>
      </c>
      <c r="K311" s="14">
        <v>70</v>
      </c>
      <c r="L311" s="4">
        <v>46233</v>
      </c>
      <c r="M311" s="5">
        <v>55.3</v>
      </c>
      <c r="N311" s="186" t="s">
        <v>372</v>
      </c>
    </row>
    <row r="312" spans="1:14" x14ac:dyDescent="0.35">
      <c r="A312" s="19"/>
      <c r="B312" s="153"/>
      <c r="C312" s="153"/>
      <c r="D312" s="10" t="s">
        <v>17</v>
      </c>
      <c r="E312" s="7">
        <f t="shared" si="44"/>
        <v>61</v>
      </c>
      <c r="F312" s="7">
        <f t="shared" si="47"/>
        <v>71</v>
      </c>
      <c r="G312" s="9" t="s">
        <v>16</v>
      </c>
      <c r="H312" s="27" t="str">
        <f t="shared" si="46"/>
        <v>Normal</v>
      </c>
      <c r="I312" s="156"/>
      <c r="J312" s="7">
        <f t="shared" si="43"/>
        <v>0</v>
      </c>
      <c r="K312" s="14">
        <v>50</v>
      </c>
      <c r="L312" s="4">
        <v>46233</v>
      </c>
      <c r="M312" s="5">
        <v>48.2</v>
      </c>
      <c r="N312" s="187"/>
    </row>
    <row r="313" spans="1:14" x14ac:dyDescent="0.35">
      <c r="A313" s="19"/>
      <c r="B313" s="153"/>
      <c r="C313" s="153"/>
      <c r="D313" s="10" t="s">
        <v>18</v>
      </c>
      <c r="E313" s="7">
        <f t="shared" si="44"/>
        <v>76</v>
      </c>
      <c r="F313" s="7">
        <f t="shared" si="47"/>
        <v>86</v>
      </c>
      <c r="G313" s="9" t="s">
        <v>16</v>
      </c>
      <c r="H313" s="27" t="str">
        <f t="shared" si="46"/>
        <v>Normal</v>
      </c>
      <c r="I313" s="156"/>
      <c r="J313" s="7">
        <f t="shared" si="43"/>
        <v>0</v>
      </c>
      <c r="K313" s="14">
        <v>65</v>
      </c>
      <c r="L313" s="4">
        <v>46233</v>
      </c>
      <c r="M313" s="5">
        <v>51.4</v>
      </c>
      <c r="N313" s="187"/>
    </row>
    <row r="314" spans="1:14" x14ac:dyDescent="0.35">
      <c r="A314" s="19"/>
      <c r="B314" s="153"/>
      <c r="C314" s="153"/>
      <c r="D314" s="10" t="s">
        <v>19</v>
      </c>
      <c r="E314" s="7">
        <f t="shared" si="44"/>
        <v>51</v>
      </c>
      <c r="F314" s="7">
        <f t="shared" si="47"/>
        <v>61</v>
      </c>
      <c r="G314" s="9" t="s">
        <v>16</v>
      </c>
      <c r="H314" s="27" t="str">
        <f t="shared" si="46"/>
        <v>Normal</v>
      </c>
      <c r="I314" s="156"/>
      <c r="J314" s="7">
        <f t="shared" si="43"/>
        <v>0</v>
      </c>
      <c r="K314" s="14">
        <v>40</v>
      </c>
      <c r="L314" s="4">
        <v>46233</v>
      </c>
      <c r="M314" s="5">
        <v>33.299999999999997</v>
      </c>
      <c r="N314" s="187"/>
    </row>
    <row r="315" spans="1:14" x14ac:dyDescent="0.35">
      <c r="A315" s="19"/>
      <c r="B315" s="153"/>
      <c r="C315" s="153"/>
      <c r="D315" s="10" t="s">
        <v>33</v>
      </c>
      <c r="E315" s="7">
        <f t="shared" si="44"/>
        <v>51</v>
      </c>
      <c r="F315" s="7">
        <f t="shared" si="47"/>
        <v>61</v>
      </c>
      <c r="G315" s="9" t="s">
        <v>16</v>
      </c>
      <c r="H315" s="27" t="str">
        <f t="shared" si="46"/>
        <v>Normal</v>
      </c>
      <c r="I315" s="156"/>
      <c r="J315" s="7">
        <f t="shared" si="43"/>
        <v>2.2999999999999972</v>
      </c>
      <c r="K315" s="14">
        <v>40</v>
      </c>
      <c r="L315" s="4">
        <v>46233</v>
      </c>
      <c r="M315" s="5">
        <v>42.3</v>
      </c>
      <c r="N315" s="187"/>
    </row>
    <row r="316" spans="1:14" x14ac:dyDescent="0.35">
      <c r="A316" s="19"/>
      <c r="B316" s="153"/>
      <c r="C316" s="153"/>
      <c r="D316" s="10" t="s">
        <v>34</v>
      </c>
      <c r="E316" s="7">
        <f t="shared" si="44"/>
        <v>51</v>
      </c>
      <c r="F316" s="7">
        <f t="shared" si="47"/>
        <v>61</v>
      </c>
      <c r="G316" s="9" t="s">
        <v>16</v>
      </c>
      <c r="H316" s="27" t="str">
        <f t="shared" si="46"/>
        <v>Normal</v>
      </c>
      <c r="I316" s="156"/>
      <c r="J316" s="7">
        <f t="shared" si="43"/>
        <v>0</v>
      </c>
      <c r="K316" s="14">
        <v>40</v>
      </c>
      <c r="L316" s="4">
        <v>46233</v>
      </c>
      <c r="M316" s="5">
        <v>39.700000000000003</v>
      </c>
      <c r="N316" s="187"/>
    </row>
    <row r="317" spans="1:14" x14ac:dyDescent="0.35">
      <c r="A317" s="20"/>
      <c r="B317" s="154"/>
      <c r="C317" s="154"/>
      <c r="D317" s="10" t="s">
        <v>35</v>
      </c>
      <c r="E317" s="7">
        <f t="shared" si="44"/>
        <v>51</v>
      </c>
      <c r="F317" s="7">
        <f t="shared" si="47"/>
        <v>61</v>
      </c>
      <c r="G317" s="9" t="s">
        <v>16</v>
      </c>
      <c r="H317" s="27" t="str">
        <f t="shared" si="46"/>
        <v>Normal</v>
      </c>
      <c r="I317" s="157"/>
      <c r="J317" s="7">
        <f t="shared" si="43"/>
        <v>0</v>
      </c>
      <c r="K317" s="14">
        <v>40</v>
      </c>
      <c r="L317" s="4">
        <v>46233</v>
      </c>
      <c r="M317" s="5">
        <v>39</v>
      </c>
      <c r="N317" s="187"/>
    </row>
    <row r="318" spans="1:14" ht="15" customHeight="1" x14ac:dyDescent="0.35">
      <c r="A318" s="18">
        <v>2</v>
      </c>
      <c r="B318" s="152" t="s">
        <v>250</v>
      </c>
      <c r="C318" s="152" t="s">
        <v>373</v>
      </c>
      <c r="D318" s="8" t="s">
        <v>15</v>
      </c>
      <c r="E318" s="7">
        <f t="shared" si="44"/>
        <v>81</v>
      </c>
      <c r="F318" s="7">
        <f t="shared" si="47"/>
        <v>91</v>
      </c>
      <c r="G318" s="9" t="s">
        <v>16</v>
      </c>
      <c r="H318" s="27" t="str">
        <f t="shared" si="46"/>
        <v>Normal</v>
      </c>
      <c r="I318" s="155" t="str">
        <f>IF(COUNTIF(H318:H324,"-")&gt;0,("-"),(IF(COUNTIF(H318:H324,"STD BY")&gt;0,("STD BY"),(IF(COUNTIF(H318:H324,"N/A")&gt;0,("N/A"),(IF(COUNTIF(H318:H324,"Critical")&gt;0,("Critical"),(IF(COUNTIF(H318:H324,"High")&gt;0,("High"),(IF(COUNTIF(H318:H324,"Medium")&gt;0,("Medium"),(IF(COUNTIF(H318:H324,"Low")&gt;0,("Low"),("Normal"))))))))))))))</f>
        <v>Normal</v>
      </c>
      <c r="J318" s="7">
        <f t="shared" si="43"/>
        <v>0</v>
      </c>
      <c r="K318" s="14">
        <v>70</v>
      </c>
      <c r="L318" s="4">
        <v>46226</v>
      </c>
      <c r="M318" s="3">
        <v>53.7</v>
      </c>
      <c r="N318" s="186" t="s">
        <v>372</v>
      </c>
    </row>
    <row r="319" spans="1:14" x14ac:dyDescent="0.35">
      <c r="A319" s="19"/>
      <c r="B319" s="153"/>
      <c r="C319" s="153"/>
      <c r="D319" s="10" t="s">
        <v>17</v>
      </c>
      <c r="E319" s="7">
        <f t="shared" si="44"/>
        <v>61</v>
      </c>
      <c r="F319" s="7">
        <f t="shared" si="47"/>
        <v>71</v>
      </c>
      <c r="G319" s="9" t="s">
        <v>16</v>
      </c>
      <c r="H319" s="27" t="str">
        <f t="shared" si="46"/>
        <v>Normal</v>
      </c>
      <c r="I319" s="156"/>
      <c r="J319" s="7">
        <f t="shared" si="43"/>
        <v>0</v>
      </c>
      <c r="K319" s="14">
        <v>50</v>
      </c>
      <c r="L319" s="4">
        <v>46226</v>
      </c>
      <c r="M319" s="3">
        <v>42.5</v>
      </c>
      <c r="N319" s="187"/>
    </row>
    <row r="320" spans="1:14" x14ac:dyDescent="0.35">
      <c r="A320" s="19"/>
      <c r="B320" s="153"/>
      <c r="C320" s="153"/>
      <c r="D320" s="10" t="s">
        <v>18</v>
      </c>
      <c r="E320" s="7">
        <f t="shared" si="44"/>
        <v>76</v>
      </c>
      <c r="F320" s="7">
        <f t="shared" si="47"/>
        <v>86</v>
      </c>
      <c r="G320" s="9" t="s">
        <v>16</v>
      </c>
      <c r="H320" s="27" t="str">
        <f t="shared" si="46"/>
        <v>Normal</v>
      </c>
      <c r="I320" s="156"/>
      <c r="J320" s="7">
        <f t="shared" ref="J320:J389" si="48">IF(M320="",(""),(IF(M320="STD BY",("STD BY"),(IF(M320="N/A",("N/A"),(IF(M320-K320&gt;0,(M320-K320),(0))))))))</f>
        <v>0</v>
      </c>
      <c r="K320" s="14">
        <v>65</v>
      </c>
      <c r="L320" s="4">
        <v>46226</v>
      </c>
      <c r="M320" s="3">
        <v>53.4</v>
      </c>
      <c r="N320" s="187"/>
    </row>
    <row r="321" spans="1:14" x14ac:dyDescent="0.35">
      <c r="A321" s="19"/>
      <c r="B321" s="153"/>
      <c r="C321" s="153"/>
      <c r="D321" s="10" t="s">
        <v>19</v>
      </c>
      <c r="E321" s="7">
        <f t="shared" si="44"/>
        <v>51</v>
      </c>
      <c r="F321" s="7">
        <f t="shared" si="47"/>
        <v>61</v>
      </c>
      <c r="G321" s="9" t="s">
        <v>16</v>
      </c>
      <c r="H321" s="27" t="str">
        <f t="shared" si="46"/>
        <v>Normal</v>
      </c>
      <c r="I321" s="156"/>
      <c r="J321" s="7">
        <f t="shared" si="48"/>
        <v>0</v>
      </c>
      <c r="K321" s="14">
        <v>40</v>
      </c>
      <c r="L321" s="4">
        <v>46226</v>
      </c>
      <c r="M321" s="3">
        <v>33.700000000000003</v>
      </c>
      <c r="N321" s="187"/>
    </row>
    <row r="322" spans="1:14" x14ac:dyDescent="0.35">
      <c r="A322" s="19"/>
      <c r="B322" s="153"/>
      <c r="C322" s="153"/>
      <c r="D322" s="10" t="s">
        <v>33</v>
      </c>
      <c r="E322" s="7">
        <f t="shared" si="44"/>
        <v>51</v>
      </c>
      <c r="F322" s="7">
        <f t="shared" si="47"/>
        <v>61</v>
      </c>
      <c r="G322" s="9" t="s">
        <v>16</v>
      </c>
      <c r="H322" s="27" t="str">
        <f t="shared" si="46"/>
        <v>Normal</v>
      </c>
      <c r="I322" s="156"/>
      <c r="J322" s="7">
        <f t="shared" si="48"/>
        <v>0</v>
      </c>
      <c r="K322" s="14">
        <v>40</v>
      </c>
      <c r="L322" s="4">
        <v>46226</v>
      </c>
      <c r="M322" s="3">
        <v>39.799999999999997</v>
      </c>
      <c r="N322" s="187"/>
    </row>
    <row r="323" spans="1:14" x14ac:dyDescent="0.35">
      <c r="A323" s="19"/>
      <c r="B323" s="153"/>
      <c r="C323" s="153"/>
      <c r="D323" s="10" t="s">
        <v>34</v>
      </c>
      <c r="E323" s="7">
        <f t="shared" si="44"/>
        <v>51</v>
      </c>
      <c r="F323" s="7">
        <f t="shared" si="47"/>
        <v>61</v>
      </c>
      <c r="G323" s="9" t="s">
        <v>16</v>
      </c>
      <c r="H323" s="27" t="str">
        <f t="shared" si="46"/>
        <v>Normal</v>
      </c>
      <c r="I323" s="156"/>
      <c r="J323" s="7">
        <f t="shared" si="48"/>
        <v>0</v>
      </c>
      <c r="K323" s="14">
        <v>40</v>
      </c>
      <c r="L323" s="4">
        <v>46226</v>
      </c>
      <c r="M323" s="3">
        <v>39.700000000000003</v>
      </c>
      <c r="N323" s="187"/>
    </row>
    <row r="324" spans="1:14" x14ac:dyDescent="0.35">
      <c r="A324" s="20"/>
      <c r="B324" s="154"/>
      <c r="C324" s="154"/>
      <c r="D324" s="10" t="s">
        <v>35</v>
      </c>
      <c r="E324" s="7">
        <f t="shared" si="44"/>
        <v>51</v>
      </c>
      <c r="F324" s="7">
        <f t="shared" si="47"/>
        <v>61</v>
      </c>
      <c r="G324" s="9" t="s">
        <v>16</v>
      </c>
      <c r="H324" s="27" t="str">
        <f t="shared" si="46"/>
        <v>Normal</v>
      </c>
      <c r="I324" s="157"/>
      <c r="J324" s="7">
        <f t="shared" si="48"/>
        <v>0</v>
      </c>
      <c r="K324" s="14">
        <v>40</v>
      </c>
      <c r="L324" s="4">
        <v>46226</v>
      </c>
      <c r="M324" s="3">
        <v>39.299999999999997</v>
      </c>
      <c r="N324" s="187"/>
    </row>
    <row r="325" spans="1:14" ht="15" customHeight="1" x14ac:dyDescent="0.35">
      <c r="A325" s="18">
        <v>2</v>
      </c>
      <c r="B325" s="152" t="s">
        <v>251</v>
      </c>
      <c r="C325" s="152" t="s">
        <v>228</v>
      </c>
      <c r="D325" s="8" t="s">
        <v>15</v>
      </c>
      <c r="E325" s="7">
        <f t="shared" si="44"/>
        <v>81</v>
      </c>
      <c r="F325" s="7">
        <f t="shared" si="47"/>
        <v>91</v>
      </c>
      <c r="G325" s="9" t="s">
        <v>16</v>
      </c>
      <c r="H325" s="27" t="str">
        <f t="shared" si="46"/>
        <v>Normal</v>
      </c>
      <c r="I325" s="155" t="str">
        <f>IF(COUNTIF(H325:H332,"-")&gt;0,("-"),(IF(COUNTIF(H325:H332,"STD BY")&gt;0,("STD BY"),(IF(COUNTIF(H325:H332,"N/A")&gt;0,("N/A"),(IF(COUNTIF(H325:H332,"Critical")&gt;0,("Critical"),(IF(COUNTIF(H325:H332,"High")&gt;0,("High"),(IF(COUNTIF(H325:H332,"Medium")&gt;0,("Medium"),(IF(COUNTIF(H325:H332,"Low")&gt;0,("Low"),("Normal"))))))))))))))</f>
        <v>Normal</v>
      </c>
      <c r="J325" s="7">
        <f t="shared" si="48"/>
        <v>0</v>
      </c>
      <c r="K325" s="14">
        <v>70</v>
      </c>
      <c r="L325" s="4">
        <v>46233</v>
      </c>
      <c r="M325" s="3">
        <v>53.4</v>
      </c>
      <c r="N325" s="186" t="s">
        <v>372</v>
      </c>
    </row>
    <row r="326" spans="1:14" x14ac:dyDescent="0.35">
      <c r="A326" s="19"/>
      <c r="B326" s="153"/>
      <c r="C326" s="153"/>
      <c r="D326" s="10" t="s">
        <v>17</v>
      </c>
      <c r="E326" s="7">
        <f t="shared" si="44"/>
        <v>61</v>
      </c>
      <c r="F326" s="7">
        <f t="shared" si="47"/>
        <v>71</v>
      </c>
      <c r="G326" s="9" t="s">
        <v>16</v>
      </c>
      <c r="H326" s="27" t="str">
        <f t="shared" si="46"/>
        <v>Normal</v>
      </c>
      <c r="I326" s="156"/>
      <c r="J326" s="7">
        <f t="shared" si="48"/>
        <v>0</v>
      </c>
      <c r="K326" s="14">
        <v>50</v>
      </c>
      <c r="L326" s="4">
        <v>46233</v>
      </c>
      <c r="M326" s="3">
        <v>41.6</v>
      </c>
      <c r="N326" s="187"/>
    </row>
    <row r="327" spans="1:14" x14ac:dyDescent="0.35">
      <c r="A327" s="19"/>
      <c r="B327" s="153"/>
      <c r="C327" s="153"/>
      <c r="D327" s="10" t="s">
        <v>18</v>
      </c>
      <c r="E327" s="7">
        <f t="shared" si="44"/>
        <v>71</v>
      </c>
      <c r="F327" s="7">
        <f t="shared" si="47"/>
        <v>81</v>
      </c>
      <c r="G327" s="9" t="s">
        <v>16</v>
      </c>
      <c r="H327" s="27" t="str">
        <f t="shared" si="46"/>
        <v>Normal</v>
      </c>
      <c r="I327" s="156"/>
      <c r="J327" s="7">
        <f t="shared" si="48"/>
        <v>0</v>
      </c>
      <c r="K327" s="14">
        <v>60</v>
      </c>
      <c r="L327" s="4">
        <v>46233</v>
      </c>
      <c r="M327" s="3">
        <v>55.2</v>
      </c>
      <c r="N327" s="187"/>
    </row>
    <row r="328" spans="1:14" x14ac:dyDescent="0.35">
      <c r="A328" s="19"/>
      <c r="B328" s="153"/>
      <c r="C328" s="153"/>
      <c r="D328" s="10" t="s">
        <v>19</v>
      </c>
      <c r="E328" s="7">
        <f t="shared" si="44"/>
        <v>56</v>
      </c>
      <c r="F328" s="7">
        <f t="shared" si="47"/>
        <v>66</v>
      </c>
      <c r="G328" s="9" t="s">
        <v>16</v>
      </c>
      <c r="H328" s="27" t="str">
        <f t="shared" si="46"/>
        <v>Normal</v>
      </c>
      <c r="I328" s="156"/>
      <c r="J328" s="7">
        <f t="shared" si="48"/>
        <v>1</v>
      </c>
      <c r="K328" s="14">
        <v>45</v>
      </c>
      <c r="L328" s="4">
        <v>46233</v>
      </c>
      <c r="M328" s="3">
        <v>46</v>
      </c>
      <c r="N328" s="187"/>
    </row>
    <row r="329" spans="1:14" x14ac:dyDescent="0.35">
      <c r="A329" s="19"/>
      <c r="B329" s="153"/>
      <c r="C329" s="153"/>
      <c r="D329" s="10" t="s">
        <v>22</v>
      </c>
      <c r="E329" s="7">
        <f t="shared" si="44"/>
        <v>56</v>
      </c>
      <c r="F329" s="7">
        <f t="shared" si="47"/>
        <v>66</v>
      </c>
      <c r="G329" s="9" t="s">
        <v>16</v>
      </c>
      <c r="H329" s="27" t="str">
        <f t="shared" si="46"/>
        <v>Normal</v>
      </c>
      <c r="I329" s="156"/>
      <c r="J329" s="7">
        <f t="shared" si="48"/>
        <v>0</v>
      </c>
      <c r="K329" s="14">
        <v>45</v>
      </c>
      <c r="L329" s="4">
        <v>46233</v>
      </c>
      <c r="M329" s="3">
        <v>44.4</v>
      </c>
      <c r="N329" s="187"/>
    </row>
    <row r="330" spans="1:14" x14ac:dyDescent="0.35">
      <c r="A330" s="19"/>
      <c r="B330" s="153"/>
      <c r="C330" s="153"/>
      <c r="D330" s="10" t="s">
        <v>33</v>
      </c>
      <c r="E330" s="7">
        <f t="shared" si="44"/>
        <v>51</v>
      </c>
      <c r="F330" s="7">
        <f t="shared" si="47"/>
        <v>61</v>
      </c>
      <c r="G330" s="9" t="s">
        <v>16</v>
      </c>
      <c r="H330" s="27" t="str">
        <f t="shared" si="46"/>
        <v>Normal</v>
      </c>
      <c r="I330" s="156"/>
      <c r="J330" s="7">
        <f t="shared" si="48"/>
        <v>1.6000000000000014</v>
      </c>
      <c r="K330" s="14">
        <v>40</v>
      </c>
      <c r="L330" s="4">
        <v>46233</v>
      </c>
      <c r="M330" s="3">
        <v>41.6</v>
      </c>
      <c r="N330" s="187"/>
    </row>
    <row r="331" spans="1:14" x14ac:dyDescent="0.35">
      <c r="A331" s="19"/>
      <c r="B331" s="153"/>
      <c r="C331" s="153"/>
      <c r="D331" s="10" t="s">
        <v>34</v>
      </c>
      <c r="E331" s="7">
        <f t="shared" si="44"/>
        <v>51</v>
      </c>
      <c r="F331" s="7">
        <f t="shared" si="47"/>
        <v>61</v>
      </c>
      <c r="G331" s="9" t="s">
        <v>16</v>
      </c>
      <c r="H331" s="27" t="str">
        <f t="shared" si="46"/>
        <v>Normal</v>
      </c>
      <c r="I331" s="156"/>
      <c r="J331" s="7">
        <f t="shared" si="48"/>
        <v>0.39999999999999858</v>
      </c>
      <c r="K331" s="14">
        <v>40</v>
      </c>
      <c r="L331" s="4">
        <v>46233</v>
      </c>
      <c r="M331" s="3">
        <v>40.4</v>
      </c>
      <c r="N331" s="187"/>
    </row>
    <row r="332" spans="1:14" x14ac:dyDescent="0.35">
      <c r="A332" s="20"/>
      <c r="B332" s="154"/>
      <c r="C332" s="154"/>
      <c r="D332" s="10" t="s">
        <v>35</v>
      </c>
      <c r="E332" s="7">
        <f t="shared" si="44"/>
        <v>51</v>
      </c>
      <c r="F332" s="7">
        <f t="shared" si="47"/>
        <v>61</v>
      </c>
      <c r="G332" s="9" t="s">
        <v>16</v>
      </c>
      <c r="H332" s="27" t="str">
        <f t="shared" si="46"/>
        <v>Normal</v>
      </c>
      <c r="I332" s="157"/>
      <c r="J332" s="7">
        <f t="shared" si="48"/>
        <v>1.3999999999999986</v>
      </c>
      <c r="K332" s="14">
        <v>40</v>
      </c>
      <c r="L332" s="4">
        <v>46233</v>
      </c>
      <c r="M332" s="3">
        <v>41.4</v>
      </c>
      <c r="N332" s="187"/>
    </row>
    <row r="333" spans="1:14" ht="15" customHeight="1" x14ac:dyDescent="0.35">
      <c r="A333" s="18">
        <v>2</v>
      </c>
      <c r="B333" s="152" t="s">
        <v>252</v>
      </c>
      <c r="C333" s="152" t="s">
        <v>236</v>
      </c>
      <c r="D333" s="8" t="s">
        <v>15</v>
      </c>
      <c r="E333" s="7">
        <f t="shared" si="44"/>
        <v>81</v>
      </c>
      <c r="F333" s="7">
        <f t="shared" si="47"/>
        <v>91</v>
      </c>
      <c r="G333" s="9" t="s">
        <v>16</v>
      </c>
      <c r="H333" s="27" t="str">
        <f t="shared" si="46"/>
        <v>Normal</v>
      </c>
      <c r="I333" s="155" t="str">
        <f>IF(COUNTIF(H333:H340,"-")&gt;0,("-"),(IF(COUNTIF(H333:H340,"STD BY")&gt;0,("STD BY"),(IF(COUNTIF(H333:H340,"N/A")&gt;0,("N/A"),(IF(COUNTIF(H333:H340,"Critical")&gt;0,("Critical"),(IF(COUNTIF(H333:H340,"High")&gt;0,("High"),(IF(COUNTIF(H333:H340,"Medium")&gt;0,("Medium"),(IF(COUNTIF(H333:H340,"Low")&gt;0,("Low"),("Normal"))))))))))))))</f>
        <v>Medium</v>
      </c>
      <c r="J333" s="7">
        <f t="shared" si="48"/>
        <v>0</v>
      </c>
      <c r="K333" s="14">
        <v>70</v>
      </c>
      <c r="L333" s="4">
        <v>46233</v>
      </c>
      <c r="M333" s="3">
        <v>54</v>
      </c>
      <c r="N333" s="186" t="s">
        <v>372</v>
      </c>
    </row>
    <row r="334" spans="1:14" x14ac:dyDescent="0.35">
      <c r="A334" s="19"/>
      <c r="B334" s="153"/>
      <c r="C334" s="153"/>
      <c r="D334" s="10" t="s">
        <v>17</v>
      </c>
      <c r="E334" s="7">
        <f t="shared" si="44"/>
        <v>61</v>
      </c>
      <c r="F334" s="7">
        <f t="shared" si="47"/>
        <v>71</v>
      </c>
      <c r="G334" s="9" t="s">
        <v>16</v>
      </c>
      <c r="H334" s="27" t="str">
        <f t="shared" si="46"/>
        <v>Normal</v>
      </c>
      <c r="I334" s="156"/>
      <c r="J334" s="7">
        <f t="shared" si="48"/>
        <v>0</v>
      </c>
      <c r="K334" s="14">
        <v>50</v>
      </c>
      <c r="L334" s="4">
        <v>46233</v>
      </c>
      <c r="M334" s="3">
        <v>41.8</v>
      </c>
      <c r="N334" s="187"/>
    </row>
    <row r="335" spans="1:14" x14ac:dyDescent="0.35">
      <c r="A335" s="19"/>
      <c r="B335" s="153"/>
      <c r="C335" s="153"/>
      <c r="D335" s="10" t="s">
        <v>18</v>
      </c>
      <c r="E335" s="7">
        <f t="shared" si="44"/>
        <v>71</v>
      </c>
      <c r="F335" s="7">
        <f t="shared" si="47"/>
        <v>81</v>
      </c>
      <c r="G335" s="9" t="s">
        <v>16</v>
      </c>
      <c r="H335" s="27" t="str">
        <f t="shared" si="46"/>
        <v>Normal</v>
      </c>
      <c r="I335" s="156"/>
      <c r="J335" s="7">
        <f t="shared" si="48"/>
        <v>0</v>
      </c>
      <c r="K335" s="14">
        <v>60</v>
      </c>
      <c r="L335" s="4">
        <v>46233</v>
      </c>
      <c r="M335" s="3">
        <v>53.5</v>
      </c>
      <c r="N335" s="187"/>
    </row>
    <row r="336" spans="1:14" x14ac:dyDescent="0.35">
      <c r="A336" s="19"/>
      <c r="B336" s="153"/>
      <c r="C336" s="153"/>
      <c r="D336" s="10" t="s">
        <v>19</v>
      </c>
      <c r="E336" s="7">
        <f t="shared" si="44"/>
        <v>56</v>
      </c>
      <c r="F336" s="7">
        <f t="shared" si="47"/>
        <v>66</v>
      </c>
      <c r="G336" s="9" t="s">
        <v>16</v>
      </c>
      <c r="H336" s="27" t="str">
        <f t="shared" si="46"/>
        <v>Normal</v>
      </c>
      <c r="I336" s="156"/>
      <c r="J336" s="7">
        <f t="shared" si="48"/>
        <v>0</v>
      </c>
      <c r="K336" s="14">
        <v>45</v>
      </c>
      <c r="L336" s="4">
        <v>46233</v>
      </c>
      <c r="M336" s="3">
        <v>39.9</v>
      </c>
      <c r="N336" s="187"/>
    </row>
    <row r="337" spans="1:14" x14ac:dyDescent="0.35">
      <c r="A337" s="19"/>
      <c r="B337" s="153"/>
      <c r="C337" s="153"/>
      <c r="D337" s="10" t="s">
        <v>22</v>
      </c>
      <c r="E337" s="7">
        <f t="shared" si="44"/>
        <v>56</v>
      </c>
      <c r="F337" s="7">
        <f t="shared" si="47"/>
        <v>66</v>
      </c>
      <c r="G337" s="9" t="s">
        <v>16</v>
      </c>
      <c r="H337" s="27" t="str">
        <f t="shared" si="46"/>
        <v>Normal</v>
      </c>
      <c r="I337" s="156"/>
      <c r="J337" s="7">
        <f t="shared" si="48"/>
        <v>0.89999999999999858</v>
      </c>
      <c r="K337" s="14">
        <v>45</v>
      </c>
      <c r="L337" s="4">
        <v>46233</v>
      </c>
      <c r="M337" s="3">
        <v>45.9</v>
      </c>
      <c r="N337" s="187"/>
    </row>
    <row r="338" spans="1:14" x14ac:dyDescent="0.35">
      <c r="A338" s="19"/>
      <c r="B338" s="153"/>
      <c r="C338" s="153"/>
      <c r="D338" s="10" t="s">
        <v>33</v>
      </c>
      <c r="E338" s="7">
        <f t="shared" si="44"/>
        <v>51</v>
      </c>
      <c r="F338" s="7">
        <f t="shared" si="47"/>
        <v>61</v>
      </c>
      <c r="G338" s="9" t="s">
        <v>16</v>
      </c>
      <c r="H338" s="27" t="str">
        <f t="shared" si="46"/>
        <v>Normal</v>
      </c>
      <c r="I338" s="156"/>
      <c r="J338" s="7">
        <f t="shared" si="48"/>
        <v>0</v>
      </c>
      <c r="K338" s="14">
        <v>40</v>
      </c>
      <c r="L338" s="4">
        <v>46233</v>
      </c>
      <c r="M338" s="3">
        <v>38.1</v>
      </c>
      <c r="N338" s="187"/>
    </row>
    <row r="339" spans="1:14" x14ac:dyDescent="0.35">
      <c r="A339" s="19"/>
      <c r="B339" s="153"/>
      <c r="C339" s="153"/>
      <c r="D339" s="10" t="s">
        <v>34</v>
      </c>
      <c r="E339" s="7">
        <f t="shared" si="44"/>
        <v>51</v>
      </c>
      <c r="F339" s="7">
        <f t="shared" si="47"/>
        <v>61</v>
      </c>
      <c r="G339" s="9" t="s">
        <v>16</v>
      </c>
      <c r="H339" s="27" t="str">
        <f t="shared" ref="H339:H389" si="49">IF(J339="",("-"),(IF(J339="STD BY",("STD BY"),(IF(J339="N/A",("N/A"),(IF(J339&lt;5,("Normal"),(IF(J339&lt;11,("Low"),(IF(J339&lt;21,("Medium"),(IF(J339&lt;41,("High"),("Critical"))))))))))))))</f>
        <v>Normal</v>
      </c>
      <c r="I339" s="156"/>
      <c r="J339" s="7">
        <f t="shared" si="48"/>
        <v>2.3999999999999986</v>
      </c>
      <c r="K339" s="14">
        <v>40</v>
      </c>
      <c r="L339" s="4">
        <v>46233</v>
      </c>
      <c r="M339" s="3">
        <v>42.4</v>
      </c>
      <c r="N339" s="187"/>
    </row>
    <row r="340" spans="1:14" x14ac:dyDescent="0.35">
      <c r="A340" s="20"/>
      <c r="B340" s="154"/>
      <c r="C340" s="154"/>
      <c r="D340" s="10" t="s">
        <v>35</v>
      </c>
      <c r="E340" s="7">
        <f t="shared" si="44"/>
        <v>51</v>
      </c>
      <c r="F340" s="7">
        <f t="shared" si="47"/>
        <v>61</v>
      </c>
      <c r="G340" s="9" t="s">
        <v>16</v>
      </c>
      <c r="H340" s="27" t="str">
        <f t="shared" si="49"/>
        <v>Medium</v>
      </c>
      <c r="I340" s="157"/>
      <c r="J340" s="7">
        <f t="shared" si="48"/>
        <v>11.299999999999997</v>
      </c>
      <c r="K340" s="14">
        <v>40</v>
      </c>
      <c r="L340" s="4">
        <v>46233</v>
      </c>
      <c r="M340" s="3">
        <v>51.3</v>
      </c>
      <c r="N340" s="187"/>
    </row>
    <row r="341" spans="1:14" ht="15" customHeight="1" x14ac:dyDescent="0.35">
      <c r="A341" s="18">
        <v>2</v>
      </c>
      <c r="B341" s="152" t="s">
        <v>253</v>
      </c>
      <c r="C341" s="152" t="s">
        <v>258</v>
      </c>
      <c r="D341" s="10" t="s">
        <v>41</v>
      </c>
      <c r="E341" s="7">
        <f t="shared" si="44"/>
        <v>101</v>
      </c>
      <c r="F341" s="7">
        <f t="shared" si="47"/>
        <v>111</v>
      </c>
      <c r="G341" s="9" t="s">
        <v>16</v>
      </c>
      <c r="H341" s="27" t="str">
        <f t="shared" si="49"/>
        <v>Normal</v>
      </c>
      <c r="I341" s="155" t="str">
        <f>IF(COUNTIF(H341:H342,"-")&gt;0,("-"),(IF(COUNTIF(H341:H342,"STD BY")&gt;0,("STD BY"),(IF(COUNTIF(H341:H342,"N/A")&gt;0,("N/A"),(IF(COUNTIF(H341:H342,"Critical")&gt;0,("Critical"),(IF(COUNTIF(H341:H342,"High")&gt;0,("High"),(IF(COUNTIF(H341:H342,"Medium")&gt;0,("Medium"),(IF(COUNTIF(H341:H342,"Low")&gt;0,("Low"),("Normal"))))))))))))))</f>
        <v>Normal</v>
      </c>
      <c r="J341" s="7">
        <f t="shared" si="48"/>
        <v>0</v>
      </c>
      <c r="K341" s="14">
        <v>90</v>
      </c>
      <c r="L341" s="4">
        <v>46232</v>
      </c>
      <c r="M341" s="3">
        <v>69</v>
      </c>
      <c r="N341" s="187" t="s">
        <v>372</v>
      </c>
    </row>
    <row r="342" spans="1:14" x14ac:dyDescent="0.35">
      <c r="A342" s="19"/>
      <c r="B342" s="154"/>
      <c r="C342" s="154"/>
      <c r="D342" s="10" t="s">
        <v>42</v>
      </c>
      <c r="E342" s="7">
        <f t="shared" si="44"/>
        <v>71</v>
      </c>
      <c r="F342" s="7">
        <f t="shared" si="47"/>
        <v>81</v>
      </c>
      <c r="G342" s="9" t="s">
        <v>16</v>
      </c>
      <c r="H342" s="27" t="str">
        <f t="shared" si="49"/>
        <v>Normal</v>
      </c>
      <c r="I342" s="157"/>
      <c r="J342" s="7">
        <f t="shared" si="48"/>
        <v>0.20000000000000284</v>
      </c>
      <c r="K342" s="14">
        <v>60</v>
      </c>
      <c r="L342" s="4">
        <v>46232</v>
      </c>
      <c r="M342" s="3">
        <v>60.2</v>
      </c>
      <c r="N342" s="187"/>
    </row>
    <row r="343" spans="1:14" ht="15" customHeight="1" x14ac:dyDescent="0.35">
      <c r="A343" s="18">
        <v>2</v>
      </c>
      <c r="B343" s="152" t="s">
        <v>254</v>
      </c>
      <c r="C343" s="152" t="s">
        <v>257</v>
      </c>
      <c r="D343" s="8" t="s">
        <v>15</v>
      </c>
      <c r="E343" s="7">
        <f t="shared" si="44"/>
        <v>71</v>
      </c>
      <c r="F343" s="7">
        <f t="shared" si="47"/>
        <v>81</v>
      </c>
      <c r="G343" s="9" t="s">
        <v>16</v>
      </c>
      <c r="H343" s="27" t="str">
        <f t="shared" si="49"/>
        <v>Normal</v>
      </c>
      <c r="I343" s="155" t="str">
        <f>IF(COUNTIF(H343:H345,"-")&gt;0,("-"),(IF(COUNTIF(H343:H345,"STD BY")&gt;0,("STD BY"),(IF(COUNTIF(H343:H345,"N/A")&gt;0,("N/A"),(IF(COUNTIF(H343:H345,"Critical")&gt;0,("Critical"),(IF(COUNTIF(H343:H345,"High")&gt;0,("High"),(IF(COUNTIF(H343:H345,"Medium")&gt;0,("Medium"),(IF(COUNTIF(H343:H345,"Low")&gt;0,("Low"),("Normal"))))))))))))))</f>
        <v>Normal</v>
      </c>
      <c r="J343" s="7">
        <f t="shared" si="48"/>
        <v>0</v>
      </c>
      <c r="K343" s="14">
        <v>60</v>
      </c>
      <c r="L343" s="4">
        <v>46232</v>
      </c>
      <c r="M343" s="3">
        <v>57.2</v>
      </c>
      <c r="N343" s="187" t="s">
        <v>372</v>
      </c>
    </row>
    <row r="344" spans="1:14" x14ac:dyDescent="0.35">
      <c r="A344" s="19"/>
      <c r="B344" s="153"/>
      <c r="C344" s="153"/>
      <c r="D344" s="10" t="s">
        <v>121</v>
      </c>
      <c r="E344" s="7">
        <f t="shared" si="44"/>
        <v>71</v>
      </c>
      <c r="F344" s="7">
        <f t="shared" si="47"/>
        <v>81</v>
      </c>
      <c r="G344" s="9" t="s">
        <v>16</v>
      </c>
      <c r="H344" s="27" t="str">
        <f t="shared" si="49"/>
        <v>Normal</v>
      </c>
      <c r="I344" s="156"/>
      <c r="J344" s="7">
        <f t="shared" si="48"/>
        <v>0</v>
      </c>
      <c r="K344" s="14">
        <v>60</v>
      </c>
      <c r="L344" s="4">
        <v>46232</v>
      </c>
      <c r="M344" s="3">
        <v>54</v>
      </c>
      <c r="N344" s="187"/>
    </row>
    <row r="345" spans="1:14" x14ac:dyDescent="0.35">
      <c r="A345" s="19"/>
      <c r="B345" s="154"/>
      <c r="C345" s="154"/>
      <c r="D345" s="10" t="s">
        <v>122</v>
      </c>
      <c r="E345" s="7">
        <f t="shared" si="44"/>
        <v>61</v>
      </c>
      <c r="F345" s="7">
        <f t="shared" si="47"/>
        <v>71</v>
      </c>
      <c r="G345" s="9" t="s">
        <v>16</v>
      </c>
      <c r="H345" s="27" t="str">
        <f t="shared" si="49"/>
        <v>Normal</v>
      </c>
      <c r="I345" s="157"/>
      <c r="J345" s="7">
        <f t="shared" si="48"/>
        <v>0</v>
      </c>
      <c r="K345" s="14">
        <v>50</v>
      </c>
      <c r="L345" s="4">
        <v>46232</v>
      </c>
      <c r="M345" s="3">
        <v>47.2</v>
      </c>
      <c r="N345" s="187"/>
    </row>
    <row r="346" spans="1:14" x14ac:dyDescent="0.35">
      <c r="A346" s="42">
        <v>2</v>
      </c>
      <c r="B346" s="158" t="s">
        <v>353</v>
      </c>
      <c r="C346" s="158" t="s">
        <v>354</v>
      </c>
      <c r="D346" s="11" t="s">
        <v>336</v>
      </c>
      <c r="E346" s="7">
        <f>(K346+11)</f>
        <v>61</v>
      </c>
      <c r="F346" s="7">
        <f t="shared" si="47"/>
        <v>71</v>
      </c>
      <c r="G346" s="9" t="s">
        <v>16</v>
      </c>
      <c r="H346" s="27" t="str">
        <f t="shared" si="49"/>
        <v>Normal</v>
      </c>
      <c r="I346" s="160" t="str">
        <f>IF(COUNTIF(H346:H353,"-")&gt;0,("-"),(IF(COUNTIF(H346:H353,"STD BY")&gt;0,("STD BY"),(IF(COUNTIF(H346:H353,"N/A")&gt;0,("N/A"),(IF(COUNTIF(H346:H353,"Critical")&gt;0,("Critical"),(IF(COUNTIF(H346:H353,"High")&gt;0,("High"),(IF(COUNTIF(H346:H353,"Medium")&gt;0,("Medium"),(IF(COUNTIF(H346:H353,"Low")&gt;0,("Low"),("Normal"))))))))))))))</f>
        <v>Normal</v>
      </c>
      <c r="J346" s="7">
        <f t="shared" si="48"/>
        <v>0</v>
      </c>
      <c r="K346" s="7">
        <v>50</v>
      </c>
      <c r="L346" s="4">
        <v>46227</v>
      </c>
      <c r="M346" s="3">
        <v>38.5</v>
      </c>
      <c r="N346" s="186" t="s">
        <v>372</v>
      </c>
    </row>
    <row r="347" spans="1:14" x14ac:dyDescent="0.35">
      <c r="A347" s="19"/>
      <c r="B347" s="158"/>
      <c r="C347" s="158"/>
      <c r="D347" s="11" t="s">
        <v>291</v>
      </c>
      <c r="E347" s="7">
        <f t="shared" ref="E347:E353" si="50">(K347+11)</f>
        <v>61</v>
      </c>
      <c r="F347" s="7">
        <f t="shared" si="47"/>
        <v>71</v>
      </c>
      <c r="G347" s="9" t="s">
        <v>16</v>
      </c>
      <c r="H347" s="27" t="str">
        <f t="shared" si="49"/>
        <v>Normal</v>
      </c>
      <c r="I347" s="160"/>
      <c r="J347" s="7">
        <f t="shared" si="48"/>
        <v>0</v>
      </c>
      <c r="K347" s="7">
        <v>50</v>
      </c>
      <c r="L347" s="4">
        <v>46227</v>
      </c>
      <c r="M347" s="3">
        <v>40</v>
      </c>
      <c r="N347" s="187"/>
    </row>
    <row r="348" spans="1:14" x14ac:dyDescent="0.35">
      <c r="A348" s="19"/>
      <c r="B348" s="158"/>
      <c r="C348" s="158"/>
      <c r="D348" s="11" t="s">
        <v>273</v>
      </c>
      <c r="E348" s="7">
        <f t="shared" si="50"/>
        <v>51</v>
      </c>
      <c r="F348" s="7">
        <f t="shared" si="47"/>
        <v>61</v>
      </c>
      <c r="G348" s="9" t="s">
        <v>16</v>
      </c>
      <c r="H348" s="27" t="str">
        <f t="shared" si="49"/>
        <v>Normal</v>
      </c>
      <c r="I348" s="160"/>
      <c r="J348" s="7">
        <f t="shared" si="48"/>
        <v>0</v>
      </c>
      <c r="K348" s="7">
        <v>40</v>
      </c>
      <c r="L348" s="4">
        <v>46227</v>
      </c>
      <c r="M348" s="3">
        <v>34.799999999999997</v>
      </c>
      <c r="N348" s="187"/>
    </row>
    <row r="349" spans="1:14" x14ac:dyDescent="0.35">
      <c r="A349" s="19"/>
      <c r="B349" s="158"/>
      <c r="C349" s="158"/>
      <c r="D349" s="11" t="s">
        <v>274</v>
      </c>
      <c r="E349" s="7">
        <f t="shared" si="50"/>
        <v>51</v>
      </c>
      <c r="F349" s="7">
        <f t="shared" si="47"/>
        <v>61</v>
      </c>
      <c r="G349" s="9" t="s">
        <v>16</v>
      </c>
      <c r="H349" s="27" t="str">
        <f t="shared" si="49"/>
        <v>Normal</v>
      </c>
      <c r="I349" s="160"/>
      <c r="J349" s="7">
        <f t="shared" si="48"/>
        <v>0</v>
      </c>
      <c r="K349" s="7">
        <v>40</v>
      </c>
      <c r="L349" s="4">
        <v>46227</v>
      </c>
      <c r="M349" s="3">
        <v>34.299999999999997</v>
      </c>
      <c r="N349" s="187"/>
    </row>
    <row r="350" spans="1:14" x14ac:dyDescent="0.35">
      <c r="A350" s="19"/>
      <c r="B350" s="158"/>
      <c r="C350" s="158"/>
      <c r="D350" s="11" t="s">
        <v>275</v>
      </c>
      <c r="E350" s="7">
        <f t="shared" si="50"/>
        <v>51</v>
      </c>
      <c r="F350" s="7">
        <f t="shared" si="47"/>
        <v>61</v>
      </c>
      <c r="G350" s="9" t="s">
        <v>16</v>
      </c>
      <c r="H350" s="27" t="str">
        <f t="shared" si="49"/>
        <v>Normal</v>
      </c>
      <c r="I350" s="160"/>
      <c r="J350" s="7">
        <f t="shared" si="48"/>
        <v>0</v>
      </c>
      <c r="K350" s="7">
        <v>40</v>
      </c>
      <c r="L350" s="4">
        <v>46227</v>
      </c>
      <c r="M350" s="3">
        <v>34.299999999999997</v>
      </c>
      <c r="N350" s="187"/>
    </row>
    <row r="351" spans="1:14" x14ac:dyDescent="0.35">
      <c r="A351" s="19"/>
      <c r="B351" s="158"/>
      <c r="C351" s="158"/>
      <c r="D351" s="11" t="s">
        <v>276</v>
      </c>
      <c r="E351" s="7">
        <f t="shared" si="50"/>
        <v>51</v>
      </c>
      <c r="F351" s="7">
        <f t="shared" si="47"/>
        <v>61</v>
      </c>
      <c r="G351" s="9" t="s">
        <v>16</v>
      </c>
      <c r="H351" s="27" t="str">
        <f>IF(J351="",("-"),(IF(J351="STD BY",("STD BY"),(IF(J351="N/A",("N/A"),(IF(J351&lt;5,("Normal"),(IF(J351&lt;11,("Low"),(IF(J351&lt;21,("Medium"),(IF(J351&lt;41,("High"),("Critical"))))))))))))))</f>
        <v>Normal</v>
      </c>
      <c r="I351" s="160"/>
      <c r="J351" s="7">
        <f t="shared" si="48"/>
        <v>0</v>
      </c>
      <c r="K351" s="7">
        <v>40</v>
      </c>
      <c r="L351" s="4">
        <v>46227</v>
      </c>
      <c r="M351" s="3">
        <v>39.4</v>
      </c>
      <c r="N351" s="187"/>
    </row>
    <row r="352" spans="1:14" x14ac:dyDescent="0.35">
      <c r="A352" s="19"/>
      <c r="B352" s="158"/>
      <c r="C352" s="158"/>
      <c r="D352" s="11" t="s">
        <v>277</v>
      </c>
      <c r="E352" s="7">
        <f t="shared" si="50"/>
        <v>51</v>
      </c>
      <c r="F352" s="7">
        <f t="shared" si="47"/>
        <v>61</v>
      </c>
      <c r="G352" s="9" t="s">
        <v>16</v>
      </c>
      <c r="H352" s="27" t="str">
        <f t="shared" ref="H352:H358" si="51">IF(J352="",("-"),(IF(J352="STD BY",("STD BY"),(IF(J352="N/A",("N/A"),(IF(J352&lt;5,("Normal"),(IF(J352&lt;11,("Low"),(IF(J352&lt;21,("Medium"),(IF(J352&lt;41,("High"),("Critical"))))))))))))))</f>
        <v>Normal</v>
      </c>
      <c r="I352" s="160"/>
      <c r="J352" s="7">
        <f t="shared" si="48"/>
        <v>0.89999999999999858</v>
      </c>
      <c r="K352" s="7">
        <v>40</v>
      </c>
      <c r="L352" s="4">
        <v>46227</v>
      </c>
      <c r="M352" s="3">
        <v>40.9</v>
      </c>
      <c r="N352" s="187"/>
    </row>
    <row r="353" spans="1:14" x14ac:dyDescent="0.35">
      <c r="A353" s="19"/>
      <c r="B353" s="158"/>
      <c r="C353" s="158"/>
      <c r="D353" s="11" t="s">
        <v>278</v>
      </c>
      <c r="E353" s="7">
        <f t="shared" si="50"/>
        <v>51</v>
      </c>
      <c r="F353" s="7">
        <f t="shared" si="47"/>
        <v>61</v>
      </c>
      <c r="G353" s="9" t="s">
        <v>16</v>
      </c>
      <c r="H353" s="27" t="str">
        <f t="shared" si="51"/>
        <v>Normal</v>
      </c>
      <c r="I353" s="160"/>
      <c r="J353" s="7">
        <f t="shared" si="48"/>
        <v>1</v>
      </c>
      <c r="K353" s="7">
        <v>40</v>
      </c>
      <c r="L353" s="4">
        <v>46227</v>
      </c>
      <c r="M353" s="3">
        <v>41</v>
      </c>
      <c r="N353" s="187"/>
    </row>
    <row r="354" spans="1:14" ht="14.5" customHeight="1" x14ac:dyDescent="0.35">
      <c r="A354" s="42">
        <v>2</v>
      </c>
      <c r="B354" s="158" t="s">
        <v>352</v>
      </c>
      <c r="C354" s="158" t="s">
        <v>355</v>
      </c>
      <c r="D354" s="11" t="s">
        <v>336</v>
      </c>
      <c r="E354" s="7">
        <f t="shared" ref="E354:E356" si="52">(L354+11)</f>
        <v>46238</v>
      </c>
      <c r="F354" s="7">
        <f t="shared" si="47"/>
        <v>46248</v>
      </c>
      <c r="G354" s="9" t="s">
        <v>16</v>
      </c>
      <c r="H354" s="27" t="str">
        <f t="shared" si="51"/>
        <v>Normal</v>
      </c>
      <c r="I354" s="160" t="str">
        <f>IF(COUNTIF(H354:H361,"-")&gt;0,("-"),(IF(COUNTIF(H354:H361,"STD BY")&gt;0,("STD BY"),(IF(COUNTIF(H354:H361,"N/A")&gt;0,("N/A"),(IF(COUNTIF(H354:H361,"Critical")&gt;0,("Critical"),(IF(COUNTIF(H354:H361,"High")&gt;0,("High"),(IF(COUNTIF(H354:H361,"Medium")&gt;0,("Medium"),(IF(COUNTIF(H354:H361,"Low")&gt;0,("Low"),("Normal"))))))))))))))</f>
        <v>Normal</v>
      </c>
      <c r="J354" s="7">
        <f t="shared" si="48"/>
        <v>0</v>
      </c>
      <c r="K354" s="7">
        <v>50</v>
      </c>
      <c r="L354" s="4">
        <v>46227</v>
      </c>
      <c r="M354" s="3">
        <v>44.9</v>
      </c>
      <c r="N354" s="186" t="s">
        <v>372</v>
      </c>
    </row>
    <row r="355" spans="1:14" x14ac:dyDescent="0.35">
      <c r="A355" s="19"/>
      <c r="B355" s="158"/>
      <c r="C355" s="158"/>
      <c r="D355" s="11" t="s">
        <v>291</v>
      </c>
      <c r="E355" s="7">
        <f t="shared" si="52"/>
        <v>46238</v>
      </c>
      <c r="F355" s="7">
        <f t="shared" si="47"/>
        <v>46248</v>
      </c>
      <c r="G355" s="9" t="s">
        <v>16</v>
      </c>
      <c r="H355" s="27" t="str">
        <f t="shared" si="51"/>
        <v>Normal</v>
      </c>
      <c r="I355" s="160"/>
      <c r="J355" s="7">
        <f t="shared" si="48"/>
        <v>0</v>
      </c>
      <c r="K355" s="7">
        <v>50</v>
      </c>
      <c r="L355" s="4">
        <v>46227</v>
      </c>
      <c r="M355" s="3">
        <v>46.5</v>
      </c>
      <c r="N355" s="187"/>
    </row>
    <row r="356" spans="1:14" x14ac:dyDescent="0.35">
      <c r="A356" s="19"/>
      <c r="B356" s="158"/>
      <c r="C356" s="158"/>
      <c r="D356" s="11" t="s">
        <v>273</v>
      </c>
      <c r="E356" s="7">
        <f t="shared" si="52"/>
        <v>46238</v>
      </c>
      <c r="F356" s="7">
        <f t="shared" si="47"/>
        <v>46248</v>
      </c>
      <c r="G356" s="9" t="s">
        <v>16</v>
      </c>
      <c r="H356" s="27" t="str">
        <f t="shared" si="51"/>
        <v>Normal</v>
      </c>
      <c r="I356" s="160"/>
      <c r="J356" s="7">
        <f t="shared" si="48"/>
        <v>0</v>
      </c>
      <c r="K356" s="7">
        <v>40</v>
      </c>
      <c r="L356" s="4">
        <v>46227</v>
      </c>
      <c r="M356" s="3">
        <v>36</v>
      </c>
      <c r="N356" s="187"/>
    </row>
    <row r="357" spans="1:14" x14ac:dyDescent="0.35">
      <c r="A357" s="19"/>
      <c r="B357" s="158"/>
      <c r="C357" s="158"/>
      <c r="D357" s="11" t="s">
        <v>274</v>
      </c>
      <c r="E357" s="7">
        <v>51</v>
      </c>
      <c r="F357" s="7">
        <f t="shared" si="47"/>
        <v>61</v>
      </c>
      <c r="G357" s="9" t="s">
        <v>16</v>
      </c>
      <c r="H357" s="27" t="str">
        <f t="shared" si="51"/>
        <v>Normal</v>
      </c>
      <c r="I357" s="160"/>
      <c r="J357" s="7">
        <f t="shared" si="48"/>
        <v>0</v>
      </c>
      <c r="K357" s="7">
        <v>40</v>
      </c>
      <c r="L357" s="4">
        <v>46227</v>
      </c>
      <c r="M357" s="3">
        <v>35.6</v>
      </c>
      <c r="N357" s="187"/>
    </row>
    <row r="358" spans="1:14" x14ac:dyDescent="0.35">
      <c r="A358" s="19"/>
      <c r="B358" s="158"/>
      <c r="C358" s="158"/>
      <c r="D358" s="11" t="s">
        <v>275</v>
      </c>
      <c r="E358" s="7">
        <v>51</v>
      </c>
      <c r="F358" s="7">
        <f t="shared" si="47"/>
        <v>61</v>
      </c>
      <c r="G358" s="9" t="s">
        <v>16</v>
      </c>
      <c r="H358" s="27" t="str">
        <f t="shared" si="51"/>
        <v>Normal</v>
      </c>
      <c r="I358" s="160"/>
      <c r="J358" s="7">
        <f t="shared" si="48"/>
        <v>0</v>
      </c>
      <c r="K358" s="7">
        <v>40</v>
      </c>
      <c r="L358" s="4">
        <v>46227</v>
      </c>
      <c r="M358" s="3">
        <v>36.9</v>
      </c>
      <c r="N358" s="187"/>
    </row>
    <row r="359" spans="1:14" x14ac:dyDescent="0.35">
      <c r="A359" s="19"/>
      <c r="B359" s="158"/>
      <c r="C359" s="158"/>
      <c r="D359" s="11" t="s">
        <v>276</v>
      </c>
      <c r="E359" s="7">
        <f t="shared" ref="E359:E361" si="53">(L359+11)</f>
        <v>46238</v>
      </c>
      <c r="F359" s="7">
        <f t="shared" si="47"/>
        <v>46248</v>
      </c>
      <c r="G359" s="9" t="s">
        <v>16</v>
      </c>
      <c r="H359" s="27" t="str">
        <f>IF(J359="",("-"),(IF(J359="STD BY",("STD BY"),(IF(J359="N/A",("N/A"),(IF(J359&lt;5,("Normal"),(IF(J359&lt;11,("Low"),(IF(J359&lt;21,("Medium"),(IF(J359&lt;41,("High"),("Critical"))))))))))))))</f>
        <v>Normal</v>
      </c>
      <c r="I359" s="160"/>
      <c r="J359" s="7">
        <f t="shared" si="48"/>
        <v>0</v>
      </c>
      <c r="K359" s="7">
        <v>40</v>
      </c>
      <c r="L359" s="4">
        <v>46227</v>
      </c>
      <c r="M359" s="3">
        <v>36.200000000000003</v>
      </c>
      <c r="N359" s="187"/>
    </row>
    <row r="360" spans="1:14" x14ac:dyDescent="0.35">
      <c r="A360" s="19"/>
      <c r="B360" s="158"/>
      <c r="C360" s="158"/>
      <c r="D360" s="11" t="s">
        <v>277</v>
      </c>
      <c r="E360" s="7">
        <f t="shared" si="53"/>
        <v>46238</v>
      </c>
      <c r="F360" s="7">
        <f t="shared" si="47"/>
        <v>46248</v>
      </c>
      <c r="G360" s="9" t="s">
        <v>16</v>
      </c>
      <c r="H360" s="27" t="str">
        <f t="shared" ref="H360:H366" si="54">IF(J360="",("-"),(IF(J360="STD BY",("STD BY"),(IF(J360="N/A",("N/A"),(IF(J360&lt;5,("Normal"),(IF(J360&lt;11,("Low"),(IF(J360&lt;21,("Medium"),(IF(J360&lt;41,("High"),("Critical"))))))))))))))</f>
        <v>Normal</v>
      </c>
      <c r="I360" s="160"/>
      <c r="J360" s="7">
        <f t="shared" si="48"/>
        <v>0</v>
      </c>
      <c r="K360" s="7">
        <v>40</v>
      </c>
      <c r="L360" s="4">
        <v>46227</v>
      </c>
      <c r="M360" s="3">
        <v>39.200000000000003</v>
      </c>
      <c r="N360" s="187"/>
    </row>
    <row r="361" spans="1:14" x14ac:dyDescent="0.35">
      <c r="A361" s="24"/>
      <c r="B361" s="152"/>
      <c r="C361" s="152"/>
      <c r="D361" s="29" t="s">
        <v>278</v>
      </c>
      <c r="E361" s="16">
        <f t="shared" si="53"/>
        <v>46238</v>
      </c>
      <c r="F361" s="16">
        <f t="shared" si="47"/>
        <v>46248</v>
      </c>
      <c r="G361" s="17" t="s">
        <v>16</v>
      </c>
      <c r="H361" s="28" t="str">
        <f t="shared" si="54"/>
        <v>Normal</v>
      </c>
      <c r="I361" s="155"/>
      <c r="J361" s="16">
        <f t="shared" si="48"/>
        <v>0</v>
      </c>
      <c r="K361" s="16">
        <v>40</v>
      </c>
      <c r="L361" s="45">
        <v>46227</v>
      </c>
      <c r="M361" s="3">
        <v>39.6</v>
      </c>
      <c r="N361" s="187"/>
    </row>
    <row r="362" spans="1:14" x14ac:dyDescent="0.35">
      <c r="A362" s="42">
        <v>2</v>
      </c>
      <c r="B362" s="158" t="s">
        <v>356</v>
      </c>
      <c r="C362" s="158" t="s">
        <v>337</v>
      </c>
      <c r="D362" s="47" t="s">
        <v>336</v>
      </c>
      <c r="E362" s="7">
        <f>(M362+11)</f>
        <v>53.1</v>
      </c>
      <c r="F362" s="7">
        <f>(E362+10)</f>
        <v>63.1</v>
      </c>
      <c r="G362" s="27" t="s">
        <v>16</v>
      </c>
      <c r="H362" s="27" t="str">
        <f t="shared" si="54"/>
        <v>Normal</v>
      </c>
      <c r="I362" s="160" t="str">
        <f>IF(COUNTIF(H362:H369,"-")&gt;0,("-"),(IF(COUNTIF(H362:H369,"STD BY")&gt;0,("STD BY"),(IF(COUNTIF(H362:H369,"N/A")&gt;0,("N/A"),(IF(COUNTIF(H362:H369,"Critical")&gt;0,("Critical"),(IF(COUNTIF(H362:H369,"High")&gt;0,("High"),(IF(COUNTIF(H362:H369,"Medium")&gt;0,("Medium"),(IF(COUNTIF(H362:H369,"Low")&gt;0,("Low"),("Normal"))))))))))))))</f>
        <v>Normal</v>
      </c>
      <c r="J362" s="7">
        <f t="shared" si="48"/>
        <v>0</v>
      </c>
      <c r="K362" s="7">
        <v>50</v>
      </c>
      <c r="L362" s="4">
        <v>46227</v>
      </c>
      <c r="M362" s="3">
        <v>42.1</v>
      </c>
      <c r="N362" s="186" t="s">
        <v>372</v>
      </c>
    </row>
    <row r="363" spans="1:14" x14ac:dyDescent="0.35">
      <c r="A363" s="19"/>
      <c r="B363" s="158"/>
      <c r="C363" s="158"/>
      <c r="D363" s="47" t="s">
        <v>338</v>
      </c>
      <c r="E363" s="7">
        <f t="shared" ref="E363:E369" si="55">(M363+11)</f>
        <v>11</v>
      </c>
      <c r="F363" s="7">
        <f t="shared" ref="F363:F374" si="56">(E363+10)</f>
        <v>21</v>
      </c>
      <c r="G363" s="27" t="s">
        <v>16</v>
      </c>
      <c r="H363" s="27" t="str">
        <f t="shared" si="54"/>
        <v>Normal</v>
      </c>
      <c r="I363" s="160"/>
      <c r="J363" s="7">
        <f t="shared" si="48"/>
        <v>0</v>
      </c>
      <c r="K363" s="7">
        <v>50</v>
      </c>
      <c r="L363" s="4">
        <v>46227</v>
      </c>
      <c r="M363" s="3">
        <v>0</v>
      </c>
      <c r="N363" s="187"/>
    </row>
    <row r="364" spans="1:14" x14ac:dyDescent="0.35">
      <c r="A364" s="19"/>
      <c r="B364" s="158"/>
      <c r="C364" s="158"/>
      <c r="D364" s="11" t="s">
        <v>273</v>
      </c>
      <c r="E364" s="7">
        <f t="shared" si="55"/>
        <v>38.1</v>
      </c>
      <c r="F364" s="7">
        <f t="shared" si="56"/>
        <v>48.1</v>
      </c>
      <c r="G364" s="9" t="s">
        <v>16</v>
      </c>
      <c r="H364" s="27" t="str">
        <f t="shared" si="54"/>
        <v>Normal</v>
      </c>
      <c r="I364" s="160"/>
      <c r="J364" s="7">
        <f t="shared" si="48"/>
        <v>0</v>
      </c>
      <c r="K364" s="7">
        <v>40</v>
      </c>
      <c r="L364" s="4">
        <v>46227</v>
      </c>
      <c r="M364" s="3">
        <v>27.1</v>
      </c>
      <c r="N364" s="187"/>
    </row>
    <row r="365" spans="1:14" x14ac:dyDescent="0.35">
      <c r="A365" s="19"/>
      <c r="B365" s="158"/>
      <c r="C365" s="158"/>
      <c r="D365" s="11" t="s">
        <v>274</v>
      </c>
      <c r="E365" s="7">
        <f t="shared" si="55"/>
        <v>39</v>
      </c>
      <c r="F365" s="7">
        <f t="shared" si="56"/>
        <v>49</v>
      </c>
      <c r="G365" s="9" t="s">
        <v>16</v>
      </c>
      <c r="H365" s="27" t="str">
        <f t="shared" si="54"/>
        <v>Normal</v>
      </c>
      <c r="I365" s="160"/>
      <c r="J365" s="7">
        <f t="shared" si="48"/>
        <v>0</v>
      </c>
      <c r="K365" s="7">
        <v>40</v>
      </c>
      <c r="L365" s="4">
        <v>46227</v>
      </c>
      <c r="M365" s="3">
        <v>28</v>
      </c>
      <c r="N365" s="187"/>
    </row>
    <row r="366" spans="1:14" x14ac:dyDescent="0.35">
      <c r="A366" s="19"/>
      <c r="B366" s="158"/>
      <c r="C366" s="158"/>
      <c r="D366" s="11" t="s">
        <v>275</v>
      </c>
      <c r="E366" s="7">
        <f t="shared" si="55"/>
        <v>38.700000000000003</v>
      </c>
      <c r="F366" s="7">
        <f t="shared" si="56"/>
        <v>48.7</v>
      </c>
      <c r="G366" s="9" t="s">
        <v>16</v>
      </c>
      <c r="H366" s="27" t="str">
        <f t="shared" si="54"/>
        <v>Normal</v>
      </c>
      <c r="I366" s="160"/>
      <c r="J366" s="7">
        <f t="shared" si="48"/>
        <v>0</v>
      </c>
      <c r="K366" s="7">
        <v>40</v>
      </c>
      <c r="L366" s="4">
        <v>46227</v>
      </c>
      <c r="M366" s="3">
        <v>27.7</v>
      </c>
      <c r="N366" s="187"/>
    </row>
    <row r="367" spans="1:14" x14ac:dyDescent="0.35">
      <c r="A367" s="19"/>
      <c r="B367" s="158"/>
      <c r="C367" s="158"/>
      <c r="D367" s="11" t="s">
        <v>276</v>
      </c>
      <c r="E367" s="7">
        <f t="shared" si="55"/>
        <v>40.200000000000003</v>
      </c>
      <c r="F367" s="7">
        <f t="shared" si="56"/>
        <v>50.2</v>
      </c>
      <c r="G367" s="9" t="s">
        <v>16</v>
      </c>
      <c r="H367" s="27" t="str">
        <f>IF(J367="",("-"),(IF(J367="STD BY",("STD BY"),(IF(J367="N/A",("N/A"),(IF(J367&lt;5,("Normal"),(IF(J367&lt;11,("Low"),(IF(J367&lt;21,("Medium"),(IF(J367&lt;41,("High"),("Critical"))))))))))))))</f>
        <v>Normal</v>
      </c>
      <c r="I367" s="160"/>
      <c r="J367" s="7">
        <f t="shared" si="48"/>
        <v>0</v>
      </c>
      <c r="K367" s="7">
        <v>40</v>
      </c>
      <c r="L367" s="4">
        <v>46227</v>
      </c>
      <c r="M367" s="3">
        <v>29.2</v>
      </c>
      <c r="N367" s="187"/>
    </row>
    <row r="368" spans="1:14" x14ac:dyDescent="0.35">
      <c r="A368" s="19"/>
      <c r="B368" s="158"/>
      <c r="C368" s="158"/>
      <c r="D368" s="11" t="s">
        <v>277</v>
      </c>
      <c r="E368" s="7">
        <f t="shared" si="55"/>
        <v>45.6</v>
      </c>
      <c r="F368" s="7">
        <f t="shared" si="56"/>
        <v>55.6</v>
      </c>
      <c r="G368" s="9" t="s">
        <v>16</v>
      </c>
      <c r="H368" s="27" t="str">
        <f t="shared" ref="H368:H371" si="57">IF(J368="",("-"),(IF(J368="STD BY",("STD BY"),(IF(J368="N/A",("N/A"),(IF(J368&lt;5,("Normal"),(IF(J368&lt;11,("Low"),(IF(J368&lt;21,("Medium"),(IF(J368&lt;41,("High"),("Critical"))))))))))))))</f>
        <v>Normal</v>
      </c>
      <c r="I368" s="160"/>
      <c r="J368" s="7">
        <f t="shared" si="48"/>
        <v>0</v>
      </c>
      <c r="K368" s="7">
        <v>40</v>
      </c>
      <c r="L368" s="4">
        <v>46227</v>
      </c>
      <c r="M368" s="3">
        <v>34.6</v>
      </c>
      <c r="N368" s="187"/>
    </row>
    <row r="369" spans="1:14" x14ac:dyDescent="0.35">
      <c r="A369" s="24"/>
      <c r="B369" s="152"/>
      <c r="C369" s="152"/>
      <c r="D369" s="29" t="s">
        <v>278</v>
      </c>
      <c r="E369" s="16">
        <f t="shared" si="55"/>
        <v>39.5</v>
      </c>
      <c r="F369" s="16">
        <f t="shared" si="56"/>
        <v>49.5</v>
      </c>
      <c r="G369" s="17" t="s">
        <v>16</v>
      </c>
      <c r="H369" s="28" t="str">
        <f t="shared" si="57"/>
        <v>Normal</v>
      </c>
      <c r="I369" s="155"/>
      <c r="J369" s="16">
        <f t="shared" si="48"/>
        <v>0</v>
      </c>
      <c r="K369" s="16">
        <v>40</v>
      </c>
      <c r="L369" s="45">
        <v>46227</v>
      </c>
      <c r="M369" s="3">
        <v>28.5</v>
      </c>
      <c r="N369" s="187"/>
    </row>
    <row r="370" spans="1:14" ht="14.5" customHeight="1" x14ac:dyDescent="0.35">
      <c r="A370" s="42">
        <v>2</v>
      </c>
      <c r="B370" s="158" t="s">
        <v>339</v>
      </c>
      <c r="C370" s="158" t="s">
        <v>340</v>
      </c>
      <c r="D370" s="8" t="s">
        <v>15</v>
      </c>
      <c r="E370" s="7">
        <f t="shared" ref="E370:E379" si="58">(K370+11)</f>
        <v>71</v>
      </c>
      <c r="F370" s="7">
        <f t="shared" si="56"/>
        <v>81</v>
      </c>
      <c r="G370" s="9" t="s">
        <v>16</v>
      </c>
      <c r="H370" s="27" t="str">
        <f t="shared" si="57"/>
        <v>STD BY</v>
      </c>
      <c r="I370" s="160" t="str">
        <f>IF(COUNTIF(H370:H374,"-")&gt;0,("-"),(IF(COUNTIF(H370:H374,"STD BY")&gt;0,("STD BY"),(IF(COUNTIF(H370:H374,"N/A")&gt;0,("N/A"),(IF(COUNTIF(H370:H374,"Critical")&gt;0,("Critical"),(IF(COUNTIF(H370:H374,"High")&gt;0,("High"),(IF(COUNTIF(H370:H374,"Medium")&gt;0,("Medium"),(IF(COUNTIF(H370:H374,"Low")&gt;0,("Low"),("Normal"))))))))))))))</f>
        <v>STD BY</v>
      </c>
      <c r="J370" s="7" t="str">
        <f t="shared" si="48"/>
        <v>STD BY</v>
      </c>
      <c r="K370" s="7">
        <v>60</v>
      </c>
      <c r="L370" s="4"/>
      <c r="M370" s="7" t="s">
        <v>376</v>
      </c>
      <c r="N370" s="190" t="s">
        <v>371</v>
      </c>
    </row>
    <row r="371" spans="1:14" x14ac:dyDescent="0.35">
      <c r="A371" s="19"/>
      <c r="B371" s="158"/>
      <c r="C371" s="158"/>
      <c r="D371" s="10" t="s">
        <v>17</v>
      </c>
      <c r="E371" s="7">
        <f t="shared" si="58"/>
        <v>56</v>
      </c>
      <c r="F371" s="7">
        <f t="shared" si="56"/>
        <v>66</v>
      </c>
      <c r="G371" s="9" t="s">
        <v>16</v>
      </c>
      <c r="H371" s="27" t="str">
        <f t="shared" si="57"/>
        <v>STD BY</v>
      </c>
      <c r="I371" s="160"/>
      <c r="J371" s="7" t="str">
        <f t="shared" si="48"/>
        <v>STD BY</v>
      </c>
      <c r="K371" s="7">
        <v>45</v>
      </c>
      <c r="L371" s="4"/>
      <c r="M371" s="7" t="s">
        <v>376</v>
      </c>
      <c r="N371" s="191"/>
    </row>
    <row r="372" spans="1:14" x14ac:dyDescent="0.35">
      <c r="A372" s="19"/>
      <c r="B372" s="158"/>
      <c r="C372" s="158"/>
      <c r="D372" s="10" t="s">
        <v>18</v>
      </c>
      <c r="E372" s="7">
        <f t="shared" si="58"/>
        <v>66</v>
      </c>
      <c r="F372" s="7">
        <f t="shared" si="56"/>
        <v>76</v>
      </c>
      <c r="G372" s="9" t="s">
        <v>16</v>
      </c>
      <c r="H372" s="27" t="str">
        <f>IF(J372="",("-"),(IF(J372="STD BY",("STD BY"),(IF(J372="N/A",("N/A"),(IF(J372&lt;5,("Normal"),(IF(J372&lt;11,("Low"),(IF(J372&lt;21,("Medium"),(IF(J372&lt;41,("High"),("Critical"))))))))))))))</f>
        <v>STD BY</v>
      </c>
      <c r="I372" s="160"/>
      <c r="J372" s="7" t="str">
        <f t="shared" si="48"/>
        <v>STD BY</v>
      </c>
      <c r="K372" s="7">
        <v>55</v>
      </c>
      <c r="L372" s="4"/>
      <c r="M372" s="7" t="s">
        <v>376</v>
      </c>
      <c r="N372" s="191"/>
    </row>
    <row r="373" spans="1:14" x14ac:dyDescent="0.35">
      <c r="A373" s="19"/>
      <c r="B373" s="158"/>
      <c r="C373" s="158"/>
      <c r="D373" s="10" t="s">
        <v>19</v>
      </c>
      <c r="E373" s="7">
        <f t="shared" si="58"/>
        <v>71</v>
      </c>
      <c r="F373" s="7">
        <f t="shared" si="56"/>
        <v>81</v>
      </c>
      <c r="G373" s="9" t="s">
        <v>16</v>
      </c>
      <c r="H373" s="27" t="str">
        <f t="shared" ref="H373:H374" si="59">IF(J373="",("-"),(IF(J373="STD BY",("STD BY"),(IF(J373="N/A",("N/A"),(IF(J373&lt;5,("Normal"),(IF(J373&lt;11,("Low"),(IF(J373&lt;21,("Medium"),(IF(J373&lt;41,("High"),("Critical"))))))))))))))</f>
        <v>STD BY</v>
      </c>
      <c r="I373" s="160"/>
      <c r="J373" s="7" t="str">
        <f t="shared" si="48"/>
        <v>STD BY</v>
      </c>
      <c r="K373" s="7">
        <v>60</v>
      </c>
      <c r="L373" s="4"/>
      <c r="M373" s="7" t="s">
        <v>376</v>
      </c>
      <c r="N373" s="191"/>
    </row>
    <row r="374" spans="1:14" x14ac:dyDescent="0.35">
      <c r="A374" s="19"/>
      <c r="B374" s="158"/>
      <c r="C374" s="158"/>
      <c r="D374" s="10" t="s">
        <v>22</v>
      </c>
      <c r="E374" s="7">
        <f t="shared" si="58"/>
        <v>71</v>
      </c>
      <c r="F374" s="7">
        <f t="shared" si="56"/>
        <v>81</v>
      </c>
      <c r="G374" s="9" t="s">
        <v>16</v>
      </c>
      <c r="H374" s="27" t="str">
        <f t="shared" si="59"/>
        <v>STD BY</v>
      </c>
      <c r="I374" s="160"/>
      <c r="J374" s="7" t="str">
        <f t="shared" si="48"/>
        <v>STD BY</v>
      </c>
      <c r="K374" s="7">
        <v>60</v>
      </c>
      <c r="L374" s="4"/>
      <c r="M374" s="7" t="s">
        <v>376</v>
      </c>
      <c r="N374" s="191"/>
    </row>
    <row r="375" spans="1:14" x14ac:dyDescent="0.35">
      <c r="A375" s="42">
        <v>2</v>
      </c>
      <c r="B375" s="158" t="s">
        <v>341</v>
      </c>
      <c r="C375" s="158" t="s">
        <v>342</v>
      </c>
      <c r="D375" s="8" t="s">
        <v>15</v>
      </c>
      <c r="E375" s="7">
        <f t="shared" si="58"/>
        <v>71</v>
      </c>
      <c r="F375" s="7">
        <f t="shared" ref="F375:F379" si="60">(E375+10)</f>
        <v>81</v>
      </c>
      <c r="G375" s="9" t="s">
        <v>16</v>
      </c>
      <c r="H375" s="27" t="str">
        <f t="shared" ref="H375:H376" si="61">IF(J375="",("-"),(IF(J375="STD BY",("STD BY"),(IF(J375="N/A",("N/A"),(IF(J375&lt;5,("Normal"),(IF(J375&lt;11,("Low"),(IF(J375&lt;21,("Medium"),(IF(J375&lt;41,("High"),("Critical"))))))))))))))</f>
        <v>STD BY</v>
      </c>
      <c r="I375" s="160" t="str">
        <f>IF(COUNTIF(H375:H379,"-")&gt;0,("-"),(IF(COUNTIF(H375:H379,"STD BY")&gt;0,("STD BY"),(IF(COUNTIF(H375:H379,"N/A")&gt;0,("N/A"),(IF(COUNTIF(H375:H379,"Critical")&gt;0,("Critical"),(IF(COUNTIF(H375:H379,"High")&gt;0,("High"),(IF(COUNTIF(H375:H379,"Medium")&gt;0,("Medium"),(IF(COUNTIF(H375:H379,"Low")&gt;0,("Low"),("Normal"))))))))))))))</f>
        <v>STD BY</v>
      </c>
      <c r="J375" s="7" t="str">
        <f t="shared" si="48"/>
        <v>STD BY</v>
      </c>
      <c r="K375" s="7">
        <v>60</v>
      </c>
      <c r="L375" s="4"/>
      <c r="M375" s="7" t="s">
        <v>376</v>
      </c>
      <c r="N375" s="190" t="s">
        <v>371</v>
      </c>
    </row>
    <row r="376" spans="1:14" x14ac:dyDescent="0.35">
      <c r="A376" s="19"/>
      <c r="B376" s="158"/>
      <c r="C376" s="158"/>
      <c r="D376" s="10" t="s">
        <v>17</v>
      </c>
      <c r="E376" s="7">
        <f t="shared" si="58"/>
        <v>56</v>
      </c>
      <c r="F376" s="7">
        <f t="shared" si="60"/>
        <v>66</v>
      </c>
      <c r="G376" s="9" t="s">
        <v>16</v>
      </c>
      <c r="H376" s="27" t="str">
        <f t="shared" si="61"/>
        <v>STD BY</v>
      </c>
      <c r="I376" s="160"/>
      <c r="J376" s="7" t="str">
        <f t="shared" si="48"/>
        <v>STD BY</v>
      </c>
      <c r="K376" s="7">
        <v>45</v>
      </c>
      <c r="L376" s="4"/>
      <c r="M376" s="7" t="s">
        <v>376</v>
      </c>
      <c r="N376" s="191"/>
    </row>
    <row r="377" spans="1:14" x14ac:dyDescent="0.35">
      <c r="A377" s="19"/>
      <c r="B377" s="158"/>
      <c r="C377" s="158"/>
      <c r="D377" s="10" t="s">
        <v>18</v>
      </c>
      <c r="E377" s="7">
        <f t="shared" si="58"/>
        <v>66</v>
      </c>
      <c r="F377" s="7">
        <f t="shared" si="60"/>
        <v>76</v>
      </c>
      <c r="G377" s="9" t="s">
        <v>16</v>
      </c>
      <c r="H377" s="27" t="str">
        <f>IF(J377="",("-"),(IF(J377="STD BY",("STD BY"),(IF(J377="N/A",("N/A"),(IF(J377&lt;5,("Normal"),(IF(J377&lt;11,("Low"),(IF(J377&lt;21,("Medium"),(IF(J377&lt;41,("High"),("Critical"))))))))))))))</f>
        <v>STD BY</v>
      </c>
      <c r="I377" s="160"/>
      <c r="J377" s="7" t="str">
        <f t="shared" si="48"/>
        <v>STD BY</v>
      </c>
      <c r="K377" s="7">
        <v>55</v>
      </c>
      <c r="L377" s="4"/>
      <c r="M377" s="7" t="s">
        <v>376</v>
      </c>
      <c r="N377" s="191"/>
    </row>
    <row r="378" spans="1:14" x14ac:dyDescent="0.35">
      <c r="A378" s="19"/>
      <c r="B378" s="158"/>
      <c r="C378" s="158"/>
      <c r="D378" s="10" t="s">
        <v>19</v>
      </c>
      <c r="E378" s="7">
        <f t="shared" si="58"/>
        <v>71</v>
      </c>
      <c r="F378" s="7">
        <f t="shared" si="60"/>
        <v>81</v>
      </c>
      <c r="G378" s="9" t="s">
        <v>16</v>
      </c>
      <c r="H378" s="27" t="str">
        <f t="shared" ref="H378:H379" si="62">IF(J378="",("-"),(IF(J378="STD BY",("STD BY"),(IF(J378="N/A",("N/A"),(IF(J378&lt;5,("Normal"),(IF(J378&lt;11,("Low"),(IF(J378&lt;21,("Medium"),(IF(J378&lt;41,("High"),("Critical"))))))))))))))</f>
        <v>STD BY</v>
      </c>
      <c r="I378" s="160"/>
      <c r="J378" s="7" t="str">
        <f t="shared" si="48"/>
        <v>STD BY</v>
      </c>
      <c r="K378" s="7">
        <v>60</v>
      </c>
      <c r="L378" s="4"/>
      <c r="M378" s="7" t="s">
        <v>376</v>
      </c>
      <c r="N378" s="191"/>
    </row>
    <row r="379" spans="1:14" x14ac:dyDescent="0.35">
      <c r="A379" s="19"/>
      <c r="B379" s="158"/>
      <c r="C379" s="158"/>
      <c r="D379" s="10" t="s">
        <v>22</v>
      </c>
      <c r="E379" s="7">
        <f t="shared" si="58"/>
        <v>71</v>
      </c>
      <c r="F379" s="7">
        <f t="shared" si="60"/>
        <v>81</v>
      </c>
      <c r="G379" s="9" t="s">
        <v>16</v>
      </c>
      <c r="H379" s="27" t="str">
        <f t="shared" si="62"/>
        <v>STD BY</v>
      </c>
      <c r="I379" s="160"/>
      <c r="J379" s="7" t="str">
        <f t="shared" si="48"/>
        <v>STD BY</v>
      </c>
      <c r="K379" s="7">
        <v>60</v>
      </c>
      <c r="L379" s="4"/>
      <c r="M379" s="7" t="s">
        <v>376</v>
      </c>
      <c r="N379" s="191"/>
    </row>
    <row r="380" spans="1:14" ht="15" customHeight="1" x14ac:dyDescent="0.35">
      <c r="A380" s="23">
        <v>2</v>
      </c>
      <c r="B380" s="152" t="s">
        <v>255</v>
      </c>
      <c r="C380" s="152" t="s">
        <v>256</v>
      </c>
      <c r="D380" s="11" t="s">
        <v>47</v>
      </c>
      <c r="E380" s="7">
        <f t="shared" si="44"/>
        <v>71</v>
      </c>
      <c r="F380" s="7">
        <f t="shared" si="47"/>
        <v>81</v>
      </c>
      <c r="G380" s="9" t="s">
        <v>16</v>
      </c>
      <c r="H380" s="27" t="str">
        <f t="shared" si="49"/>
        <v>Normal</v>
      </c>
      <c r="I380" s="155" t="str">
        <f>IF(COUNTIF(H380:H389,"-")&gt;0,("-"),(IF(COUNTIF(H380:H389,"STD BY")&gt;0,("STD BY"),(IF(COUNTIF(H380:H389,"N/A")&gt;0,("N/A"),(IF(COUNTIF(H380:H389,"Critical")&gt;0,("Critical"),(IF(COUNTIF(H380:H389,"High")&gt;0,("High"),(IF(COUNTIF(H380:H389,"Medium")&gt;0,("Medium"),(IF(COUNTIF(H380:H389,"Low")&gt;0,("Low"),("Normal"))))))))))))))</f>
        <v>Normal</v>
      </c>
      <c r="J380" s="7">
        <f t="shared" si="48"/>
        <v>0</v>
      </c>
      <c r="K380" s="14">
        <v>60</v>
      </c>
      <c r="L380" s="4">
        <v>46225</v>
      </c>
      <c r="M380" s="3">
        <v>55.9</v>
      </c>
      <c r="N380" s="187" t="s">
        <v>372</v>
      </c>
    </row>
    <row r="381" spans="1:14" x14ac:dyDescent="0.35">
      <c r="A381" s="24"/>
      <c r="B381" s="153"/>
      <c r="C381" s="153"/>
      <c r="D381" s="11" t="s">
        <v>48</v>
      </c>
      <c r="E381" s="7">
        <f t="shared" si="44"/>
        <v>71</v>
      </c>
      <c r="F381" s="7">
        <f t="shared" si="47"/>
        <v>81</v>
      </c>
      <c r="G381" s="9" t="s">
        <v>16</v>
      </c>
      <c r="H381" s="27" t="str">
        <f t="shared" si="49"/>
        <v>Normal</v>
      </c>
      <c r="I381" s="156"/>
      <c r="J381" s="7">
        <f t="shared" si="48"/>
        <v>0</v>
      </c>
      <c r="K381" s="14">
        <v>60</v>
      </c>
      <c r="L381" s="4">
        <v>46225</v>
      </c>
      <c r="M381" s="3">
        <v>50.5</v>
      </c>
      <c r="N381" s="187"/>
    </row>
    <row r="382" spans="1:14" ht="15" customHeight="1" x14ac:dyDescent="0.35">
      <c r="A382" s="24"/>
      <c r="B382" s="153"/>
      <c r="C382" s="153"/>
      <c r="D382" s="11" t="s">
        <v>49</v>
      </c>
      <c r="E382" s="7">
        <f t="shared" si="44"/>
        <v>71</v>
      </c>
      <c r="F382" s="7">
        <f t="shared" si="47"/>
        <v>81</v>
      </c>
      <c r="G382" s="9" t="s">
        <v>16</v>
      </c>
      <c r="H382" s="27" t="str">
        <f t="shared" si="49"/>
        <v>Normal</v>
      </c>
      <c r="I382" s="156"/>
      <c r="J382" s="7">
        <f t="shared" si="48"/>
        <v>0</v>
      </c>
      <c r="K382" s="14">
        <v>60</v>
      </c>
      <c r="L382" s="4">
        <v>46225</v>
      </c>
      <c r="M382" s="3">
        <v>55.5</v>
      </c>
      <c r="N382" s="187"/>
    </row>
    <row r="383" spans="1:14" ht="15" customHeight="1" x14ac:dyDescent="0.35">
      <c r="A383" s="24"/>
      <c r="B383" s="153"/>
      <c r="C383" s="153"/>
      <c r="D383" s="11" t="s">
        <v>50</v>
      </c>
      <c r="E383" s="7">
        <f t="shared" si="44"/>
        <v>71</v>
      </c>
      <c r="F383" s="7">
        <f t="shared" si="47"/>
        <v>81</v>
      </c>
      <c r="G383" s="9" t="s">
        <v>16</v>
      </c>
      <c r="H383" s="27" t="str">
        <f t="shared" si="49"/>
        <v>Normal</v>
      </c>
      <c r="I383" s="156"/>
      <c r="J383" s="7">
        <f t="shared" si="48"/>
        <v>0</v>
      </c>
      <c r="K383" s="14">
        <v>60</v>
      </c>
      <c r="L383" s="4">
        <v>46225</v>
      </c>
      <c r="M383" s="3">
        <v>55.5</v>
      </c>
      <c r="N383" s="187"/>
    </row>
    <row r="384" spans="1:14" x14ac:dyDescent="0.35">
      <c r="A384" s="24"/>
      <c r="B384" s="153"/>
      <c r="C384" s="153"/>
      <c r="D384" s="11" t="s">
        <v>136</v>
      </c>
      <c r="E384" s="7">
        <f t="shared" si="44"/>
        <v>56</v>
      </c>
      <c r="F384" s="7">
        <f t="shared" si="47"/>
        <v>66</v>
      </c>
      <c r="G384" s="9" t="s">
        <v>16</v>
      </c>
      <c r="H384" s="27" t="str">
        <f t="shared" si="49"/>
        <v>Normal</v>
      </c>
      <c r="I384" s="156"/>
      <c r="J384" s="7">
        <f t="shared" si="48"/>
        <v>0</v>
      </c>
      <c r="K384" s="14">
        <v>45</v>
      </c>
      <c r="L384" s="4">
        <v>46225</v>
      </c>
      <c r="M384" s="3">
        <v>36</v>
      </c>
      <c r="N384" s="187"/>
    </row>
    <row r="385" spans="1:14" x14ac:dyDescent="0.35">
      <c r="A385" s="24"/>
      <c r="B385" s="153"/>
      <c r="C385" s="153"/>
      <c r="D385" s="11" t="s">
        <v>137</v>
      </c>
      <c r="E385" s="7">
        <f t="shared" si="44"/>
        <v>56</v>
      </c>
      <c r="F385" s="7">
        <f t="shared" si="47"/>
        <v>66</v>
      </c>
      <c r="G385" s="9" t="s">
        <v>16</v>
      </c>
      <c r="H385" s="27" t="str">
        <f t="shared" si="49"/>
        <v>Normal</v>
      </c>
      <c r="I385" s="156"/>
      <c r="J385" s="7">
        <f t="shared" si="48"/>
        <v>0</v>
      </c>
      <c r="K385" s="14">
        <v>45</v>
      </c>
      <c r="L385" s="4">
        <v>46225</v>
      </c>
      <c r="M385" s="3">
        <v>36.200000000000003</v>
      </c>
      <c r="N385" s="187"/>
    </row>
    <row r="386" spans="1:14" x14ac:dyDescent="0.35">
      <c r="A386" s="24"/>
      <c r="B386" s="153"/>
      <c r="C386" s="153"/>
      <c r="D386" s="11" t="s">
        <v>138</v>
      </c>
      <c r="E386" s="7">
        <f t="shared" si="44"/>
        <v>56</v>
      </c>
      <c r="F386" s="7">
        <f t="shared" si="47"/>
        <v>66</v>
      </c>
      <c r="G386" s="9" t="s">
        <v>16</v>
      </c>
      <c r="H386" s="27" t="str">
        <f t="shared" si="49"/>
        <v>Normal</v>
      </c>
      <c r="I386" s="156"/>
      <c r="J386" s="7">
        <f t="shared" si="48"/>
        <v>0</v>
      </c>
      <c r="K386" s="14">
        <v>45</v>
      </c>
      <c r="L386" s="4">
        <v>46225</v>
      </c>
      <c r="M386" s="3">
        <v>36.5</v>
      </c>
      <c r="N386" s="187"/>
    </row>
    <row r="387" spans="1:14" x14ac:dyDescent="0.35">
      <c r="A387" s="24"/>
      <c r="B387" s="153"/>
      <c r="C387" s="153"/>
      <c r="D387" s="11" t="s">
        <v>139</v>
      </c>
      <c r="E387" s="7">
        <f t="shared" si="44"/>
        <v>56</v>
      </c>
      <c r="F387" s="7">
        <f t="shared" si="47"/>
        <v>66</v>
      </c>
      <c r="G387" s="9" t="s">
        <v>16</v>
      </c>
      <c r="H387" s="27" t="str">
        <f t="shared" si="49"/>
        <v>Normal</v>
      </c>
      <c r="I387" s="156"/>
      <c r="J387" s="7">
        <f t="shared" si="48"/>
        <v>0</v>
      </c>
      <c r="K387" s="14">
        <v>45</v>
      </c>
      <c r="L387" s="4">
        <v>46225</v>
      </c>
      <c r="M387" s="3">
        <v>32.1</v>
      </c>
      <c r="N387" s="187"/>
    </row>
    <row r="388" spans="1:14" x14ac:dyDescent="0.35">
      <c r="A388" s="24"/>
      <c r="B388" s="153"/>
      <c r="C388" s="153"/>
      <c r="D388" s="11" t="s">
        <v>140</v>
      </c>
      <c r="E388" s="7">
        <f t="shared" si="44"/>
        <v>56</v>
      </c>
      <c r="F388" s="7">
        <f t="shared" si="47"/>
        <v>66</v>
      </c>
      <c r="G388" s="9" t="s">
        <v>16</v>
      </c>
      <c r="H388" s="27" t="str">
        <f t="shared" si="49"/>
        <v>Normal</v>
      </c>
      <c r="I388" s="156"/>
      <c r="J388" s="7">
        <f t="shared" si="48"/>
        <v>0</v>
      </c>
      <c r="K388" s="14">
        <v>45</v>
      </c>
      <c r="L388" s="4">
        <v>46225</v>
      </c>
      <c r="M388" s="3">
        <v>32.799999999999997</v>
      </c>
      <c r="N388" s="187"/>
    </row>
    <row r="389" spans="1:14" x14ac:dyDescent="0.35">
      <c r="A389" s="25"/>
      <c r="B389" s="154"/>
      <c r="C389" s="154"/>
      <c r="D389" s="11" t="s">
        <v>141</v>
      </c>
      <c r="E389" s="7">
        <f t="shared" si="44"/>
        <v>56</v>
      </c>
      <c r="F389" s="7">
        <f t="shared" si="47"/>
        <v>66</v>
      </c>
      <c r="G389" s="9" t="s">
        <v>16</v>
      </c>
      <c r="H389" s="27" t="str">
        <f t="shared" si="49"/>
        <v>Normal</v>
      </c>
      <c r="I389" s="157"/>
      <c r="J389" s="7">
        <f t="shared" si="48"/>
        <v>0</v>
      </c>
      <c r="K389" s="14">
        <v>45</v>
      </c>
      <c r="L389" s="4">
        <v>46225</v>
      </c>
      <c r="M389" s="3">
        <v>31</v>
      </c>
      <c r="N389" s="187"/>
    </row>
    <row r="390" spans="1:14" ht="15" customHeight="1" x14ac:dyDescent="0.35">
      <c r="A390" s="18">
        <v>3</v>
      </c>
      <c r="B390" s="152" t="s">
        <v>51</v>
      </c>
      <c r="C390" s="152" t="s">
        <v>197</v>
      </c>
      <c r="D390" s="8" t="s">
        <v>15</v>
      </c>
      <c r="E390" s="7">
        <f t="shared" ref="E390:E400" si="63">(K390+11)</f>
        <v>71</v>
      </c>
      <c r="F390" s="7">
        <f t="shared" ref="F390:F398" si="64">(E390+10)</f>
        <v>81</v>
      </c>
      <c r="G390" s="9" t="s">
        <v>16</v>
      </c>
      <c r="H390" s="27" t="str">
        <f t="shared" ref="H390:H400" si="65">IF(J390="",("-"),(IF(J390="STD BY",("STD BY"),(IF(J390="N/A",("N/A"),(IF(J390&lt;5,("Normal"),(IF(J390&lt;11,("Low"),(IF(J390&lt;21,("Medium"),(IF(J390&lt;41,("High"),("Critical"))))))))))))))</f>
        <v>Normal</v>
      </c>
      <c r="I390" s="155" t="str">
        <f>IF(COUNTIF(H390:H398,"-")&gt;0,("-"),(IF(COUNTIF(H390:H398,"STD BY")&gt;0,("STD BY"),(IF(COUNTIF(H390:H398,"N/A")&gt;0,("N/A"),(IF(COUNTIF(H390:H398,"Critical")&gt;0,("Critical"),(IF(COUNTIF(H390:H398,"High")&gt;0,("High"),(IF(COUNTIF(H390:H398,"Medium")&gt;0,("Medium"),(IF(COUNTIF(H390:H398,"Low")&gt;0,("Low"),("Normal"))))))))))))))</f>
        <v>Low</v>
      </c>
      <c r="J390" s="7">
        <f t="shared" ref="J390:J400" si="66">IF(M390="",(""),(IF(M390="STD BY",("STD BY"),(IF(M390="N/A",("N/A"),(IF(M390-K390&gt;0,(M390-K390),(0))))))))</f>
        <v>0</v>
      </c>
      <c r="K390" s="30">
        <v>60</v>
      </c>
      <c r="L390" s="4">
        <v>46211</v>
      </c>
      <c r="M390" s="5">
        <v>43.8</v>
      </c>
      <c r="N390" s="147" t="s">
        <v>372</v>
      </c>
    </row>
    <row r="391" spans="1:14" x14ac:dyDescent="0.35">
      <c r="A391" s="19"/>
      <c r="B391" s="153"/>
      <c r="C391" s="153"/>
      <c r="D391" s="10" t="s">
        <v>17</v>
      </c>
      <c r="E391" s="7">
        <f t="shared" si="63"/>
        <v>56</v>
      </c>
      <c r="F391" s="7">
        <f t="shared" si="64"/>
        <v>66</v>
      </c>
      <c r="G391" s="9" t="s">
        <v>16</v>
      </c>
      <c r="H391" s="27" t="str">
        <f t="shared" si="65"/>
        <v>Normal</v>
      </c>
      <c r="I391" s="156"/>
      <c r="J391" s="7">
        <f t="shared" si="66"/>
        <v>0</v>
      </c>
      <c r="K391" s="30">
        <v>45</v>
      </c>
      <c r="L391" s="4">
        <v>46211</v>
      </c>
      <c r="M391" s="5">
        <v>39.799999999999997</v>
      </c>
      <c r="N391" s="148"/>
    </row>
    <row r="392" spans="1:14" x14ac:dyDescent="0.35">
      <c r="A392" s="19"/>
      <c r="B392" s="153"/>
      <c r="C392" s="153"/>
      <c r="D392" s="10" t="s">
        <v>18</v>
      </c>
      <c r="E392" s="7">
        <f t="shared" si="63"/>
        <v>66</v>
      </c>
      <c r="F392" s="7">
        <f t="shared" si="64"/>
        <v>76</v>
      </c>
      <c r="G392" s="9" t="s">
        <v>16</v>
      </c>
      <c r="H392" s="27" t="str">
        <f t="shared" si="65"/>
        <v>Normal</v>
      </c>
      <c r="I392" s="156"/>
      <c r="J392" s="7">
        <f t="shared" si="66"/>
        <v>0</v>
      </c>
      <c r="K392" s="30">
        <v>55</v>
      </c>
      <c r="L392" s="4">
        <v>46211</v>
      </c>
      <c r="M392" s="5">
        <v>47.6</v>
      </c>
      <c r="N392" s="148"/>
    </row>
    <row r="393" spans="1:14" x14ac:dyDescent="0.35">
      <c r="A393" s="19"/>
      <c r="B393" s="153"/>
      <c r="C393" s="153"/>
      <c r="D393" s="10" t="s">
        <v>19</v>
      </c>
      <c r="E393" s="7">
        <f t="shared" si="63"/>
        <v>71</v>
      </c>
      <c r="F393" s="7">
        <f t="shared" si="64"/>
        <v>81</v>
      </c>
      <c r="G393" s="9" t="s">
        <v>16</v>
      </c>
      <c r="H393" s="27" t="str">
        <f t="shared" si="65"/>
        <v>Normal</v>
      </c>
      <c r="I393" s="156"/>
      <c r="J393" s="7">
        <f t="shared" si="66"/>
        <v>0</v>
      </c>
      <c r="K393" s="30">
        <v>60</v>
      </c>
      <c r="L393" s="4">
        <v>46211</v>
      </c>
      <c r="M393" s="5">
        <v>40.799999999999997</v>
      </c>
      <c r="N393" s="148"/>
    </row>
    <row r="394" spans="1:14" x14ac:dyDescent="0.35">
      <c r="A394" s="19"/>
      <c r="B394" s="153"/>
      <c r="C394" s="153"/>
      <c r="D394" s="10" t="s">
        <v>22</v>
      </c>
      <c r="E394" s="7">
        <f t="shared" si="63"/>
        <v>71</v>
      </c>
      <c r="F394" s="7">
        <f t="shared" si="64"/>
        <v>81</v>
      </c>
      <c r="G394" s="9" t="s">
        <v>16</v>
      </c>
      <c r="H394" s="27" t="str">
        <f t="shared" si="65"/>
        <v>Normal</v>
      </c>
      <c r="I394" s="156"/>
      <c r="J394" s="7">
        <f t="shared" si="66"/>
        <v>0</v>
      </c>
      <c r="K394" s="30">
        <v>60</v>
      </c>
      <c r="L394" s="4">
        <v>46211</v>
      </c>
      <c r="M394" s="5">
        <v>46.4</v>
      </c>
      <c r="N394" s="148"/>
    </row>
    <row r="395" spans="1:14" x14ac:dyDescent="0.35">
      <c r="A395" s="19"/>
      <c r="B395" s="153"/>
      <c r="C395" s="153"/>
      <c r="D395" s="10" t="s">
        <v>156</v>
      </c>
      <c r="E395" s="7">
        <f t="shared" si="63"/>
        <v>76</v>
      </c>
      <c r="F395" s="7">
        <f t="shared" si="64"/>
        <v>86</v>
      </c>
      <c r="G395" s="9" t="s">
        <v>16</v>
      </c>
      <c r="H395" s="27" t="str">
        <f>IF(J395="",("-"),(IF(J395="STD BY",("STD BY"),(IF(J395="N/A",("N/A"),(IF(J395&lt;5,("Normal"),(IF(J395&lt;11,("Low"),(IF(J395&lt;21,("Medium"),(IF(J395&lt;41,("High"),("Critical"))))))))))))))</f>
        <v>Low</v>
      </c>
      <c r="I395" s="156"/>
      <c r="J395" s="7">
        <f t="shared" si="66"/>
        <v>6.7000000000000028</v>
      </c>
      <c r="K395" s="30">
        <v>65</v>
      </c>
      <c r="L395" s="4">
        <v>46211</v>
      </c>
      <c r="M395" s="5">
        <v>71.7</v>
      </c>
      <c r="N395" s="148"/>
    </row>
    <row r="396" spans="1:14" x14ac:dyDescent="0.35">
      <c r="A396" s="19"/>
      <c r="B396" s="153"/>
      <c r="C396" s="153"/>
      <c r="D396" s="10" t="s">
        <v>33</v>
      </c>
      <c r="E396" s="7">
        <f t="shared" si="63"/>
        <v>51</v>
      </c>
      <c r="F396" s="7">
        <f t="shared" si="64"/>
        <v>61</v>
      </c>
      <c r="G396" s="9" t="s">
        <v>16</v>
      </c>
      <c r="H396" s="27" t="str">
        <f>IF(J396="",("-"),(IF(J396="STD BY",("STD BY"),(IF(J396="N/A",("N/A"),(IF(J396&lt;5,("Normal"),(IF(J396&lt;11,("Low"),(IF(J396&lt;21,("Medium"),(IF(J396&lt;41,("High"),("Critical"))))))))))))))</f>
        <v>Normal</v>
      </c>
      <c r="I396" s="156"/>
      <c r="J396" s="7">
        <f t="shared" si="66"/>
        <v>0</v>
      </c>
      <c r="K396" s="30">
        <v>40</v>
      </c>
      <c r="L396" s="4">
        <v>46211</v>
      </c>
      <c r="M396" s="5">
        <v>29.7</v>
      </c>
      <c r="N396" s="148"/>
    </row>
    <row r="397" spans="1:14" x14ac:dyDescent="0.35">
      <c r="A397" s="19"/>
      <c r="B397" s="153"/>
      <c r="C397" s="153"/>
      <c r="D397" s="10" t="s">
        <v>34</v>
      </c>
      <c r="E397" s="7">
        <f t="shared" si="63"/>
        <v>51</v>
      </c>
      <c r="F397" s="7">
        <f t="shared" si="64"/>
        <v>61</v>
      </c>
      <c r="G397" s="9" t="s">
        <v>16</v>
      </c>
      <c r="H397" s="27" t="str">
        <f t="shared" si="65"/>
        <v>Normal</v>
      </c>
      <c r="I397" s="156"/>
      <c r="J397" s="7">
        <f t="shared" si="66"/>
        <v>0</v>
      </c>
      <c r="K397" s="30">
        <v>40</v>
      </c>
      <c r="L397" s="4">
        <v>46211</v>
      </c>
      <c r="M397" s="5">
        <v>30.4</v>
      </c>
      <c r="N397" s="148"/>
    </row>
    <row r="398" spans="1:14" x14ac:dyDescent="0.35">
      <c r="A398" s="20"/>
      <c r="B398" s="154"/>
      <c r="C398" s="154"/>
      <c r="D398" s="10" t="s">
        <v>35</v>
      </c>
      <c r="E398" s="7">
        <f t="shared" si="63"/>
        <v>51</v>
      </c>
      <c r="F398" s="7">
        <f t="shared" si="64"/>
        <v>61</v>
      </c>
      <c r="G398" s="9" t="s">
        <v>16</v>
      </c>
      <c r="H398" s="27" t="str">
        <f t="shared" si="65"/>
        <v>Normal</v>
      </c>
      <c r="I398" s="157"/>
      <c r="J398" s="7">
        <f t="shared" si="66"/>
        <v>0</v>
      </c>
      <c r="K398" s="30">
        <v>40</v>
      </c>
      <c r="L398" s="4">
        <v>46211</v>
      </c>
      <c r="M398" s="5">
        <v>26.8</v>
      </c>
      <c r="N398" s="149"/>
    </row>
    <row r="399" spans="1:14" ht="15" customHeight="1" x14ac:dyDescent="0.35">
      <c r="A399" s="18">
        <v>3</v>
      </c>
      <c r="B399" s="152" t="s">
        <v>52</v>
      </c>
      <c r="C399" s="152" t="s">
        <v>198</v>
      </c>
      <c r="D399" s="8" t="s">
        <v>15</v>
      </c>
      <c r="E399" s="7">
        <f t="shared" si="63"/>
        <v>71</v>
      </c>
      <c r="F399" s="7">
        <f t="shared" ref="F399:F424" si="67">(E399+10)</f>
        <v>81</v>
      </c>
      <c r="G399" s="9" t="s">
        <v>16</v>
      </c>
      <c r="H399" s="27" t="str">
        <f t="shared" si="65"/>
        <v>Normal</v>
      </c>
      <c r="I399" s="155" t="str">
        <f>IF(COUNTIF(H399:H407,"-")&gt;0,("-"),(IF(COUNTIF(H399:H407,"STD BY")&gt;0,("STD BY"),(IF(COUNTIF(H399:H407,"N/A")&gt;0,("N/A"),(IF(COUNTIF(H399:H407,"Critical")&gt;0,("Critical"),(IF(COUNTIF(H399:H407,"High")&gt;0,("High"),(IF(COUNTIF(H399:H407,"Medium")&gt;0,("Medium"),(IF(COUNTIF(H399:H407,"Low")&gt;0,("Low"),("Normal"))))))))))))))</f>
        <v>Normal</v>
      </c>
      <c r="J399" s="7">
        <f t="shared" si="66"/>
        <v>0</v>
      </c>
      <c r="K399" s="30">
        <v>60</v>
      </c>
      <c r="L399" s="119">
        <v>46225</v>
      </c>
      <c r="M399" s="5">
        <v>52.2</v>
      </c>
      <c r="N399" s="147" t="s">
        <v>371</v>
      </c>
    </row>
    <row r="400" spans="1:14" x14ac:dyDescent="0.35">
      <c r="A400" s="19"/>
      <c r="B400" s="153"/>
      <c r="C400" s="153"/>
      <c r="D400" s="10" t="s">
        <v>17</v>
      </c>
      <c r="E400" s="7">
        <f t="shared" si="63"/>
        <v>56</v>
      </c>
      <c r="F400" s="7">
        <f t="shared" si="67"/>
        <v>66</v>
      </c>
      <c r="G400" s="9" t="s">
        <v>16</v>
      </c>
      <c r="H400" s="27" t="str">
        <f t="shared" si="65"/>
        <v>Normal</v>
      </c>
      <c r="I400" s="156"/>
      <c r="J400" s="7">
        <f t="shared" si="66"/>
        <v>0</v>
      </c>
      <c r="K400" s="30">
        <v>45</v>
      </c>
      <c r="L400" s="119">
        <v>46225</v>
      </c>
      <c r="M400" s="5">
        <v>42.9</v>
      </c>
      <c r="N400" s="148"/>
    </row>
    <row r="401" spans="1:14" x14ac:dyDescent="0.35">
      <c r="A401" s="19"/>
      <c r="B401" s="153"/>
      <c r="C401" s="153"/>
      <c r="D401" s="10" t="s">
        <v>18</v>
      </c>
      <c r="E401" s="7">
        <f t="shared" ref="E401:E474" si="68">(K401+11)</f>
        <v>66</v>
      </c>
      <c r="F401" s="7">
        <f t="shared" si="67"/>
        <v>76</v>
      </c>
      <c r="G401" s="9" t="s">
        <v>16</v>
      </c>
      <c r="H401" s="27" t="str">
        <f t="shared" ref="H401:H406" si="69">IF(J401="",("-"),(IF(J401="STD BY",("STD BY"),(IF(J401="N/A",("N/A"),(IF(J401&lt;5,("Normal"),(IF(J401&lt;11,("Low"),(IF(J401&lt;21,("Medium"),(IF(J401&lt;41,("High"),("Critical"))))))))))))))</f>
        <v>Normal</v>
      </c>
      <c r="I401" s="156"/>
      <c r="J401" s="7">
        <f t="shared" ref="J401:J474" si="70">IF(M401="",(""),(IF(M401="STD BY",("STD BY"),(IF(M401="N/A",("N/A"),(IF(M401-K401&gt;0,(M401-K401),(0))))))))</f>
        <v>0</v>
      </c>
      <c r="K401" s="30">
        <v>55</v>
      </c>
      <c r="L401" s="119">
        <v>46225</v>
      </c>
      <c r="M401" s="5">
        <v>52.2</v>
      </c>
      <c r="N401" s="148"/>
    </row>
    <row r="402" spans="1:14" x14ac:dyDescent="0.35">
      <c r="A402" s="19"/>
      <c r="B402" s="153"/>
      <c r="C402" s="153"/>
      <c r="D402" s="10" t="s">
        <v>19</v>
      </c>
      <c r="E402" s="7">
        <f t="shared" si="68"/>
        <v>71</v>
      </c>
      <c r="F402" s="7">
        <f t="shared" si="67"/>
        <v>81</v>
      </c>
      <c r="G402" s="9" t="s">
        <v>16</v>
      </c>
      <c r="H402" s="27" t="str">
        <f t="shared" si="69"/>
        <v>Normal</v>
      </c>
      <c r="I402" s="156"/>
      <c r="J402" s="7">
        <f t="shared" si="70"/>
        <v>0</v>
      </c>
      <c r="K402" s="30">
        <v>60</v>
      </c>
      <c r="L402" s="119">
        <v>46225</v>
      </c>
      <c r="M402" s="5">
        <v>50.2</v>
      </c>
      <c r="N402" s="148"/>
    </row>
    <row r="403" spans="1:14" x14ac:dyDescent="0.35">
      <c r="A403" s="19"/>
      <c r="B403" s="153"/>
      <c r="C403" s="153"/>
      <c r="D403" s="10" t="s">
        <v>22</v>
      </c>
      <c r="E403" s="7">
        <f t="shared" si="68"/>
        <v>71</v>
      </c>
      <c r="F403" s="7">
        <f t="shared" si="67"/>
        <v>81</v>
      </c>
      <c r="G403" s="9" t="s">
        <v>16</v>
      </c>
      <c r="H403" s="27" t="str">
        <f t="shared" si="69"/>
        <v>Normal</v>
      </c>
      <c r="I403" s="156"/>
      <c r="J403" s="7">
        <f t="shared" si="70"/>
        <v>1</v>
      </c>
      <c r="K403" s="30">
        <v>60</v>
      </c>
      <c r="L403" s="119">
        <v>46225</v>
      </c>
      <c r="M403" s="5">
        <v>61</v>
      </c>
      <c r="N403" s="148"/>
    </row>
    <row r="404" spans="1:14" x14ac:dyDescent="0.35">
      <c r="A404" s="19"/>
      <c r="B404" s="153"/>
      <c r="C404" s="153"/>
      <c r="D404" s="10" t="s">
        <v>156</v>
      </c>
      <c r="E404" s="7">
        <f t="shared" si="68"/>
        <v>76</v>
      </c>
      <c r="F404" s="7">
        <f t="shared" si="67"/>
        <v>86</v>
      </c>
      <c r="G404" s="9" t="s">
        <v>16</v>
      </c>
      <c r="H404" s="27" t="str">
        <f t="shared" si="69"/>
        <v>Normal</v>
      </c>
      <c r="I404" s="156"/>
      <c r="J404" s="7">
        <f t="shared" si="70"/>
        <v>0.70000000000000284</v>
      </c>
      <c r="K404" s="30">
        <v>65</v>
      </c>
      <c r="L404" s="119">
        <v>46225</v>
      </c>
      <c r="M404" s="5">
        <v>65.7</v>
      </c>
      <c r="N404" s="148"/>
    </row>
    <row r="405" spans="1:14" x14ac:dyDescent="0.35">
      <c r="A405" s="19"/>
      <c r="B405" s="153"/>
      <c r="C405" s="153"/>
      <c r="D405" s="10" t="s">
        <v>33</v>
      </c>
      <c r="E405" s="7">
        <f t="shared" si="68"/>
        <v>51</v>
      </c>
      <c r="F405" s="7">
        <f t="shared" si="67"/>
        <v>61</v>
      </c>
      <c r="G405" s="9" t="s">
        <v>16</v>
      </c>
      <c r="H405" s="27" t="str">
        <f t="shared" si="69"/>
        <v>Normal</v>
      </c>
      <c r="I405" s="156"/>
      <c r="J405" s="7">
        <f t="shared" si="70"/>
        <v>0</v>
      </c>
      <c r="K405" s="30">
        <v>40</v>
      </c>
      <c r="L405" s="119">
        <v>46225</v>
      </c>
      <c r="M405" s="5">
        <v>36.4</v>
      </c>
      <c r="N405" s="148"/>
    </row>
    <row r="406" spans="1:14" x14ac:dyDescent="0.35">
      <c r="A406" s="19"/>
      <c r="B406" s="153"/>
      <c r="C406" s="153"/>
      <c r="D406" s="10" t="s">
        <v>34</v>
      </c>
      <c r="E406" s="7">
        <f t="shared" si="68"/>
        <v>51</v>
      </c>
      <c r="F406" s="7">
        <f t="shared" si="67"/>
        <v>61</v>
      </c>
      <c r="G406" s="9" t="s">
        <v>16</v>
      </c>
      <c r="H406" s="27" t="str">
        <f t="shared" si="69"/>
        <v>Normal</v>
      </c>
      <c r="I406" s="156"/>
      <c r="J406" s="7">
        <f t="shared" si="70"/>
        <v>0</v>
      </c>
      <c r="K406" s="30">
        <v>40</v>
      </c>
      <c r="L406" s="119">
        <v>46225</v>
      </c>
      <c r="M406" s="5">
        <v>36.700000000000003</v>
      </c>
      <c r="N406" s="148"/>
    </row>
    <row r="407" spans="1:14" x14ac:dyDescent="0.35">
      <c r="A407" s="20"/>
      <c r="B407" s="154"/>
      <c r="C407" s="154"/>
      <c r="D407" s="10" t="s">
        <v>35</v>
      </c>
      <c r="E407" s="7">
        <f t="shared" si="68"/>
        <v>51</v>
      </c>
      <c r="F407" s="7">
        <f t="shared" si="67"/>
        <v>61</v>
      </c>
      <c r="G407" s="9" t="s">
        <v>16</v>
      </c>
      <c r="H407" s="27" t="str">
        <f>IF(J407="",("-"),(IF(J407="STD BY",("STD BY"),(IF(J407="N/A",("N/A"),(IF(J407&lt;5,("Normal"),(IF(J407&lt;11,("Low"),(IF(J407&lt;21,("Medium"),(IF(J407&lt;41,("High"),("Critical"))))))))))))))</f>
        <v>Normal</v>
      </c>
      <c r="I407" s="157"/>
      <c r="J407" s="7">
        <f t="shared" si="70"/>
        <v>0</v>
      </c>
      <c r="K407" s="30">
        <v>40</v>
      </c>
      <c r="L407" s="119">
        <v>46225</v>
      </c>
      <c r="M407" s="5">
        <v>37.700000000000003</v>
      </c>
      <c r="N407" s="149"/>
    </row>
    <row r="408" spans="1:14" ht="15" customHeight="1" x14ac:dyDescent="0.35">
      <c r="A408" s="18">
        <v>3</v>
      </c>
      <c r="B408" s="152" t="s">
        <v>53</v>
      </c>
      <c r="C408" s="152" t="s">
        <v>199</v>
      </c>
      <c r="D408" s="8" t="s">
        <v>15</v>
      </c>
      <c r="E408" s="7">
        <f t="shared" si="68"/>
        <v>71</v>
      </c>
      <c r="F408" s="7">
        <f t="shared" si="67"/>
        <v>81</v>
      </c>
      <c r="G408" s="9" t="s">
        <v>16</v>
      </c>
      <c r="H408" s="27" t="str">
        <f t="shared" ref="H408:H481" si="71">IF(J408="",("-"),(IF(J408="STD BY",("STD BY"),(IF(J408="N/A",("N/A"),(IF(J408&lt;5,("Normal"),(IF(J408&lt;11,("Low"),(IF(J408&lt;21,("Medium"),(IF(J408&lt;41,("High"),("Critical"))))))))))))))</f>
        <v>Normal</v>
      </c>
      <c r="I408" s="155" t="str">
        <f>IF(COUNTIF(H408:H416,"-")&gt;0,("-"),(IF(COUNTIF(H408:H416,"STD BY")&gt;0,("STD BY"),(IF(COUNTIF(H408:H416,"N/A")&gt;0,("N/A"),(IF(COUNTIF(H408:H416,"Critical")&gt;0,("Critical"),(IF(COUNTIF(H408:H416,"High")&gt;0,("High"),(IF(COUNTIF(H408:H416,"Medium")&gt;0,("Medium"),(IF(COUNTIF(H408:H416,"Low")&gt;0,("Low"),("Normal"))))))))))))))</f>
        <v>Normal</v>
      </c>
      <c r="J408" s="7">
        <f t="shared" si="70"/>
        <v>0</v>
      </c>
      <c r="K408" s="30">
        <v>60</v>
      </c>
      <c r="L408" s="4">
        <v>46225</v>
      </c>
      <c r="M408" s="5">
        <v>51</v>
      </c>
      <c r="N408" s="147" t="s">
        <v>372</v>
      </c>
    </row>
    <row r="409" spans="1:14" x14ac:dyDescent="0.35">
      <c r="A409" s="19"/>
      <c r="B409" s="153"/>
      <c r="C409" s="153"/>
      <c r="D409" s="10" t="s">
        <v>17</v>
      </c>
      <c r="E409" s="7">
        <f t="shared" si="68"/>
        <v>56</v>
      </c>
      <c r="F409" s="7">
        <f t="shared" si="67"/>
        <v>66</v>
      </c>
      <c r="G409" s="9" t="s">
        <v>16</v>
      </c>
      <c r="H409" s="27" t="str">
        <f t="shared" si="71"/>
        <v>Normal</v>
      </c>
      <c r="I409" s="156"/>
      <c r="J409" s="7">
        <f t="shared" si="70"/>
        <v>0</v>
      </c>
      <c r="K409" s="30">
        <v>45</v>
      </c>
      <c r="L409" s="4">
        <v>46225</v>
      </c>
      <c r="M409" s="5">
        <v>43.3</v>
      </c>
      <c r="N409" s="148"/>
    </row>
    <row r="410" spans="1:14" x14ac:dyDescent="0.35">
      <c r="A410" s="19"/>
      <c r="B410" s="153"/>
      <c r="C410" s="153"/>
      <c r="D410" s="10" t="s">
        <v>18</v>
      </c>
      <c r="E410" s="7">
        <f t="shared" si="68"/>
        <v>66</v>
      </c>
      <c r="F410" s="7">
        <f t="shared" si="67"/>
        <v>76</v>
      </c>
      <c r="G410" s="9" t="s">
        <v>16</v>
      </c>
      <c r="H410" s="27" t="str">
        <f t="shared" si="71"/>
        <v>Normal</v>
      </c>
      <c r="I410" s="156"/>
      <c r="J410" s="7">
        <f t="shared" si="70"/>
        <v>0</v>
      </c>
      <c r="K410" s="30">
        <v>55</v>
      </c>
      <c r="L410" s="4">
        <v>46225</v>
      </c>
      <c r="M410" s="5">
        <v>54.3</v>
      </c>
      <c r="N410" s="148"/>
    </row>
    <row r="411" spans="1:14" x14ac:dyDescent="0.35">
      <c r="A411" s="19"/>
      <c r="B411" s="153"/>
      <c r="C411" s="153"/>
      <c r="D411" s="10" t="s">
        <v>19</v>
      </c>
      <c r="E411" s="7">
        <f t="shared" si="68"/>
        <v>71</v>
      </c>
      <c r="F411" s="7">
        <f t="shared" si="67"/>
        <v>81</v>
      </c>
      <c r="G411" s="9" t="s">
        <v>16</v>
      </c>
      <c r="H411" s="27" t="str">
        <f t="shared" si="71"/>
        <v>Normal</v>
      </c>
      <c r="I411" s="156"/>
      <c r="J411" s="7">
        <f t="shared" si="70"/>
        <v>0</v>
      </c>
      <c r="K411" s="30">
        <v>60</v>
      </c>
      <c r="L411" s="4">
        <v>46225</v>
      </c>
      <c r="M411" s="5">
        <v>42.1</v>
      </c>
      <c r="N411" s="148"/>
    </row>
    <row r="412" spans="1:14" x14ac:dyDescent="0.35">
      <c r="A412" s="19"/>
      <c r="B412" s="153"/>
      <c r="C412" s="153"/>
      <c r="D412" s="10" t="s">
        <v>22</v>
      </c>
      <c r="E412" s="7">
        <f t="shared" si="68"/>
        <v>71</v>
      </c>
      <c r="F412" s="7">
        <f t="shared" si="67"/>
        <v>81</v>
      </c>
      <c r="G412" s="9" t="s">
        <v>16</v>
      </c>
      <c r="H412" s="27" t="str">
        <f t="shared" si="71"/>
        <v>Normal</v>
      </c>
      <c r="I412" s="156"/>
      <c r="J412" s="7">
        <f t="shared" si="70"/>
        <v>0</v>
      </c>
      <c r="K412" s="30">
        <v>60</v>
      </c>
      <c r="L412" s="4">
        <v>46225</v>
      </c>
      <c r="M412" s="5">
        <v>44</v>
      </c>
      <c r="N412" s="148"/>
    </row>
    <row r="413" spans="1:14" x14ac:dyDescent="0.35">
      <c r="A413" s="19"/>
      <c r="B413" s="153"/>
      <c r="C413" s="153"/>
      <c r="D413" s="10" t="s">
        <v>156</v>
      </c>
      <c r="E413" s="7">
        <f t="shared" si="68"/>
        <v>76</v>
      </c>
      <c r="F413" s="7">
        <f t="shared" si="67"/>
        <v>86</v>
      </c>
      <c r="G413" s="9" t="s">
        <v>16</v>
      </c>
      <c r="H413" s="27" t="str">
        <f t="shared" si="71"/>
        <v>Normal</v>
      </c>
      <c r="I413" s="156"/>
      <c r="J413" s="7">
        <f t="shared" si="70"/>
        <v>0</v>
      </c>
      <c r="K413" s="30">
        <v>65</v>
      </c>
      <c r="L413" s="4">
        <v>46225</v>
      </c>
      <c r="M413" s="5">
        <v>60.6</v>
      </c>
      <c r="N413" s="148"/>
    </row>
    <row r="414" spans="1:14" x14ac:dyDescent="0.35">
      <c r="A414" s="19"/>
      <c r="B414" s="153"/>
      <c r="C414" s="153"/>
      <c r="D414" s="10" t="s">
        <v>33</v>
      </c>
      <c r="E414" s="7">
        <f t="shared" si="68"/>
        <v>51</v>
      </c>
      <c r="F414" s="7">
        <f t="shared" si="67"/>
        <v>61</v>
      </c>
      <c r="G414" s="9" t="s">
        <v>16</v>
      </c>
      <c r="H414" s="27" t="str">
        <f t="shared" si="71"/>
        <v>Normal</v>
      </c>
      <c r="I414" s="156"/>
      <c r="J414" s="7">
        <f t="shared" si="70"/>
        <v>0</v>
      </c>
      <c r="K414" s="30">
        <v>40</v>
      </c>
      <c r="L414" s="4">
        <v>46225</v>
      </c>
      <c r="M414" s="5">
        <v>35.1</v>
      </c>
      <c r="N414" s="148"/>
    </row>
    <row r="415" spans="1:14" x14ac:dyDescent="0.35">
      <c r="A415" s="19"/>
      <c r="B415" s="153"/>
      <c r="C415" s="153"/>
      <c r="D415" s="10" t="s">
        <v>34</v>
      </c>
      <c r="E415" s="7">
        <f t="shared" si="68"/>
        <v>51</v>
      </c>
      <c r="F415" s="7">
        <f t="shared" si="67"/>
        <v>61</v>
      </c>
      <c r="G415" s="9" t="s">
        <v>16</v>
      </c>
      <c r="H415" s="27" t="str">
        <f t="shared" si="71"/>
        <v>Normal</v>
      </c>
      <c r="I415" s="156"/>
      <c r="J415" s="7">
        <f t="shared" si="70"/>
        <v>0</v>
      </c>
      <c r="K415" s="30">
        <v>40</v>
      </c>
      <c r="L415" s="4">
        <v>46225</v>
      </c>
      <c r="M415" s="5">
        <v>34.5</v>
      </c>
      <c r="N415" s="148"/>
    </row>
    <row r="416" spans="1:14" x14ac:dyDescent="0.35">
      <c r="A416" s="19"/>
      <c r="B416" s="154"/>
      <c r="C416" s="154"/>
      <c r="D416" s="10" t="s">
        <v>35</v>
      </c>
      <c r="E416" s="7">
        <f t="shared" si="68"/>
        <v>51</v>
      </c>
      <c r="F416" s="7">
        <f t="shared" si="67"/>
        <v>61</v>
      </c>
      <c r="G416" s="9" t="s">
        <v>16</v>
      </c>
      <c r="H416" s="27" t="str">
        <f t="shared" si="71"/>
        <v>Normal</v>
      </c>
      <c r="I416" s="157"/>
      <c r="J416" s="7">
        <f t="shared" si="70"/>
        <v>0</v>
      </c>
      <c r="K416" s="30">
        <v>40</v>
      </c>
      <c r="L416" s="4">
        <v>46225</v>
      </c>
      <c r="M416" s="5">
        <v>35.9</v>
      </c>
      <c r="N416" s="149"/>
    </row>
    <row r="417" spans="1:19" ht="15" customHeight="1" x14ac:dyDescent="0.35">
      <c r="A417" s="23">
        <v>3</v>
      </c>
      <c r="B417" s="152" t="s">
        <v>54</v>
      </c>
      <c r="C417" s="152" t="s">
        <v>200</v>
      </c>
      <c r="D417" s="8" t="s">
        <v>15</v>
      </c>
      <c r="E417" s="7">
        <f t="shared" si="68"/>
        <v>71</v>
      </c>
      <c r="F417" s="7">
        <f t="shared" si="67"/>
        <v>81</v>
      </c>
      <c r="G417" s="9" t="s">
        <v>16</v>
      </c>
      <c r="H417" s="27" t="str">
        <f t="shared" si="71"/>
        <v>Normal</v>
      </c>
      <c r="I417" s="155" t="str">
        <f>IF(COUNTIF(H417:H425,"-")&gt;0,("-"),(IF(COUNTIF(H417:H425,"STD BY")&gt;0,("STD BY"),(IF(COUNTIF(H417:H425,"N/A")&gt;0,("N/A"),(IF(COUNTIF(H417:H425,"Critical")&gt;0,("Critical"),(IF(COUNTIF(H417:H425,"High")&gt;0,("High"),(IF(COUNTIF(H417:H425,"Medium")&gt;0,("Medium"),(IF(COUNTIF(H417:H425,"Low")&gt;0,("Low"),("Normal"))))))))))))))</f>
        <v>Normal</v>
      </c>
      <c r="J417" s="7">
        <f t="shared" si="70"/>
        <v>0</v>
      </c>
      <c r="K417" s="30">
        <v>60</v>
      </c>
      <c r="L417" s="4">
        <v>46211</v>
      </c>
      <c r="M417" s="5">
        <v>60</v>
      </c>
      <c r="N417" s="147" t="s">
        <v>372</v>
      </c>
    </row>
    <row r="418" spans="1:19" x14ac:dyDescent="0.35">
      <c r="A418" s="24"/>
      <c r="B418" s="153"/>
      <c r="C418" s="153"/>
      <c r="D418" s="10" t="s">
        <v>17</v>
      </c>
      <c r="E418" s="7">
        <f t="shared" si="68"/>
        <v>71</v>
      </c>
      <c r="F418" s="7">
        <f t="shared" si="67"/>
        <v>81</v>
      </c>
      <c r="G418" s="9" t="s">
        <v>16</v>
      </c>
      <c r="H418" s="27" t="str">
        <f t="shared" si="71"/>
        <v>Normal</v>
      </c>
      <c r="I418" s="156"/>
      <c r="J418" s="7">
        <f t="shared" si="70"/>
        <v>0</v>
      </c>
      <c r="K418" s="30">
        <v>60</v>
      </c>
      <c r="L418" s="4">
        <v>46211</v>
      </c>
      <c r="M418" s="5">
        <v>45.1</v>
      </c>
      <c r="N418" s="148"/>
    </row>
    <row r="419" spans="1:19" x14ac:dyDescent="0.35">
      <c r="A419" s="24"/>
      <c r="B419" s="153"/>
      <c r="C419" s="153"/>
      <c r="D419" s="10" t="s">
        <v>18</v>
      </c>
      <c r="E419" s="7">
        <f t="shared" si="68"/>
        <v>71</v>
      </c>
      <c r="F419" s="7">
        <f t="shared" si="67"/>
        <v>81</v>
      </c>
      <c r="G419" s="9" t="s">
        <v>16</v>
      </c>
      <c r="H419" s="27" t="str">
        <f t="shared" si="71"/>
        <v>Normal</v>
      </c>
      <c r="I419" s="156"/>
      <c r="J419" s="7">
        <f t="shared" si="70"/>
        <v>0</v>
      </c>
      <c r="K419" s="30">
        <v>60</v>
      </c>
      <c r="L419" s="4">
        <v>46211</v>
      </c>
      <c r="M419" s="5">
        <v>55.5</v>
      </c>
      <c r="N419" s="148"/>
    </row>
    <row r="420" spans="1:19" x14ac:dyDescent="0.35">
      <c r="A420" s="24"/>
      <c r="B420" s="153"/>
      <c r="C420" s="153"/>
      <c r="D420" s="10" t="s">
        <v>19</v>
      </c>
      <c r="E420" s="7">
        <f t="shared" si="68"/>
        <v>71</v>
      </c>
      <c r="F420" s="7">
        <f t="shared" si="67"/>
        <v>81</v>
      </c>
      <c r="G420" s="9" t="s">
        <v>16</v>
      </c>
      <c r="H420" s="27" t="str">
        <f t="shared" si="71"/>
        <v>Normal</v>
      </c>
      <c r="I420" s="156"/>
      <c r="J420" s="7">
        <f t="shared" si="70"/>
        <v>0</v>
      </c>
      <c r="K420" s="30">
        <v>60</v>
      </c>
      <c r="L420" s="4">
        <v>46211</v>
      </c>
      <c r="M420" s="5">
        <v>50.3</v>
      </c>
      <c r="N420" s="148"/>
    </row>
    <row r="421" spans="1:19" x14ac:dyDescent="0.35">
      <c r="A421" s="24"/>
      <c r="B421" s="153"/>
      <c r="C421" s="153"/>
      <c r="D421" s="10" t="s">
        <v>22</v>
      </c>
      <c r="E421" s="7">
        <f t="shared" si="68"/>
        <v>71</v>
      </c>
      <c r="F421" s="7">
        <f t="shared" si="67"/>
        <v>81</v>
      </c>
      <c r="G421" s="9" t="s">
        <v>16</v>
      </c>
      <c r="H421" s="27" t="str">
        <f t="shared" si="71"/>
        <v>Normal</v>
      </c>
      <c r="I421" s="156"/>
      <c r="J421" s="7">
        <f t="shared" si="70"/>
        <v>0</v>
      </c>
      <c r="K421" s="30">
        <v>60</v>
      </c>
      <c r="L421" s="4">
        <v>46211</v>
      </c>
      <c r="M421" s="5">
        <v>51.6</v>
      </c>
      <c r="N421" s="148"/>
    </row>
    <row r="422" spans="1:19" x14ac:dyDescent="0.35">
      <c r="A422" s="24"/>
      <c r="B422" s="153"/>
      <c r="C422" s="153"/>
      <c r="D422" s="10" t="s">
        <v>156</v>
      </c>
      <c r="E422" s="7">
        <f t="shared" si="68"/>
        <v>76</v>
      </c>
      <c r="F422" s="7">
        <f t="shared" si="67"/>
        <v>86</v>
      </c>
      <c r="G422" s="9" t="s">
        <v>16</v>
      </c>
      <c r="H422" s="27" t="str">
        <f t="shared" si="71"/>
        <v>Normal</v>
      </c>
      <c r="I422" s="156"/>
      <c r="J422" s="7">
        <f t="shared" si="70"/>
        <v>0</v>
      </c>
      <c r="K422" s="30">
        <v>65</v>
      </c>
      <c r="L422" s="4">
        <v>46211</v>
      </c>
      <c r="M422" s="5">
        <v>59.7</v>
      </c>
      <c r="N422" s="148"/>
    </row>
    <row r="423" spans="1:19" x14ac:dyDescent="0.35">
      <c r="A423" s="24"/>
      <c r="B423" s="153"/>
      <c r="C423" s="153"/>
      <c r="D423" s="10" t="s">
        <v>33</v>
      </c>
      <c r="E423" s="7">
        <f t="shared" si="68"/>
        <v>51</v>
      </c>
      <c r="F423" s="7">
        <f t="shared" si="67"/>
        <v>61</v>
      </c>
      <c r="G423" s="9" t="s">
        <v>16</v>
      </c>
      <c r="H423" s="27" t="str">
        <f t="shared" si="71"/>
        <v>Normal</v>
      </c>
      <c r="I423" s="156"/>
      <c r="J423" s="7">
        <f t="shared" si="70"/>
        <v>2</v>
      </c>
      <c r="K423" s="30">
        <v>40</v>
      </c>
      <c r="L423" s="4">
        <v>46211</v>
      </c>
      <c r="M423" s="5">
        <v>42</v>
      </c>
      <c r="N423" s="148"/>
    </row>
    <row r="424" spans="1:19" x14ac:dyDescent="0.35">
      <c r="A424" s="24"/>
      <c r="B424" s="153"/>
      <c r="C424" s="153"/>
      <c r="D424" s="10" t="s">
        <v>34</v>
      </c>
      <c r="E424" s="7">
        <f t="shared" si="68"/>
        <v>51</v>
      </c>
      <c r="F424" s="7">
        <f t="shared" si="67"/>
        <v>61</v>
      </c>
      <c r="G424" s="9" t="s">
        <v>16</v>
      </c>
      <c r="H424" s="27" t="str">
        <f t="shared" si="71"/>
        <v>Normal</v>
      </c>
      <c r="I424" s="156"/>
      <c r="J424" s="7">
        <f t="shared" si="70"/>
        <v>0</v>
      </c>
      <c r="K424" s="30">
        <v>40</v>
      </c>
      <c r="L424" s="4">
        <v>46211</v>
      </c>
      <c r="M424" s="5">
        <v>38.6</v>
      </c>
      <c r="N424" s="148"/>
    </row>
    <row r="425" spans="1:19" x14ac:dyDescent="0.35">
      <c r="A425" s="25"/>
      <c r="B425" s="154"/>
      <c r="C425" s="154"/>
      <c r="D425" s="10" t="s">
        <v>35</v>
      </c>
      <c r="E425" s="7">
        <f t="shared" si="68"/>
        <v>51</v>
      </c>
      <c r="F425" s="7">
        <f>(E425+10)</f>
        <v>61</v>
      </c>
      <c r="G425" s="9" t="s">
        <v>16</v>
      </c>
      <c r="H425" s="27" t="str">
        <f t="shared" si="71"/>
        <v>Normal</v>
      </c>
      <c r="I425" s="157"/>
      <c r="J425" s="7">
        <f t="shared" si="70"/>
        <v>4</v>
      </c>
      <c r="K425" s="30">
        <v>40</v>
      </c>
      <c r="L425" s="4">
        <v>46211</v>
      </c>
      <c r="M425" s="5">
        <v>44</v>
      </c>
      <c r="N425" s="149"/>
    </row>
    <row r="426" spans="1:19" ht="15" customHeight="1" x14ac:dyDescent="0.35">
      <c r="A426" s="18">
        <v>3</v>
      </c>
      <c r="B426" s="152" t="s">
        <v>55</v>
      </c>
      <c r="C426" s="152" t="s">
        <v>201</v>
      </c>
      <c r="D426" s="8" t="s">
        <v>15</v>
      </c>
      <c r="E426" s="7">
        <f t="shared" si="68"/>
        <v>71</v>
      </c>
      <c r="F426" s="7">
        <f t="shared" ref="F426:F505" si="72">(E426+10)</f>
        <v>81</v>
      </c>
      <c r="G426" s="9" t="s">
        <v>16</v>
      </c>
      <c r="H426" s="27" t="str">
        <f t="shared" si="71"/>
        <v>STD BY</v>
      </c>
      <c r="I426" s="155" t="str">
        <f>IF(COUNTIF(H426:H434,"-")&gt;0,("-"),(IF(COUNTIF(H426:H434,"STD BY")&gt;0,("STD BY"),(IF(COUNTIF(H426:H434,"N/A")&gt;0,("N/A"),(IF(COUNTIF(H426:H434,"Critical")&gt;0,("Critical"),(IF(COUNTIF(H426:H434,"High")&gt;0,("High"),(IF(COUNTIF(H426:H434,"Medium")&gt;0,("Medium"),(IF(COUNTIF(H426:H434,"Low")&gt;0,("Low"),("Normal"))))))))))))))</f>
        <v>STD BY</v>
      </c>
      <c r="J426" s="7" t="str">
        <f t="shared" si="70"/>
        <v>STD BY</v>
      </c>
      <c r="K426" s="30">
        <v>60</v>
      </c>
      <c r="L426" s="4"/>
      <c r="M426" s="5" t="s">
        <v>376</v>
      </c>
      <c r="N426" s="147" t="s">
        <v>371</v>
      </c>
    </row>
    <row r="427" spans="1:19" x14ac:dyDescent="0.35">
      <c r="A427" s="19"/>
      <c r="B427" s="153"/>
      <c r="C427" s="153"/>
      <c r="D427" s="10" t="s">
        <v>17</v>
      </c>
      <c r="E427" s="7">
        <f t="shared" si="68"/>
        <v>71</v>
      </c>
      <c r="F427" s="7">
        <f t="shared" si="72"/>
        <v>81</v>
      </c>
      <c r="G427" s="9" t="s">
        <v>16</v>
      </c>
      <c r="H427" s="27" t="str">
        <f t="shared" si="71"/>
        <v>STD BY</v>
      </c>
      <c r="I427" s="156"/>
      <c r="J427" s="7" t="str">
        <f t="shared" si="70"/>
        <v>STD BY</v>
      </c>
      <c r="K427" s="30">
        <v>60</v>
      </c>
      <c r="L427" s="4"/>
      <c r="M427" s="5" t="s">
        <v>376</v>
      </c>
      <c r="N427" s="148"/>
    </row>
    <row r="428" spans="1:19" x14ac:dyDescent="0.35">
      <c r="A428" s="19"/>
      <c r="B428" s="153"/>
      <c r="C428" s="153"/>
      <c r="D428" s="10" t="s">
        <v>18</v>
      </c>
      <c r="E428" s="7">
        <f t="shared" si="68"/>
        <v>71</v>
      </c>
      <c r="F428" s="7">
        <f t="shared" si="72"/>
        <v>81</v>
      </c>
      <c r="G428" s="9" t="s">
        <v>16</v>
      </c>
      <c r="H428" s="27" t="str">
        <f t="shared" si="71"/>
        <v>STD BY</v>
      </c>
      <c r="I428" s="156"/>
      <c r="J428" s="7" t="str">
        <f t="shared" si="70"/>
        <v>STD BY</v>
      </c>
      <c r="K428" s="30">
        <v>60</v>
      </c>
      <c r="L428" s="4"/>
      <c r="M428" s="5" t="s">
        <v>376</v>
      </c>
      <c r="N428" s="148"/>
    </row>
    <row r="429" spans="1:19" x14ac:dyDescent="0.35">
      <c r="A429" s="19"/>
      <c r="B429" s="153"/>
      <c r="C429" s="153"/>
      <c r="D429" s="10" t="s">
        <v>19</v>
      </c>
      <c r="E429" s="7">
        <f t="shared" si="68"/>
        <v>71</v>
      </c>
      <c r="F429" s="7">
        <f t="shared" si="72"/>
        <v>81</v>
      </c>
      <c r="G429" s="9" t="s">
        <v>16</v>
      </c>
      <c r="H429" s="27" t="str">
        <f t="shared" si="71"/>
        <v>STD BY</v>
      </c>
      <c r="I429" s="156"/>
      <c r="J429" s="7" t="str">
        <f t="shared" si="70"/>
        <v>STD BY</v>
      </c>
      <c r="K429" s="30">
        <v>60</v>
      </c>
      <c r="L429" s="4"/>
      <c r="M429" s="5" t="s">
        <v>376</v>
      </c>
      <c r="N429" s="148"/>
    </row>
    <row r="430" spans="1:19" x14ac:dyDescent="0.35">
      <c r="A430" s="19"/>
      <c r="B430" s="153"/>
      <c r="C430" s="153"/>
      <c r="D430" s="10" t="s">
        <v>22</v>
      </c>
      <c r="E430" s="7">
        <f t="shared" si="68"/>
        <v>71</v>
      </c>
      <c r="F430" s="7">
        <f t="shared" si="72"/>
        <v>81</v>
      </c>
      <c r="G430" s="9" t="s">
        <v>16</v>
      </c>
      <c r="H430" s="27" t="str">
        <f t="shared" si="71"/>
        <v>STD BY</v>
      </c>
      <c r="I430" s="156"/>
      <c r="J430" s="7" t="str">
        <f t="shared" si="70"/>
        <v>STD BY</v>
      </c>
      <c r="K430" s="30">
        <v>60</v>
      </c>
      <c r="L430" s="4"/>
      <c r="M430" s="5" t="s">
        <v>376</v>
      </c>
      <c r="N430" s="148"/>
    </row>
    <row r="431" spans="1:19" x14ac:dyDescent="0.35">
      <c r="A431" s="19"/>
      <c r="B431" s="153"/>
      <c r="C431" s="153"/>
      <c r="D431" s="10" t="s">
        <v>156</v>
      </c>
      <c r="E431" s="7">
        <f t="shared" si="68"/>
        <v>76</v>
      </c>
      <c r="F431" s="7">
        <f t="shared" si="72"/>
        <v>86</v>
      </c>
      <c r="G431" s="9" t="s">
        <v>16</v>
      </c>
      <c r="H431" s="27" t="str">
        <f t="shared" si="71"/>
        <v>STD BY</v>
      </c>
      <c r="I431" s="156"/>
      <c r="J431" s="7" t="str">
        <f t="shared" si="70"/>
        <v>STD BY</v>
      </c>
      <c r="K431" s="30">
        <v>65</v>
      </c>
      <c r="L431" s="4"/>
      <c r="M431" s="5" t="s">
        <v>376</v>
      </c>
      <c r="N431" s="148"/>
    </row>
    <row r="432" spans="1:19" x14ac:dyDescent="0.35">
      <c r="A432" s="19"/>
      <c r="B432" s="153"/>
      <c r="C432" s="153"/>
      <c r="D432" s="10" t="s">
        <v>33</v>
      </c>
      <c r="E432" s="7">
        <f t="shared" si="68"/>
        <v>51</v>
      </c>
      <c r="F432" s="7">
        <f t="shared" si="72"/>
        <v>61</v>
      </c>
      <c r="G432" s="9" t="s">
        <v>16</v>
      </c>
      <c r="H432" s="27" t="str">
        <f t="shared" si="71"/>
        <v>STD BY</v>
      </c>
      <c r="I432" s="156"/>
      <c r="J432" s="7" t="str">
        <f t="shared" si="70"/>
        <v>STD BY</v>
      </c>
      <c r="K432" s="30">
        <v>40</v>
      </c>
      <c r="L432" s="4"/>
      <c r="M432" s="5" t="s">
        <v>376</v>
      </c>
      <c r="N432" s="148"/>
      <c r="S432" t="s">
        <v>135</v>
      </c>
    </row>
    <row r="433" spans="1:14" x14ac:dyDescent="0.35">
      <c r="A433" s="19"/>
      <c r="B433" s="153"/>
      <c r="C433" s="153"/>
      <c r="D433" s="10" t="s">
        <v>34</v>
      </c>
      <c r="E433" s="7">
        <f t="shared" si="68"/>
        <v>51</v>
      </c>
      <c r="F433" s="7">
        <f t="shared" si="72"/>
        <v>61</v>
      </c>
      <c r="G433" s="9" t="s">
        <v>16</v>
      </c>
      <c r="H433" s="27" t="str">
        <f t="shared" si="71"/>
        <v>STD BY</v>
      </c>
      <c r="I433" s="156"/>
      <c r="J433" s="7" t="str">
        <f t="shared" si="70"/>
        <v>STD BY</v>
      </c>
      <c r="K433" s="30">
        <v>40</v>
      </c>
      <c r="L433" s="4"/>
      <c r="M433" s="5" t="s">
        <v>376</v>
      </c>
      <c r="N433" s="148"/>
    </row>
    <row r="434" spans="1:14" x14ac:dyDescent="0.35">
      <c r="A434" s="19"/>
      <c r="B434" s="154"/>
      <c r="C434" s="154"/>
      <c r="D434" s="10" t="s">
        <v>35</v>
      </c>
      <c r="E434" s="7">
        <f t="shared" si="68"/>
        <v>51</v>
      </c>
      <c r="F434" s="7">
        <f t="shared" si="72"/>
        <v>61</v>
      </c>
      <c r="G434" s="9" t="s">
        <v>16</v>
      </c>
      <c r="H434" s="27" t="str">
        <f t="shared" si="71"/>
        <v>STD BY</v>
      </c>
      <c r="I434" s="157"/>
      <c r="J434" s="7" t="str">
        <f t="shared" si="70"/>
        <v>STD BY</v>
      </c>
      <c r="K434" s="30">
        <v>40</v>
      </c>
      <c r="L434" s="4"/>
      <c r="M434" s="5" t="s">
        <v>376</v>
      </c>
      <c r="N434" s="149"/>
    </row>
    <row r="435" spans="1:14" ht="15" customHeight="1" x14ac:dyDescent="0.35">
      <c r="A435" s="18">
        <v>3</v>
      </c>
      <c r="B435" s="152" t="s">
        <v>56</v>
      </c>
      <c r="C435" s="152" t="s">
        <v>202</v>
      </c>
      <c r="D435" s="8" t="s">
        <v>15</v>
      </c>
      <c r="E435" s="7">
        <f t="shared" si="68"/>
        <v>71</v>
      </c>
      <c r="F435" s="7">
        <f t="shared" si="72"/>
        <v>81</v>
      </c>
      <c r="G435" s="9" t="s">
        <v>16</v>
      </c>
      <c r="H435" s="27" t="str">
        <f t="shared" si="71"/>
        <v>Normal</v>
      </c>
      <c r="I435" s="155" t="str">
        <f>IF(COUNTIF(H435:H444,"-")&gt;0,("-"),(IF(COUNTIF(H435:H444,"STD BY")&gt;0,("STD BY"),(IF(COUNTIF(H435:H444,"N/A")&gt;0,("N/A"),(IF(COUNTIF(H435:H444,"Critical")&gt;0,("Critical"),(IF(COUNTIF(H435:H444,"High")&gt;0,("High"),(IF(COUNTIF(H435:H444,"Medium")&gt;0,("Medium"),(IF(COUNTIF(H435:H444,"Low")&gt;0,("Low"),("Normal"))))))))))))))</f>
        <v>Medium</v>
      </c>
      <c r="J435" s="7">
        <f t="shared" si="70"/>
        <v>0</v>
      </c>
      <c r="K435" s="14">
        <v>60</v>
      </c>
      <c r="L435" s="4">
        <v>46225</v>
      </c>
      <c r="M435" s="5">
        <v>51</v>
      </c>
      <c r="N435" s="195" t="s">
        <v>372</v>
      </c>
    </row>
    <row r="436" spans="1:14" x14ac:dyDescent="0.35">
      <c r="A436" s="19"/>
      <c r="B436" s="153"/>
      <c r="C436" s="153"/>
      <c r="D436" s="10" t="s">
        <v>17</v>
      </c>
      <c r="E436" s="7">
        <f t="shared" si="68"/>
        <v>61</v>
      </c>
      <c r="F436" s="7">
        <f t="shared" si="72"/>
        <v>71</v>
      </c>
      <c r="G436" s="9" t="s">
        <v>16</v>
      </c>
      <c r="H436" s="27" t="str">
        <f t="shared" si="71"/>
        <v>Normal</v>
      </c>
      <c r="I436" s="156"/>
      <c r="J436" s="7">
        <f t="shared" si="70"/>
        <v>3.1000000000000014</v>
      </c>
      <c r="K436" s="14">
        <v>50</v>
      </c>
      <c r="L436" s="4">
        <v>46225</v>
      </c>
      <c r="M436" s="5">
        <v>53.1</v>
      </c>
      <c r="N436" s="195"/>
    </row>
    <row r="437" spans="1:14" x14ac:dyDescent="0.35">
      <c r="A437" s="19"/>
      <c r="B437" s="153"/>
      <c r="C437" s="153"/>
      <c r="D437" s="10" t="s">
        <v>18</v>
      </c>
      <c r="E437" s="7">
        <f t="shared" si="68"/>
        <v>61</v>
      </c>
      <c r="F437" s="7">
        <f t="shared" si="72"/>
        <v>71</v>
      </c>
      <c r="G437" s="9" t="s">
        <v>16</v>
      </c>
      <c r="H437" s="27" t="str">
        <f t="shared" si="71"/>
        <v>Normal</v>
      </c>
      <c r="I437" s="156"/>
      <c r="J437" s="7">
        <f t="shared" si="70"/>
        <v>0</v>
      </c>
      <c r="K437" s="14">
        <v>50</v>
      </c>
      <c r="L437" s="4">
        <v>46225</v>
      </c>
      <c r="M437" s="5">
        <v>40.1</v>
      </c>
      <c r="N437" s="195"/>
    </row>
    <row r="438" spans="1:14" x14ac:dyDescent="0.35">
      <c r="A438" s="19"/>
      <c r="B438" s="153"/>
      <c r="C438" s="153"/>
      <c r="D438" s="10" t="s">
        <v>192</v>
      </c>
      <c r="E438" s="7">
        <f t="shared" si="68"/>
        <v>61</v>
      </c>
      <c r="F438" s="7">
        <f t="shared" si="72"/>
        <v>71</v>
      </c>
      <c r="G438" s="9" t="s">
        <v>16</v>
      </c>
      <c r="H438" s="27" t="str">
        <f t="shared" si="71"/>
        <v>Low</v>
      </c>
      <c r="I438" s="156"/>
      <c r="J438" s="7">
        <f t="shared" si="70"/>
        <v>5</v>
      </c>
      <c r="K438" s="14">
        <v>50</v>
      </c>
      <c r="L438" s="4">
        <v>46225</v>
      </c>
      <c r="M438" s="5">
        <v>55</v>
      </c>
      <c r="N438" s="195"/>
    </row>
    <row r="439" spans="1:14" x14ac:dyDescent="0.35">
      <c r="A439" s="19"/>
      <c r="B439" s="153"/>
      <c r="C439" s="153"/>
      <c r="D439" s="10" t="s">
        <v>193</v>
      </c>
      <c r="E439" s="7">
        <f t="shared" si="68"/>
        <v>61</v>
      </c>
      <c r="F439" s="7">
        <f t="shared" si="72"/>
        <v>71</v>
      </c>
      <c r="G439" s="9" t="s">
        <v>16</v>
      </c>
      <c r="H439" s="27" t="str">
        <f t="shared" si="71"/>
        <v>Medium</v>
      </c>
      <c r="I439" s="156"/>
      <c r="J439" s="7">
        <f t="shared" si="70"/>
        <v>11</v>
      </c>
      <c r="K439" s="14">
        <v>50</v>
      </c>
      <c r="L439" s="4">
        <v>46225</v>
      </c>
      <c r="M439" s="5">
        <v>61</v>
      </c>
      <c r="N439" s="195"/>
    </row>
    <row r="440" spans="1:14" x14ac:dyDescent="0.35">
      <c r="A440" s="19"/>
      <c r="B440" s="153"/>
      <c r="C440" s="153"/>
      <c r="D440" s="10" t="s">
        <v>159</v>
      </c>
      <c r="E440" s="7">
        <f t="shared" si="68"/>
        <v>61</v>
      </c>
      <c r="F440" s="7">
        <f t="shared" si="72"/>
        <v>71</v>
      </c>
      <c r="G440" s="9" t="s">
        <v>16</v>
      </c>
      <c r="H440" s="27" t="str">
        <f t="shared" si="71"/>
        <v>Normal</v>
      </c>
      <c r="I440" s="156"/>
      <c r="J440" s="7">
        <f t="shared" si="70"/>
        <v>0</v>
      </c>
      <c r="K440" s="14">
        <v>50</v>
      </c>
      <c r="L440" s="4">
        <v>46225</v>
      </c>
      <c r="M440" s="5">
        <v>49.6</v>
      </c>
      <c r="N440" s="195"/>
    </row>
    <row r="441" spans="1:14" x14ac:dyDescent="0.35">
      <c r="A441" s="19"/>
      <c r="B441" s="153"/>
      <c r="C441" s="153"/>
      <c r="D441" s="10" t="s">
        <v>160</v>
      </c>
      <c r="E441" s="7">
        <f t="shared" si="68"/>
        <v>61</v>
      </c>
      <c r="F441" s="7">
        <f t="shared" si="72"/>
        <v>71</v>
      </c>
      <c r="G441" s="9" t="s">
        <v>16</v>
      </c>
      <c r="H441" s="27" t="str">
        <f t="shared" si="71"/>
        <v>Normal</v>
      </c>
      <c r="I441" s="156"/>
      <c r="J441" s="7">
        <f t="shared" si="70"/>
        <v>3.2999999999999972</v>
      </c>
      <c r="K441" s="14">
        <v>50</v>
      </c>
      <c r="L441" s="4">
        <v>46225</v>
      </c>
      <c r="M441" s="5">
        <v>53.3</v>
      </c>
      <c r="N441" s="195"/>
    </row>
    <row r="442" spans="1:14" x14ac:dyDescent="0.35">
      <c r="A442" s="19"/>
      <c r="B442" s="153"/>
      <c r="C442" s="153"/>
      <c r="D442" s="10" t="s">
        <v>33</v>
      </c>
      <c r="E442" s="7">
        <f>(K442+11)</f>
        <v>41</v>
      </c>
      <c r="F442" s="7">
        <f>(E442+10)</f>
        <v>51</v>
      </c>
      <c r="G442" s="9" t="s">
        <v>16</v>
      </c>
      <c r="H442" s="27" t="str">
        <f>IF(J442="",("-"),(IF(J442="STD BY",("STD BY"),(IF(J442="N/A",("N/A"),(IF(J442&lt;5,("Normal"),(IF(J442&lt;11,("Low"),(IF(J442&lt;21,("Medium"),(IF(J442&lt;41,("High"),("Critical"))))))))))))))</f>
        <v>Normal</v>
      </c>
      <c r="I442" s="156"/>
      <c r="J442" s="7">
        <f t="shared" si="70"/>
        <v>0</v>
      </c>
      <c r="K442" s="14">
        <v>30</v>
      </c>
      <c r="L442" s="4">
        <v>46225</v>
      </c>
      <c r="M442" s="5">
        <v>24</v>
      </c>
      <c r="N442" s="195"/>
    </row>
    <row r="443" spans="1:14" x14ac:dyDescent="0.35">
      <c r="A443" s="19"/>
      <c r="B443" s="153"/>
      <c r="C443" s="153"/>
      <c r="D443" s="10" t="s">
        <v>34</v>
      </c>
      <c r="E443" s="7">
        <f>(K443+11)</f>
        <v>41</v>
      </c>
      <c r="F443" s="7">
        <f>(E443+10)</f>
        <v>51</v>
      </c>
      <c r="G443" s="9" t="s">
        <v>16</v>
      </c>
      <c r="H443" s="27" t="str">
        <f>IF(J443="",("-"),(IF(J443="STD BY",("STD BY"),(IF(J443="N/A",("N/A"),(IF(J443&lt;5,("Normal"),(IF(J443&lt;11,("Low"),(IF(J443&lt;21,("Medium"),(IF(J443&lt;41,("High"),("Critical"))))))))))))))</f>
        <v>Normal</v>
      </c>
      <c r="I443" s="156"/>
      <c r="J443" s="7">
        <f t="shared" si="70"/>
        <v>0</v>
      </c>
      <c r="K443" s="14">
        <v>30</v>
      </c>
      <c r="L443" s="4">
        <v>46225</v>
      </c>
      <c r="M443" s="5">
        <v>24.1</v>
      </c>
      <c r="N443" s="195"/>
    </row>
    <row r="444" spans="1:14" x14ac:dyDescent="0.35">
      <c r="A444" s="20"/>
      <c r="B444" s="154"/>
      <c r="C444" s="154"/>
      <c r="D444" s="10" t="s">
        <v>35</v>
      </c>
      <c r="E444" s="7">
        <f t="shared" si="68"/>
        <v>41</v>
      </c>
      <c r="F444" s="7">
        <f t="shared" si="72"/>
        <v>51</v>
      </c>
      <c r="G444" s="9" t="s">
        <v>16</v>
      </c>
      <c r="H444" s="27" t="str">
        <f t="shared" si="71"/>
        <v>Normal</v>
      </c>
      <c r="I444" s="157"/>
      <c r="J444" s="7">
        <f t="shared" si="70"/>
        <v>0</v>
      </c>
      <c r="K444" s="14">
        <v>30</v>
      </c>
      <c r="L444" s="4">
        <v>46225</v>
      </c>
      <c r="M444" s="5">
        <v>24</v>
      </c>
      <c r="N444" s="195"/>
    </row>
    <row r="445" spans="1:14" ht="15" customHeight="1" x14ac:dyDescent="0.35">
      <c r="A445" s="18">
        <v>3</v>
      </c>
      <c r="B445" s="152" t="s">
        <v>57</v>
      </c>
      <c r="C445" s="152" t="s">
        <v>203</v>
      </c>
      <c r="D445" s="8" t="s">
        <v>15</v>
      </c>
      <c r="E445" s="7">
        <f t="shared" si="68"/>
        <v>71</v>
      </c>
      <c r="F445" s="7">
        <f t="shared" si="72"/>
        <v>81</v>
      </c>
      <c r="G445" s="9" t="s">
        <v>16</v>
      </c>
      <c r="H445" s="27" t="str">
        <f t="shared" si="71"/>
        <v>STD BY</v>
      </c>
      <c r="I445" s="155" t="str">
        <f>IF(COUNTIF(H445:H454,"-")&gt;0,("-"),(IF(COUNTIF(H445:H454,"STD BY")&gt;0,("STD BY"),(IF(COUNTIF(H445:H454,"N/A")&gt;0,("N/A"),(IF(COUNTIF(H445:H454,"Critical")&gt;0,("Critical"),(IF(COUNTIF(H445:H454,"High")&gt;0,("High"),(IF(COUNTIF(H445:H454,"Medium")&gt;0,("Medium"),(IF(COUNTIF(H445:H454,"Low")&gt;0,("Low"),("Normal"))))))))))))))</f>
        <v>STD BY</v>
      </c>
      <c r="J445" s="7" t="str">
        <f t="shared" si="70"/>
        <v>STD BY</v>
      </c>
      <c r="K445" s="14">
        <v>60</v>
      </c>
      <c r="L445" s="4"/>
      <c r="M445" s="5" t="s">
        <v>376</v>
      </c>
      <c r="N445" s="187" t="s">
        <v>371</v>
      </c>
    </row>
    <row r="446" spans="1:14" x14ac:dyDescent="0.35">
      <c r="A446" s="19"/>
      <c r="B446" s="153"/>
      <c r="C446" s="153"/>
      <c r="D446" s="10" t="s">
        <v>17</v>
      </c>
      <c r="E446" s="7">
        <f t="shared" si="68"/>
        <v>61</v>
      </c>
      <c r="F446" s="7">
        <f t="shared" si="72"/>
        <v>71</v>
      </c>
      <c r="G446" s="9" t="s">
        <v>16</v>
      </c>
      <c r="H446" s="27" t="str">
        <f t="shared" si="71"/>
        <v>STD BY</v>
      </c>
      <c r="I446" s="156"/>
      <c r="J446" s="7" t="str">
        <f t="shared" si="70"/>
        <v>STD BY</v>
      </c>
      <c r="K446" s="14">
        <v>50</v>
      </c>
      <c r="L446" s="4"/>
      <c r="M446" s="5" t="s">
        <v>376</v>
      </c>
      <c r="N446" s="187"/>
    </row>
    <row r="447" spans="1:14" x14ac:dyDescent="0.35">
      <c r="A447" s="19"/>
      <c r="B447" s="153"/>
      <c r="C447" s="153"/>
      <c r="D447" s="10" t="s">
        <v>18</v>
      </c>
      <c r="E447" s="7">
        <f t="shared" si="68"/>
        <v>61</v>
      </c>
      <c r="F447" s="7">
        <f t="shared" si="72"/>
        <v>71</v>
      </c>
      <c r="G447" s="9" t="s">
        <v>16</v>
      </c>
      <c r="H447" s="27" t="str">
        <f t="shared" si="71"/>
        <v>STD BY</v>
      </c>
      <c r="I447" s="156"/>
      <c r="J447" s="7" t="str">
        <f t="shared" si="70"/>
        <v>STD BY</v>
      </c>
      <c r="K447" s="14">
        <v>50</v>
      </c>
      <c r="L447" s="4"/>
      <c r="M447" s="5" t="s">
        <v>376</v>
      </c>
      <c r="N447" s="187"/>
    </row>
    <row r="448" spans="1:14" x14ac:dyDescent="0.35">
      <c r="A448" s="19"/>
      <c r="B448" s="153"/>
      <c r="C448" s="153"/>
      <c r="D448" s="10" t="s">
        <v>192</v>
      </c>
      <c r="E448" s="7">
        <f t="shared" si="68"/>
        <v>61</v>
      </c>
      <c r="F448" s="7">
        <f t="shared" si="72"/>
        <v>71</v>
      </c>
      <c r="G448" s="9" t="s">
        <v>16</v>
      </c>
      <c r="H448" s="27" t="str">
        <f t="shared" si="71"/>
        <v>STD BY</v>
      </c>
      <c r="I448" s="156"/>
      <c r="J448" s="7" t="str">
        <f t="shared" si="70"/>
        <v>STD BY</v>
      </c>
      <c r="K448" s="14">
        <v>50</v>
      </c>
      <c r="L448" s="4"/>
      <c r="M448" s="5" t="s">
        <v>376</v>
      </c>
      <c r="N448" s="187"/>
    </row>
    <row r="449" spans="1:14" x14ac:dyDescent="0.35">
      <c r="A449" s="19"/>
      <c r="B449" s="153"/>
      <c r="C449" s="153"/>
      <c r="D449" s="10" t="s">
        <v>193</v>
      </c>
      <c r="E449" s="7">
        <f t="shared" si="68"/>
        <v>61</v>
      </c>
      <c r="F449" s="7">
        <f t="shared" si="72"/>
        <v>71</v>
      </c>
      <c r="G449" s="9" t="s">
        <v>16</v>
      </c>
      <c r="H449" s="27" t="str">
        <f t="shared" si="71"/>
        <v>STD BY</v>
      </c>
      <c r="I449" s="156"/>
      <c r="J449" s="7" t="str">
        <f t="shared" si="70"/>
        <v>STD BY</v>
      </c>
      <c r="K449" s="14">
        <v>50</v>
      </c>
      <c r="L449" s="4"/>
      <c r="M449" s="5" t="s">
        <v>376</v>
      </c>
      <c r="N449" s="187"/>
    </row>
    <row r="450" spans="1:14" x14ac:dyDescent="0.35">
      <c r="A450" s="19"/>
      <c r="B450" s="153"/>
      <c r="C450" s="153"/>
      <c r="D450" s="10" t="s">
        <v>159</v>
      </c>
      <c r="E450" s="7">
        <f>(K450+11)</f>
        <v>61</v>
      </c>
      <c r="F450" s="7">
        <f>(E450+10)</f>
        <v>71</v>
      </c>
      <c r="G450" s="9" t="s">
        <v>16</v>
      </c>
      <c r="H450" s="27" t="str">
        <f>IF(J450="",("-"),(IF(J450="STD BY",("STD BY"),(IF(J450="N/A",("N/A"),(IF(J450&lt;5,("Normal"),(IF(J450&lt;11,("Low"),(IF(J450&lt;21,("Medium"),(IF(J450&lt;41,("High"),("Critical"))))))))))))))</f>
        <v>STD BY</v>
      </c>
      <c r="I450" s="156"/>
      <c r="J450" s="7" t="str">
        <f t="shared" si="70"/>
        <v>STD BY</v>
      </c>
      <c r="K450" s="14">
        <v>50</v>
      </c>
      <c r="L450" s="4"/>
      <c r="M450" s="5" t="s">
        <v>376</v>
      </c>
      <c r="N450" s="187"/>
    </row>
    <row r="451" spans="1:14" x14ac:dyDescent="0.35">
      <c r="A451" s="19"/>
      <c r="B451" s="153"/>
      <c r="C451" s="153"/>
      <c r="D451" s="10" t="s">
        <v>160</v>
      </c>
      <c r="E451" s="7">
        <f>(K451+11)</f>
        <v>61</v>
      </c>
      <c r="F451" s="7">
        <f>(E451+10)</f>
        <v>71</v>
      </c>
      <c r="G451" s="9" t="s">
        <v>16</v>
      </c>
      <c r="H451" s="27" t="str">
        <f>IF(J451="",("-"),(IF(J451="STD BY",("STD BY"),(IF(J451="N/A",("N/A"),(IF(J451&lt;5,("Normal"),(IF(J451&lt;11,("Low"),(IF(J451&lt;21,("Medium"),(IF(J451&lt;41,("High"),("Critical"))))))))))))))</f>
        <v>STD BY</v>
      </c>
      <c r="I451" s="156"/>
      <c r="J451" s="7" t="str">
        <f t="shared" si="70"/>
        <v>STD BY</v>
      </c>
      <c r="K451" s="14">
        <v>50</v>
      </c>
      <c r="L451" s="4"/>
      <c r="M451" s="5" t="s">
        <v>376</v>
      </c>
      <c r="N451" s="187"/>
    </row>
    <row r="452" spans="1:14" x14ac:dyDescent="0.35">
      <c r="A452" s="19"/>
      <c r="B452" s="153"/>
      <c r="C452" s="153"/>
      <c r="D452" s="10" t="s">
        <v>33</v>
      </c>
      <c r="E452" s="7">
        <f>(K452+11)</f>
        <v>41</v>
      </c>
      <c r="F452" s="7">
        <f>(E452+10)</f>
        <v>51</v>
      </c>
      <c r="G452" s="9" t="s">
        <v>16</v>
      </c>
      <c r="H452" s="27" t="str">
        <f>IF(J452="",("-"),(IF(J452="STD BY",("STD BY"),(IF(J452="N/A",("N/A"),(IF(J452&lt;5,("Normal"),(IF(J452&lt;11,("Low"),(IF(J452&lt;21,("Medium"),(IF(J452&lt;41,("High"),("Critical"))))))))))))))</f>
        <v>STD BY</v>
      </c>
      <c r="I452" s="156"/>
      <c r="J452" s="7" t="str">
        <f t="shared" si="70"/>
        <v>STD BY</v>
      </c>
      <c r="K452" s="14">
        <v>30</v>
      </c>
      <c r="L452" s="4"/>
      <c r="M452" s="5" t="s">
        <v>376</v>
      </c>
      <c r="N452" s="187"/>
    </row>
    <row r="453" spans="1:14" x14ac:dyDescent="0.35">
      <c r="A453" s="19"/>
      <c r="B453" s="153"/>
      <c r="C453" s="153"/>
      <c r="D453" s="10" t="s">
        <v>34</v>
      </c>
      <c r="E453" s="7">
        <f t="shared" si="68"/>
        <v>41</v>
      </c>
      <c r="F453" s="7">
        <f t="shared" si="72"/>
        <v>51</v>
      </c>
      <c r="G453" s="9" t="s">
        <v>16</v>
      </c>
      <c r="H453" s="27" t="str">
        <f t="shared" si="71"/>
        <v>STD BY</v>
      </c>
      <c r="I453" s="156"/>
      <c r="J453" s="7" t="str">
        <f t="shared" si="70"/>
        <v>STD BY</v>
      </c>
      <c r="K453" s="14">
        <v>30</v>
      </c>
      <c r="L453" s="4"/>
      <c r="M453" s="5" t="s">
        <v>376</v>
      </c>
      <c r="N453" s="187"/>
    </row>
    <row r="454" spans="1:14" x14ac:dyDescent="0.35">
      <c r="A454" s="19"/>
      <c r="B454" s="154"/>
      <c r="C454" s="154"/>
      <c r="D454" s="10" t="s">
        <v>35</v>
      </c>
      <c r="E454" s="7">
        <f t="shared" si="68"/>
        <v>41</v>
      </c>
      <c r="F454" s="7">
        <f t="shared" si="72"/>
        <v>51</v>
      </c>
      <c r="G454" s="9" t="s">
        <v>16</v>
      </c>
      <c r="H454" s="27" t="str">
        <f t="shared" si="71"/>
        <v>STD BY</v>
      </c>
      <c r="I454" s="157"/>
      <c r="J454" s="7" t="str">
        <f t="shared" si="70"/>
        <v>STD BY</v>
      </c>
      <c r="K454" s="14">
        <v>30</v>
      </c>
      <c r="L454" s="4"/>
      <c r="M454" s="5" t="s">
        <v>376</v>
      </c>
      <c r="N454" s="187"/>
    </row>
    <row r="455" spans="1:14" ht="15" customHeight="1" x14ac:dyDescent="0.35">
      <c r="A455" s="18">
        <v>3</v>
      </c>
      <c r="B455" s="152" t="s">
        <v>58</v>
      </c>
      <c r="C455" s="152" t="s">
        <v>204</v>
      </c>
      <c r="D455" s="8" t="s">
        <v>15</v>
      </c>
      <c r="E455" s="7">
        <f t="shared" si="68"/>
        <v>71</v>
      </c>
      <c r="F455" s="7">
        <f t="shared" si="72"/>
        <v>81</v>
      </c>
      <c r="G455" s="9" t="s">
        <v>16</v>
      </c>
      <c r="H455" s="27" t="str">
        <f t="shared" si="71"/>
        <v>Normal</v>
      </c>
      <c r="I455" s="155" t="str">
        <f>IF(COUNTIF(H455:H463,"-")&gt;0,("-"),(IF(COUNTIF(H455:H463,"STD BY")&gt;0,("STD BY"),(IF(COUNTIF(H455:H463,"N/A")&gt;0,("N/A"),(IF(COUNTIF(H455:H463,"Critical")&gt;0,("Critical"),(IF(COUNTIF(H455:H463,"High")&gt;0,("High"),(IF(COUNTIF(H455:H463,"Medium")&gt;0,("Medium"),(IF(COUNTIF(H455:H463,"Low")&gt;0,("Low"),("Normal"))))))))))))))</f>
        <v>Normal</v>
      </c>
      <c r="J455" s="7">
        <f t="shared" si="70"/>
        <v>0</v>
      </c>
      <c r="K455" s="14">
        <v>60</v>
      </c>
      <c r="L455" s="31">
        <v>46234</v>
      </c>
      <c r="M455" s="5">
        <v>50.9</v>
      </c>
      <c r="N455" s="187" t="s">
        <v>372</v>
      </c>
    </row>
    <row r="456" spans="1:14" x14ac:dyDescent="0.35">
      <c r="A456" s="19"/>
      <c r="B456" s="153"/>
      <c r="C456" s="153"/>
      <c r="D456" s="10" t="s">
        <v>17</v>
      </c>
      <c r="E456" s="7">
        <f t="shared" si="68"/>
        <v>66</v>
      </c>
      <c r="F456" s="7">
        <f t="shared" si="72"/>
        <v>76</v>
      </c>
      <c r="G456" s="9" t="s">
        <v>16</v>
      </c>
      <c r="H456" s="27" t="str">
        <f t="shared" si="71"/>
        <v>Normal</v>
      </c>
      <c r="I456" s="156"/>
      <c r="J456" s="7">
        <f t="shared" si="70"/>
        <v>0</v>
      </c>
      <c r="K456" s="14">
        <v>55</v>
      </c>
      <c r="L456" s="31">
        <v>46234</v>
      </c>
      <c r="M456" s="5">
        <v>37.700000000000003</v>
      </c>
      <c r="N456" s="187"/>
    </row>
    <row r="457" spans="1:14" x14ac:dyDescent="0.35">
      <c r="A457" s="19"/>
      <c r="B457" s="153"/>
      <c r="C457" s="153"/>
      <c r="D457" s="10" t="s">
        <v>18</v>
      </c>
      <c r="E457" s="7">
        <f t="shared" si="68"/>
        <v>71</v>
      </c>
      <c r="F457" s="7">
        <f t="shared" si="72"/>
        <v>81</v>
      </c>
      <c r="G457" s="9" t="s">
        <v>16</v>
      </c>
      <c r="H457" s="27" t="str">
        <f t="shared" si="71"/>
        <v>Normal</v>
      </c>
      <c r="I457" s="156"/>
      <c r="J457" s="7">
        <f t="shared" si="70"/>
        <v>0</v>
      </c>
      <c r="K457" s="14">
        <v>60</v>
      </c>
      <c r="L457" s="31">
        <v>46234</v>
      </c>
      <c r="M457" s="5">
        <v>52.9</v>
      </c>
      <c r="N457" s="187"/>
    </row>
    <row r="458" spans="1:14" x14ac:dyDescent="0.35">
      <c r="A458" s="19"/>
      <c r="B458" s="153"/>
      <c r="C458" s="153"/>
      <c r="D458" s="10" t="s">
        <v>19</v>
      </c>
      <c r="E458" s="7">
        <f t="shared" si="68"/>
        <v>51</v>
      </c>
      <c r="F458" s="7">
        <f t="shared" si="72"/>
        <v>61</v>
      </c>
      <c r="G458" s="9" t="s">
        <v>16</v>
      </c>
      <c r="H458" s="27" t="str">
        <f t="shared" si="71"/>
        <v>Normal</v>
      </c>
      <c r="I458" s="156"/>
      <c r="J458" s="7">
        <f t="shared" si="70"/>
        <v>0</v>
      </c>
      <c r="K458" s="14">
        <v>40</v>
      </c>
      <c r="L458" s="31">
        <v>46234</v>
      </c>
      <c r="M458" s="5">
        <v>33.700000000000003</v>
      </c>
      <c r="N458" s="187"/>
    </row>
    <row r="459" spans="1:14" x14ac:dyDescent="0.35">
      <c r="A459" s="19"/>
      <c r="B459" s="153"/>
      <c r="C459" s="153"/>
      <c r="D459" s="10" t="s">
        <v>22</v>
      </c>
      <c r="E459" s="7">
        <f t="shared" si="68"/>
        <v>51</v>
      </c>
      <c r="F459" s="7">
        <f t="shared" si="72"/>
        <v>61</v>
      </c>
      <c r="G459" s="9" t="s">
        <v>16</v>
      </c>
      <c r="H459" s="27" t="str">
        <f t="shared" si="71"/>
        <v>Normal</v>
      </c>
      <c r="I459" s="156"/>
      <c r="J459" s="7">
        <f t="shared" si="70"/>
        <v>0</v>
      </c>
      <c r="K459" s="14">
        <v>40</v>
      </c>
      <c r="L459" s="31">
        <v>46234</v>
      </c>
      <c r="M459" s="5">
        <v>32.9</v>
      </c>
      <c r="N459" s="187"/>
    </row>
    <row r="460" spans="1:14" x14ac:dyDescent="0.35">
      <c r="A460" s="19"/>
      <c r="B460" s="153"/>
      <c r="C460" s="153"/>
      <c r="D460" s="10" t="s">
        <v>156</v>
      </c>
      <c r="E460" s="7">
        <f t="shared" si="68"/>
        <v>76</v>
      </c>
      <c r="F460" s="7">
        <f t="shared" si="72"/>
        <v>86</v>
      </c>
      <c r="G460" s="9" t="s">
        <v>16</v>
      </c>
      <c r="H460" s="27" t="str">
        <f t="shared" si="71"/>
        <v>Normal</v>
      </c>
      <c r="I460" s="156"/>
      <c r="J460" s="7">
        <f t="shared" si="70"/>
        <v>3.5999999999999943</v>
      </c>
      <c r="K460" s="14">
        <v>65</v>
      </c>
      <c r="L460" s="31">
        <v>46234</v>
      </c>
      <c r="M460" s="5">
        <v>68.599999999999994</v>
      </c>
      <c r="N460" s="187"/>
    </row>
    <row r="461" spans="1:14" x14ac:dyDescent="0.35">
      <c r="A461" s="19"/>
      <c r="B461" s="153"/>
      <c r="C461" s="153"/>
      <c r="D461" s="10" t="s">
        <v>33</v>
      </c>
      <c r="E461" s="7">
        <f t="shared" si="68"/>
        <v>51</v>
      </c>
      <c r="F461" s="7">
        <f t="shared" si="72"/>
        <v>61</v>
      </c>
      <c r="G461" s="9" t="s">
        <v>16</v>
      </c>
      <c r="H461" s="27" t="str">
        <f t="shared" si="71"/>
        <v>Normal</v>
      </c>
      <c r="I461" s="156"/>
      <c r="J461" s="7">
        <f t="shared" si="70"/>
        <v>0</v>
      </c>
      <c r="K461" s="14">
        <v>40</v>
      </c>
      <c r="L461" s="31">
        <v>46234</v>
      </c>
      <c r="M461" s="5">
        <v>32.200000000000003</v>
      </c>
      <c r="N461" s="187"/>
    </row>
    <row r="462" spans="1:14" x14ac:dyDescent="0.35">
      <c r="A462" s="19"/>
      <c r="B462" s="153"/>
      <c r="C462" s="153"/>
      <c r="D462" s="10" t="s">
        <v>34</v>
      </c>
      <c r="E462" s="7">
        <f t="shared" si="68"/>
        <v>51</v>
      </c>
      <c r="F462" s="7">
        <f t="shared" si="72"/>
        <v>61</v>
      </c>
      <c r="G462" s="9" t="s">
        <v>16</v>
      </c>
      <c r="H462" s="27" t="str">
        <f t="shared" si="71"/>
        <v>Normal</v>
      </c>
      <c r="I462" s="156"/>
      <c r="J462" s="7">
        <f t="shared" si="70"/>
        <v>0</v>
      </c>
      <c r="K462" s="14">
        <v>40</v>
      </c>
      <c r="L462" s="31">
        <v>46234</v>
      </c>
      <c r="M462" s="5">
        <v>35.1</v>
      </c>
      <c r="N462" s="187"/>
    </row>
    <row r="463" spans="1:14" x14ac:dyDescent="0.35">
      <c r="A463" s="19"/>
      <c r="B463" s="154"/>
      <c r="C463" s="154"/>
      <c r="D463" s="10" t="s">
        <v>35</v>
      </c>
      <c r="E463" s="7">
        <f t="shared" si="68"/>
        <v>51</v>
      </c>
      <c r="F463" s="7">
        <f t="shared" si="72"/>
        <v>61</v>
      </c>
      <c r="G463" s="9" t="s">
        <v>16</v>
      </c>
      <c r="H463" s="27" t="str">
        <f t="shared" si="71"/>
        <v>Normal</v>
      </c>
      <c r="I463" s="157"/>
      <c r="J463" s="7">
        <f t="shared" si="70"/>
        <v>0</v>
      </c>
      <c r="K463" s="14">
        <v>40</v>
      </c>
      <c r="L463" s="31">
        <v>46234</v>
      </c>
      <c r="M463" s="5">
        <v>32.1</v>
      </c>
      <c r="N463" s="187"/>
    </row>
    <row r="464" spans="1:14" ht="15" customHeight="1" x14ac:dyDescent="0.35">
      <c r="A464" s="42">
        <v>3</v>
      </c>
      <c r="B464" s="152" t="s">
        <v>59</v>
      </c>
      <c r="C464" s="163" t="s">
        <v>205</v>
      </c>
      <c r="D464" s="12" t="s">
        <v>15</v>
      </c>
      <c r="E464" s="7">
        <f t="shared" si="68"/>
        <v>71</v>
      </c>
      <c r="F464" s="7">
        <f t="shared" si="72"/>
        <v>81</v>
      </c>
      <c r="G464" s="27" t="s">
        <v>16</v>
      </c>
      <c r="H464" s="27" t="str">
        <f t="shared" si="71"/>
        <v>Normal</v>
      </c>
      <c r="I464" s="155" t="str">
        <f>IF(COUNTIF(H464:H472,"-")&gt;0,("-"),(IF(COUNTIF(H464:H472,"STD BY")&gt;0,("STD BY"),(IF(COUNTIF(H464:H472,"N/A")&gt;0,("N/A"),(IF(COUNTIF(H464:H472,"Critical")&gt;0,("Critical"),(IF(COUNTIF(H464:H472,"High")&gt;0,("High"),(IF(COUNTIF(H464:H472,"Medium")&gt;0,("Medium"),(IF(COUNTIF(H464:H472,"Low")&gt;0,("Low"),("Normal"))))))))))))))</f>
        <v>Medium</v>
      </c>
      <c r="J464" s="7">
        <f t="shared" si="70"/>
        <v>0</v>
      </c>
      <c r="K464" s="14">
        <v>60</v>
      </c>
      <c r="L464" s="4">
        <v>46234</v>
      </c>
      <c r="M464" s="5">
        <v>52.8</v>
      </c>
      <c r="N464" s="187" t="s">
        <v>372</v>
      </c>
    </row>
    <row r="465" spans="1:14" x14ac:dyDescent="0.35">
      <c r="A465" s="21"/>
      <c r="B465" s="153"/>
      <c r="C465" s="164"/>
      <c r="D465" s="13" t="s">
        <v>17</v>
      </c>
      <c r="E465" s="7">
        <f t="shared" si="68"/>
        <v>66</v>
      </c>
      <c r="F465" s="7">
        <f t="shared" si="72"/>
        <v>76</v>
      </c>
      <c r="G465" s="27" t="s">
        <v>16</v>
      </c>
      <c r="H465" s="27" t="str">
        <f t="shared" si="71"/>
        <v>Normal</v>
      </c>
      <c r="I465" s="156"/>
      <c r="J465" s="7">
        <f t="shared" si="70"/>
        <v>0</v>
      </c>
      <c r="K465" s="14">
        <v>55</v>
      </c>
      <c r="L465" s="4">
        <v>46234</v>
      </c>
      <c r="M465" s="5">
        <v>40.6</v>
      </c>
      <c r="N465" s="187"/>
    </row>
    <row r="466" spans="1:14" x14ac:dyDescent="0.35">
      <c r="A466" s="21"/>
      <c r="B466" s="153"/>
      <c r="C466" s="164"/>
      <c r="D466" s="13" t="s">
        <v>18</v>
      </c>
      <c r="E466" s="7">
        <f t="shared" si="68"/>
        <v>71</v>
      </c>
      <c r="F466" s="7">
        <f t="shared" si="72"/>
        <v>81</v>
      </c>
      <c r="G466" s="27" t="s">
        <v>16</v>
      </c>
      <c r="H466" s="27" t="str">
        <f t="shared" si="71"/>
        <v>Normal</v>
      </c>
      <c r="I466" s="156"/>
      <c r="J466" s="7">
        <f t="shared" si="70"/>
        <v>0</v>
      </c>
      <c r="K466" s="14">
        <v>60</v>
      </c>
      <c r="L466" s="4">
        <v>46234</v>
      </c>
      <c r="M466" s="5">
        <v>55.3</v>
      </c>
      <c r="N466" s="187"/>
    </row>
    <row r="467" spans="1:14" x14ac:dyDescent="0.35">
      <c r="A467" s="21"/>
      <c r="B467" s="153"/>
      <c r="C467" s="164"/>
      <c r="D467" s="13" t="s">
        <v>19</v>
      </c>
      <c r="E467" s="7">
        <f t="shared" si="68"/>
        <v>51</v>
      </c>
      <c r="F467" s="7">
        <f t="shared" si="72"/>
        <v>61</v>
      </c>
      <c r="G467" s="27" t="s">
        <v>16</v>
      </c>
      <c r="H467" s="27" t="str">
        <f t="shared" si="71"/>
        <v>Normal</v>
      </c>
      <c r="I467" s="156"/>
      <c r="J467" s="7">
        <f t="shared" si="70"/>
        <v>0</v>
      </c>
      <c r="K467" s="14">
        <v>40</v>
      </c>
      <c r="L467" s="4">
        <v>46234</v>
      </c>
      <c r="M467" s="5">
        <v>33.299999999999997</v>
      </c>
      <c r="N467" s="187"/>
    </row>
    <row r="468" spans="1:14" x14ac:dyDescent="0.35">
      <c r="A468" s="21"/>
      <c r="B468" s="153"/>
      <c r="C468" s="164"/>
      <c r="D468" s="13" t="s">
        <v>22</v>
      </c>
      <c r="E468" s="7">
        <f t="shared" si="68"/>
        <v>51</v>
      </c>
      <c r="F468" s="7">
        <f t="shared" si="72"/>
        <v>61</v>
      </c>
      <c r="G468" s="27" t="s">
        <v>16</v>
      </c>
      <c r="H468" s="27" t="str">
        <f t="shared" si="71"/>
        <v>Normal</v>
      </c>
      <c r="I468" s="156"/>
      <c r="J468" s="7">
        <f t="shared" si="70"/>
        <v>0</v>
      </c>
      <c r="K468" s="14">
        <v>40</v>
      </c>
      <c r="L468" s="4">
        <v>46234</v>
      </c>
      <c r="M468" s="5">
        <v>31.5</v>
      </c>
      <c r="N468" s="187"/>
    </row>
    <row r="469" spans="1:14" x14ac:dyDescent="0.35">
      <c r="A469" s="21"/>
      <c r="B469" s="153"/>
      <c r="C469" s="164"/>
      <c r="D469" s="10" t="s">
        <v>156</v>
      </c>
      <c r="E469" s="7">
        <f t="shared" si="68"/>
        <v>76</v>
      </c>
      <c r="F469" s="7">
        <f t="shared" si="72"/>
        <v>86</v>
      </c>
      <c r="G469" s="27" t="s">
        <v>16</v>
      </c>
      <c r="H469" s="27" t="str">
        <f t="shared" si="71"/>
        <v>Medium</v>
      </c>
      <c r="I469" s="156"/>
      <c r="J469" s="7">
        <f t="shared" si="70"/>
        <v>12.299999999999997</v>
      </c>
      <c r="K469" s="14">
        <v>65</v>
      </c>
      <c r="L469" s="4">
        <v>46234</v>
      </c>
      <c r="M469" s="5">
        <v>77.3</v>
      </c>
      <c r="N469" s="187"/>
    </row>
    <row r="470" spans="1:14" x14ac:dyDescent="0.35">
      <c r="A470" s="21"/>
      <c r="B470" s="153"/>
      <c r="C470" s="164"/>
      <c r="D470" s="13" t="s">
        <v>33</v>
      </c>
      <c r="E470" s="7">
        <f t="shared" si="68"/>
        <v>51</v>
      </c>
      <c r="F470" s="7">
        <f t="shared" si="72"/>
        <v>61</v>
      </c>
      <c r="G470" s="27" t="s">
        <v>16</v>
      </c>
      <c r="H470" s="27" t="str">
        <f t="shared" si="71"/>
        <v>Medium</v>
      </c>
      <c r="I470" s="156"/>
      <c r="J470" s="7">
        <f t="shared" si="70"/>
        <v>14.5</v>
      </c>
      <c r="K470" s="14">
        <v>40</v>
      </c>
      <c r="L470" s="4">
        <v>46234</v>
      </c>
      <c r="M470" s="5">
        <v>54.5</v>
      </c>
      <c r="N470" s="187"/>
    </row>
    <row r="471" spans="1:14" x14ac:dyDescent="0.35">
      <c r="A471" s="21"/>
      <c r="B471" s="153"/>
      <c r="C471" s="164"/>
      <c r="D471" s="13" t="s">
        <v>34</v>
      </c>
      <c r="E471" s="7">
        <f t="shared" si="68"/>
        <v>51</v>
      </c>
      <c r="F471" s="7">
        <f t="shared" si="72"/>
        <v>61</v>
      </c>
      <c r="G471" s="27" t="s">
        <v>16</v>
      </c>
      <c r="H471" s="27" t="str">
        <f t="shared" si="71"/>
        <v>Low</v>
      </c>
      <c r="I471" s="156"/>
      <c r="J471" s="7">
        <f t="shared" si="70"/>
        <v>5.2999999999999972</v>
      </c>
      <c r="K471" s="14">
        <v>40</v>
      </c>
      <c r="L471" s="4">
        <v>46234</v>
      </c>
      <c r="M471" s="5">
        <v>45.3</v>
      </c>
      <c r="N471" s="187"/>
    </row>
    <row r="472" spans="1:14" x14ac:dyDescent="0.35">
      <c r="A472" s="22"/>
      <c r="B472" s="154"/>
      <c r="C472" s="165"/>
      <c r="D472" s="13" t="s">
        <v>35</v>
      </c>
      <c r="E472" s="7">
        <f t="shared" si="68"/>
        <v>51</v>
      </c>
      <c r="F472" s="7">
        <f t="shared" si="72"/>
        <v>61</v>
      </c>
      <c r="G472" s="27" t="s">
        <v>16</v>
      </c>
      <c r="H472" s="27" t="str">
        <f t="shared" si="71"/>
        <v>Low</v>
      </c>
      <c r="I472" s="157"/>
      <c r="J472" s="7">
        <f t="shared" si="70"/>
        <v>8.2999999999999972</v>
      </c>
      <c r="K472" s="14">
        <v>40</v>
      </c>
      <c r="L472" s="4">
        <v>46234</v>
      </c>
      <c r="M472" s="5">
        <v>48.3</v>
      </c>
      <c r="N472" s="187"/>
    </row>
    <row r="473" spans="1:14" ht="15" customHeight="1" x14ac:dyDescent="0.35">
      <c r="A473" s="18">
        <v>3</v>
      </c>
      <c r="B473" s="152" t="s">
        <v>60</v>
      </c>
      <c r="C473" s="152" t="s">
        <v>206</v>
      </c>
      <c r="D473" s="8" t="s">
        <v>15</v>
      </c>
      <c r="E473" s="7">
        <f t="shared" si="68"/>
        <v>71</v>
      </c>
      <c r="F473" s="7">
        <f t="shared" si="72"/>
        <v>81</v>
      </c>
      <c r="G473" s="9" t="s">
        <v>16</v>
      </c>
      <c r="H473" s="27" t="str">
        <f t="shared" si="71"/>
        <v>Normal</v>
      </c>
      <c r="I473" s="155" t="str">
        <f>IF(COUNTIF(H473:H480,"-")&gt;0,("-"),(IF(COUNTIF(H473:H480,"STD BY")&gt;0,("STD BY"),(IF(COUNTIF(H473:H480,"N/A")&gt;0,("N/A"),(IF(COUNTIF(H473:H480,"Critical")&gt;0,("Critical"),(IF(COUNTIF(H473:H480,"High")&gt;0,("High"),(IF(COUNTIF(H473:H480,"Medium")&gt;0,("Medium"),(IF(COUNTIF(H473:H480,"Low")&gt;0,("Low"),("Normal"))))))))))))))</f>
        <v>Normal</v>
      </c>
      <c r="J473" s="7">
        <f t="shared" si="70"/>
        <v>0.20000000000000284</v>
      </c>
      <c r="K473" s="14">
        <v>60</v>
      </c>
      <c r="L473" s="4">
        <v>46225</v>
      </c>
      <c r="M473" s="5">
        <v>60.2</v>
      </c>
      <c r="N473" s="192" t="s">
        <v>372</v>
      </c>
    </row>
    <row r="474" spans="1:14" x14ac:dyDescent="0.35">
      <c r="A474" s="19"/>
      <c r="B474" s="153"/>
      <c r="C474" s="153"/>
      <c r="D474" s="10" t="s">
        <v>17</v>
      </c>
      <c r="E474" s="7">
        <f t="shared" si="68"/>
        <v>61</v>
      </c>
      <c r="F474" s="7">
        <f t="shared" si="72"/>
        <v>71</v>
      </c>
      <c r="G474" s="9" t="s">
        <v>16</v>
      </c>
      <c r="H474" s="27" t="str">
        <f t="shared" si="71"/>
        <v>Normal</v>
      </c>
      <c r="I474" s="156"/>
      <c r="J474" s="7">
        <f t="shared" si="70"/>
        <v>0</v>
      </c>
      <c r="K474" s="14">
        <v>50</v>
      </c>
      <c r="L474" s="4">
        <v>46225</v>
      </c>
      <c r="M474" s="5">
        <v>48.2</v>
      </c>
      <c r="N474" s="193"/>
    </row>
    <row r="475" spans="1:14" x14ac:dyDescent="0.35">
      <c r="A475" s="19"/>
      <c r="B475" s="153"/>
      <c r="C475" s="153"/>
      <c r="D475" s="10" t="s">
        <v>18</v>
      </c>
      <c r="E475" s="7">
        <f t="shared" ref="E475:E488" si="73">(K475+11)</f>
        <v>61</v>
      </c>
      <c r="F475" s="7">
        <f t="shared" si="72"/>
        <v>71</v>
      </c>
      <c r="G475" s="9" t="s">
        <v>16</v>
      </c>
      <c r="H475" s="27" t="str">
        <f t="shared" si="71"/>
        <v>Normal</v>
      </c>
      <c r="I475" s="156"/>
      <c r="J475" s="7">
        <f>IF(M475="",(""),(IF(M475="STD BY",("STD BY"),(IF(M475="N/A",("N/A"),(IF(M475-K475&gt;0,(M475-K475),(0))))))))</f>
        <v>0</v>
      </c>
      <c r="K475" s="14">
        <v>50</v>
      </c>
      <c r="L475" s="4">
        <v>46225</v>
      </c>
      <c r="M475" s="5">
        <v>49.4</v>
      </c>
      <c r="N475" s="193"/>
    </row>
    <row r="476" spans="1:14" x14ac:dyDescent="0.35">
      <c r="A476" s="19"/>
      <c r="B476" s="153"/>
      <c r="C476" s="153"/>
      <c r="D476" s="10" t="s">
        <v>25</v>
      </c>
      <c r="E476" s="7">
        <f t="shared" si="73"/>
        <v>56</v>
      </c>
      <c r="F476" s="7">
        <f t="shared" si="72"/>
        <v>66</v>
      </c>
      <c r="G476" s="9" t="s">
        <v>16</v>
      </c>
      <c r="H476" s="27" t="str">
        <f t="shared" si="71"/>
        <v>Normal</v>
      </c>
      <c r="I476" s="156"/>
      <c r="J476" s="7">
        <f>IF(M476="",(""),(IF(M476="STD BY",("STD BY"),(IF(M476="N/A",("N/A"),(IF(M476-K476&gt;0,(M476-K476),(0))))))))</f>
        <v>2.7000000000000028</v>
      </c>
      <c r="K476" s="14">
        <v>45</v>
      </c>
      <c r="L476" s="4">
        <v>46225</v>
      </c>
      <c r="M476" s="5">
        <v>47.7</v>
      </c>
      <c r="N476" s="193"/>
    </row>
    <row r="477" spans="1:14" x14ac:dyDescent="0.35">
      <c r="A477" s="19"/>
      <c r="B477" s="153"/>
      <c r="C477" s="153"/>
      <c r="D477" s="10" t="s">
        <v>156</v>
      </c>
      <c r="E477" s="7">
        <f t="shared" si="73"/>
        <v>71</v>
      </c>
      <c r="F477" s="7">
        <f t="shared" si="72"/>
        <v>81</v>
      </c>
      <c r="G477" s="9" t="s">
        <v>16</v>
      </c>
      <c r="H477" s="27" t="str">
        <f>IF(J477="",("-"),(IF(J477="STD BY",("STD BY"),(IF(J477="N/A",("N/A"),(IF(J477&lt;5,("Normal"),(IF(J477&lt;11,("Low"),(IF(J477&lt;21,("Medium"),(IF(J477&lt;41,("High"),("Critical"))))))))))))))</f>
        <v>Normal</v>
      </c>
      <c r="I477" s="156"/>
      <c r="J477" s="7">
        <f t="shared" ref="J477:J558" si="74">IF(M477="",(""),(IF(M477="STD BY",("STD BY"),(IF(M477="N/A",("N/A"),(IF(M477-K477&gt;0,(M477-K477),(0))))))))</f>
        <v>0</v>
      </c>
      <c r="K477" s="14">
        <v>60</v>
      </c>
      <c r="L477" s="4">
        <v>46225</v>
      </c>
      <c r="M477" s="5">
        <v>58.5</v>
      </c>
      <c r="N477" s="193"/>
    </row>
    <row r="478" spans="1:14" x14ac:dyDescent="0.35">
      <c r="A478" s="19"/>
      <c r="B478" s="153"/>
      <c r="C478" s="153"/>
      <c r="D478" s="10" t="s">
        <v>33</v>
      </c>
      <c r="E478" s="7">
        <f t="shared" si="73"/>
        <v>41</v>
      </c>
      <c r="F478" s="7">
        <f t="shared" si="72"/>
        <v>51</v>
      </c>
      <c r="G478" s="9" t="s">
        <v>16</v>
      </c>
      <c r="H478" s="27" t="str">
        <f t="shared" si="71"/>
        <v>Normal</v>
      </c>
      <c r="I478" s="156"/>
      <c r="J478" s="7">
        <f t="shared" si="74"/>
        <v>3.5</v>
      </c>
      <c r="K478" s="14">
        <v>30</v>
      </c>
      <c r="L478" s="4">
        <v>46225</v>
      </c>
      <c r="M478" s="5">
        <v>33.5</v>
      </c>
      <c r="N478" s="193"/>
    </row>
    <row r="479" spans="1:14" x14ac:dyDescent="0.35">
      <c r="A479" s="19"/>
      <c r="B479" s="153"/>
      <c r="C479" s="153"/>
      <c r="D479" s="10" t="s">
        <v>34</v>
      </c>
      <c r="E479" s="7">
        <f t="shared" si="73"/>
        <v>41</v>
      </c>
      <c r="F479" s="7">
        <f t="shared" si="72"/>
        <v>51</v>
      </c>
      <c r="G479" s="9" t="s">
        <v>16</v>
      </c>
      <c r="H479" s="27" t="str">
        <f t="shared" si="71"/>
        <v>Normal</v>
      </c>
      <c r="I479" s="156"/>
      <c r="J479" s="7">
        <f t="shared" si="74"/>
        <v>3</v>
      </c>
      <c r="K479" s="14">
        <v>30</v>
      </c>
      <c r="L479" s="4">
        <v>46225</v>
      </c>
      <c r="M479" s="5">
        <v>33</v>
      </c>
      <c r="N479" s="193"/>
    </row>
    <row r="480" spans="1:14" x14ac:dyDescent="0.35">
      <c r="A480" s="19"/>
      <c r="B480" s="154"/>
      <c r="C480" s="154"/>
      <c r="D480" s="10" t="s">
        <v>35</v>
      </c>
      <c r="E480" s="7">
        <f t="shared" si="73"/>
        <v>41</v>
      </c>
      <c r="F480" s="7">
        <f t="shared" si="72"/>
        <v>51</v>
      </c>
      <c r="G480" s="9" t="s">
        <v>16</v>
      </c>
      <c r="H480" s="27" t="str">
        <f t="shared" si="71"/>
        <v>Normal</v>
      </c>
      <c r="I480" s="157"/>
      <c r="J480" s="7">
        <f t="shared" si="74"/>
        <v>3.2000000000000028</v>
      </c>
      <c r="K480" s="14">
        <v>30</v>
      </c>
      <c r="L480" s="4">
        <v>46225</v>
      </c>
      <c r="M480" s="5">
        <v>33.200000000000003</v>
      </c>
      <c r="N480" s="194"/>
    </row>
    <row r="481" spans="1:14" ht="15" customHeight="1" x14ac:dyDescent="0.35">
      <c r="A481" s="18">
        <v>3</v>
      </c>
      <c r="B481" s="152" t="s">
        <v>61</v>
      </c>
      <c r="C481" s="152" t="s">
        <v>207</v>
      </c>
      <c r="D481" s="8" t="s">
        <v>15</v>
      </c>
      <c r="E481" s="7">
        <f t="shared" si="73"/>
        <v>71</v>
      </c>
      <c r="F481" s="7">
        <f t="shared" si="72"/>
        <v>81</v>
      </c>
      <c r="G481" s="9" t="s">
        <v>16</v>
      </c>
      <c r="H481" s="27" t="str">
        <f t="shared" si="71"/>
        <v>Normal</v>
      </c>
      <c r="I481" s="155" t="str">
        <f>IF(COUNTIF(H481:H488,"-")&gt;0,("-"),(IF(COUNTIF(H481:H488,"STD BY")&gt;0,("STD BY"),(IF(COUNTIF(H481:H488,"N/A")&gt;0,("N/A"),(IF(COUNTIF(H481:H488,"Critical")&gt;0,("Critical"),(IF(COUNTIF(H481:H488,"High")&gt;0,("High"),(IF(COUNTIF(H481:H488,"Medium")&gt;0,("Medium"),(IF(COUNTIF(H481:H488,"Low")&gt;0,("Low"),("Normal"))))))))))))))</f>
        <v>Low</v>
      </c>
      <c r="J481" s="7">
        <f>IF(M486="",(""),(IF(M486="STD BY",("STD BY"),(IF(M486="N/A",("N/A"),(IF(M486-K481&gt;0,(M486-K481),(0))))))))</f>
        <v>0</v>
      </c>
      <c r="K481" s="14">
        <v>60</v>
      </c>
      <c r="L481" s="4">
        <v>46212</v>
      </c>
      <c r="M481" s="5">
        <v>55.1</v>
      </c>
      <c r="N481" s="192" t="s">
        <v>372</v>
      </c>
    </row>
    <row r="482" spans="1:14" x14ac:dyDescent="0.35">
      <c r="A482" s="19"/>
      <c r="B482" s="153"/>
      <c r="C482" s="153"/>
      <c r="D482" s="10" t="s">
        <v>17</v>
      </c>
      <c r="E482" s="7">
        <f t="shared" si="73"/>
        <v>61</v>
      </c>
      <c r="F482" s="7">
        <f t="shared" si="72"/>
        <v>71</v>
      </c>
      <c r="G482" s="9" t="s">
        <v>16</v>
      </c>
      <c r="H482" s="27" t="str">
        <f t="shared" ref="H482:H564" si="75">IF(J482="",("-"),(IF(J482="STD BY",("STD BY"),(IF(J482="N/A",("N/A"),(IF(J482&lt;5,("Normal"),(IF(J482&lt;11,("Low"),(IF(J482&lt;21,("Medium"),(IF(J482&lt;41,("High"),("Critical"))))))))))))))</f>
        <v>Normal</v>
      </c>
      <c r="I482" s="156"/>
      <c r="J482" s="7">
        <f t="shared" si="74"/>
        <v>0</v>
      </c>
      <c r="K482" s="14">
        <v>50</v>
      </c>
      <c r="L482" s="4">
        <v>46212</v>
      </c>
      <c r="M482" s="5">
        <v>47.2</v>
      </c>
      <c r="N482" s="193"/>
    </row>
    <row r="483" spans="1:14" x14ac:dyDescent="0.35">
      <c r="A483" s="19"/>
      <c r="B483" s="153"/>
      <c r="C483" s="153"/>
      <c r="D483" s="10" t="s">
        <v>18</v>
      </c>
      <c r="E483" s="7">
        <f t="shared" si="73"/>
        <v>61</v>
      </c>
      <c r="F483" s="7">
        <f t="shared" si="72"/>
        <v>71</v>
      </c>
      <c r="G483" s="9" t="s">
        <v>16</v>
      </c>
      <c r="H483" s="27" t="str">
        <f t="shared" si="75"/>
        <v>Normal</v>
      </c>
      <c r="I483" s="156"/>
      <c r="J483" s="7">
        <f t="shared" si="74"/>
        <v>0</v>
      </c>
      <c r="K483" s="14">
        <v>50</v>
      </c>
      <c r="L483" s="4">
        <v>46212</v>
      </c>
      <c r="M483" s="5">
        <v>43.6</v>
      </c>
      <c r="N483" s="193"/>
    </row>
    <row r="484" spans="1:14" x14ac:dyDescent="0.35">
      <c r="A484" s="19"/>
      <c r="B484" s="153"/>
      <c r="C484" s="153"/>
      <c r="D484" s="10" t="s">
        <v>25</v>
      </c>
      <c r="E484" s="7">
        <f t="shared" si="73"/>
        <v>56</v>
      </c>
      <c r="F484" s="7">
        <f t="shared" si="72"/>
        <v>66</v>
      </c>
      <c r="G484" s="9" t="s">
        <v>16</v>
      </c>
      <c r="H484" s="27" t="str">
        <f t="shared" si="75"/>
        <v>Normal</v>
      </c>
      <c r="I484" s="156"/>
      <c r="J484" s="7">
        <f t="shared" si="74"/>
        <v>4.6000000000000014</v>
      </c>
      <c r="K484" s="14">
        <v>45</v>
      </c>
      <c r="L484" s="4">
        <v>46212</v>
      </c>
      <c r="M484" s="5">
        <v>49.6</v>
      </c>
      <c r="N484" s="193"/>
    </row>
    <row r="485" spans="1:14" x14ac:dyDescent="0.35">
      <c r="A485" s="19"/>
      <c r="B485" s="153"/>
      <c r="C485" s="153"/>
      <c r="D485" s="10" t="s">
        <v>156</v>
      </c>
      <c r="E485" s="7">
        <f t="shared" si="73"/>
        <v>71</v>
      </c>
      <c r="F485" s="7">
        <f t="shared" si="72"/>
        <v>81</v>
      </c>
      <c r="G485" s="9" t="s">
        <v>16</v>
      </c>
      <c r="H485" s="27" t="str">
        <f t="shared" si="75"/>
        <v>Normal</v>
      </c>
      <c r="I485" s="156"/>
      <c r="J485" s="7">
        <f t="shared" si="74"/>
        <v>0</v>
      </c>
      <c r="K485" s="14">
        <v>60</v>
      </c>
      <c r="L485" s="4">
        <v>46212</v>
      </c>
      <c r="M485" s="5">
        <v>58.6</v>
      </c>
      <c r="N485" s="193"/>
    </row>
    <row r="486" spans="1:14" x14ac:dyDescent="0.35">
      <c r="A486" s="19"/>
      <c r="B486" s="153"/>
      <c r="C486" s="153"/>
      <c r="D486" s="10" t="s">
        <v>33</v>
      </c>
      <c r="E486" s="7">
        <f t="shared" si="73"/>
        <v>41</v>
      </c>
      <c r="F486" s="7">
        <f t="shared" si="72"/>
        <v>51</v>
      </c>
      <c r="G486" s="9" t="s">
        <v>16</v>
      </c>
      <c r="H486" s="27" t="str">
        <f t="shared" si="75"/>
        <v>Normal</v>
      </c>
      <c r="I486" s="156"/>
      <c r="J486" s="7">
        <f t="shared" si="74"/>
        <v>3</v>
      </c>
      <c r="K486" s="14">
        <v>30</v>
      </c>
      <c r="L486" s="4">
        <v>46212</v>
      </c>
      <c r="M486" s="5">
        <v>33</v>
      </c>
      <c r="N486" s="193"/>
    </row>
    <row r="487" spans="1:14" x14ac:dyDescent="0.35">
      <c r="A487" s="19"/>
      <c r="B487" s="153"/>
      <c r="C487" s="153"/>
      <c r="D487" s="10" t="s">
        <v>34</v>
      </c>
      <c r="E487" s="7">
        <f t="shared" si="73"/>
        <v>41</v>
      </c>
      <c r="F487" s="7">
        <f t="shared" si="72"/>
        <v>51</v>
      </c>
      <c r="G487" s="9" t="s">
        <v>16</v>
      </c>
      <c r="H487" s="27" t="str">
        <f t="shared" si="75"/>
        <v>Normal</v>
      </c>
      <c r="I487" s="156"/>
      <c r="J487" s="7">
        <f t="shared" si="74"/>
        <v>2.3999999999999986</v>
      </c>
      <c r="K487" s="14">
        <v>30</v>
      </c>
      <c r="L487" s="4">
        <v>46212</v>
      </c>
      <c r="M487" s="5">
        <v>32.4</v>
      </c>
      <c r="N487" s="193"/>
    </row>
    <row r="488" spans="1:14" x14ac:dyDescent="0.35">
      <c r="A488" s="20"/>
      <c r="B488" s="154"/>
      <c r="C488" s="154"/>
      <c r="D488" s="10" t="s">
        <v>35</v>
      </c>
      <c r="E488" s="7">
        <f t="shared" si="73"/>
        <v>41</v>
      </c>
      <c r="F488" s="7">
        <f t="shared" si="72"/>
        <v>51</v>
      </c>
      <c r="G488" s="9" t="s">
        <v>16</v>
      </c>
      <c r="H488" s="27" t="str">
        <f t="shared" si="75"/>
        <v>Low</v>
      </c>
      <c r="I488" s="157"/>
      <c r="J488" s="7">
        <f t="shared" si="74"/>
        <v>8.2000000000000028</v>
      </c>
      <c r="K488" s="14">
        <v>30</v>
      </c>
      <c r="L488" s="4">
        <v>46212</v>
      </c>
      <c r="M488" s="5">
        <v>38.200000000000003</v>
      </c>
      <c r="N488" s="194"/>
    </row>
    <row r="489" spans="1:14" ht="15" customHeight="1" x14ac:dyDescent="0.35">
      <c r="A489" s="18">
        <v>3</v>
      </c>
      <c r="B489" s="152" t="s">
        <v>62</v>
      </c>
      <c r="C489" s="152" t="s">
        <v>63</v>
      </c>
      <c r="D489" s="8" t="s">
        <v>15</v>
      </c>
      <c r="E489" s="7">
        <f>(K489+11)</f>
        <v>71</v>
      </c>
      <c r="F489" s="7">
        <f t="shared" si="72"/>
        <v>81</v>
      </c>
      <c r="G489" s="9" t="s">
        <v>16</v>
      </c>
      <c r="H489" s="27" t="str">
        <f t="shared" si="75"/>
        <v>Normal</v>
      </c>
      <c r="I489" s="155" t="str">
        <f>IF(COUNTIF(H489:H496,"-")&gt;0,("-"),(IF(COUNTIF(H489:H496,"STD BY")&gt;0,("STD BY"),(IF(COUNTIF(H489:H493,"N/A")&gt;0,("N/A"),(IF(COUNTIF(H489:H493,"Critical")&gt;0,("Critical"),(IF(COUNTIF(H489:H493,"High")&gt;0,("High"),(IF(COUNTIF(H489:H493,"Medium")&gt;0,("Medium"),(IF(COUNTIF(H489:H493,"Low")&gt;0,("Low"),("Normal"))))))))))))))</f>
        <v>Normal</v>
      </c>
      <c r="J489" s="7">
        <f t="shared" si="74"/>
        <v>0</v>
      </c>
      <c r="K489" s="14">
        <v>60</v>
      </c>
      <c r="L489" s="4">
        <v>46234</v>
      </c>
      <c r="M489" s="5">
        <v>50.3</v>
      </c>
      <c r="N489" s="192" t="s">
        <v>372</v>
      </c>
    </row>
    <row r="490" spans="1:14" x14ac:dyDescent="0.35">
      <c r="A490" s="26"/>
      <c r="B490" s="153"/>
      <c r="C490" s="153"/>
      <c r="D490" s="10" t="s">
        <v>17</v>
      </c>
      <c r="E490" s="7">
        <f>(K490+11)</f>
        <v>61</v>
      </c>
      <c r="F490" s="7">
        <f t="shared" si="72"/>
        <v>71</v>
      </c>
      <c r="G490" s="9" t="s">
        <v>16</v>
      </c>
      <c r="H490" s="27" t="str">
        <f t="shared" si="75"/>
        <v>Normal</v>
      </c>
      <c r="I490" s="156"/>
      <c r="J490" s="7">
        <f t="shared" si="74"/>
        <v>0</v>
      </c>
      <c r="K490" s="14">
        <v>50</v>
      </c>
      <c r="L490" s="4">
        <v>46234</v>
      </c>
      <c r="M490" s="5">
        <v>40.6</v>
      </c>
      <c r="N490" s="193"/>
    </row>
    <row r="491" spans="1:14" x14ac:dyDescent="0.35">
      <c r="A491" s="19"/>
      <c r="B491" s="153"/>
      <c r="C491" s="153"/>
      <c r="D491" s="10" t="s">
        <v>18</v>
      </c>
      <c r="E491" s="7">
        <f>(K492+11)</f>
        <v>61</v>
      </c>
      <c r="F491" s="7">
        <f t="shared" si="72"/>
        <v>71</v>
      </c>
      <c r="G491" s="9" t="s">
        <v>16</v>
      </c>
      <c r="H491" s="27" t="str">
        <f t="shared" si="75"/>
        <v>Normal</v>
      </c>
      <c r="I491" s="156"/>
      <c r="J491" s="7">
        <f t="shared" si="74"/>
        <v>0</v>
      </c>
      <c r="K491" s="14">
        <v>50</v>
      </c>
      <c r="L491" s="4">
        <v>46234</v>
      </c>
      <c r="M491" s="5">
        <v>50</v>
      </c>
      <c r="N491" s="193"/>
    </row>
    <row r="492" spans="1:14" x14ac:dyDescent="0.35">
      <c r="A492" s="19"/>
      <c r="B492" s="153"/>
      <c r="C492" s="153"/>
      <c r="D492" s="10" t="s">
        <v>25</v>
      </c>
      <c r="E492" s="7">
        <f>(K493+11)</f>
        <v>61</v>
      </c>
      <c r="F492" s="7">
        <f t="shared" si="72"/>
        <v>71</v>
      </c>
      <c r="G492" s="9" t="s">
        <v>16</v>
      </c>
      <c r="H492" s="27" t="str">
        <f t="shared" si="75"/>
        <v>Normal</v>
      </c>
      <c r="I492" s="156"/>
      <c r="J492" s="7">
        <f t="shared" si="74"/>
        <v>0</v>
      </c>
      <c r="K492" s="14">
        <v>50</v>
      </c>
      <c r="L492" s="4">
        <v>46234</v>
      </c>
      <c r="M492" s="5">
        <v>46.9</v>
      </c>
      <c r="N492" s="193"/>
    </row>
    <row r="493" spans="1:14" x14ac:dyDescent="0.35">
      <c r="A493" s="19"/>
      <c r="B493" s="153"/>
      <c r="C493" s="153"/>
      <c r="D493" s="10" t="s">
        <v>26</v>
      </c>
      <c r="E493" s="7">
        <f t="shared" ref="E493:E504" si="76">(K493+11)</f>
        <v>61</v>
      </c>
      <c r="F493" s="7">
        <f t="shared" si="72"/>
        <v>71</v>
      </c>
      <c r="G493" s="9" t="s">
        <v>16</v>
      </c>
      <c r="H493" s="27" t="str">
        <f t="shared" si="75"/>
        <v>Normal</v>
      </c>
      <c r="I493" s="156"/>
      <c r="J493" s="7">
        <f t="shared" si="74"/>
        <v>1.5</v>
      </c>
      <c r="K493" s="14">
        <v>50</v>
      </c>
      <c r="L493" s="4">
        <v>46234</v>
      </c>
      <c r="M493" s="5">
        <v>51.5</v>
      </c>
      <c r="N493" s="193"/>
    </row>
    <row r="494" spans="1:14" x14ac:dyDescent="0.35">
      <c r="A494" s="19"/>
      <c r="B494" s="153"/>
      <c r="C494" s="153"/>
      <c r="D494" s="10" t="s">
        <v>33</v>
      </c>
      <c r="E494" s="7">
        <f t="shared" si="76"/>
        <v>41</v>
      </c>
      <c r="F494" s="7">
        <f t="shared" si="72"/>
        <v>51</v>
      </c>
      <c r="G494" s="9" t="s">
        <v>16</v>
      </c>
      <c r="H494" s="27" t="str">
        <f t="shared" si="75"/>
        <v>Normal</v>
      </c>
      <c r="I494" s="156"/>
      <c r="J494" s="7">
        <f t="shared" si="74"/>
        <v>0</v>
      </c>
      <c r="K494" s="14">
        <v>30</v>
      </c>
      <c r="L494" s="4">
        <v>46234</v>
      </c>
      <c r="M494" s="5">
        <v>23.5</v>
      </c>
      <c r="N494" s="193"/>
    </row>
    <row r="495" spans="1:14" x14ac:dyDescent="0.35">
      <c r="A495" s="19"/>
      <c r="B495" s="153"/>
      <c r="C495" s="153"/>
      <c r="D495" s="10" t="s">
        <v>34</v>
      </c>
      <c r="E495" s="7">
        <f t="shared" si="76"/>
        <v>41</v>
      </c>
      <c r="F495" s="7">
        <f t="shared" si="72"/>
        <v>51</v>
      </c>
      <c r="G495" s="9" t="s">
        <v>16</v>
      </c>
      <c r="H495" s="27" t="str">
        <f t="shared" si="75"/>
        <v>Normal</v>
      </c>
      <c r="I495" s="156"/>
      <c r="J495" s="7">
        <f t="shared" si="74"/>
        <v>0</v>
      </c>
      <c r="K495" s="14">
        <v>30</v>
      </c>
      <c r="L495" s="4">
        <v>46234</v>
      </c>
      <c r="M495" s="5">
        <v>23.4</v>
      </c>
      <c r="N495" s="193"/>
    </row>
    <row r="496" spans="1:14" x14ac:dyDescent="0.35">
      <c r="A496" s="19"/>
      <c r="B496" s="154"/>
      <c r="C496" s="154"/>
      <c r="D496" s="10" t="s">
        <v>35</v>
      </c>
      <c r="E496" s="7">
        <f t="shared" si="76"/>
        <v>41</v>
      </c>
      <c r="F496" s="7">
        <f t="shared" si="72"/>
        <v>51</v>
      </c>
      <c r="G496" s="9" t="s">
        <v>16</v>
      </c>
      <c r="H496" s="27" t="str">
        <f t="shared" si="75"/>
        <v>Normal</v>
      </c>
      <c r="I496" s="157"/>
      <c r="J496" s="7">
        <f t="shared" si="74"/>
        <v>0</v>
      </c>
      <c r="K496" s="14">
        <v>30</v>
      </c>
      <c r="L496" s="4">
        <v>46234</v>
      </c>
      <c r="M496" s="5">
        <v>23.5</v>
      </c>
      <c r="N496" s="194"/>
    </row>
    <row r="497" spans="1:14" ht="15" customHeight="1" x14ac:dyDescent="0.35">
      <c r="A497" s="18">
        <v>3</v>
      </c>
      <c r="B497" s="152" t="s">
        <v>64</v>
      </c>
      <c r="C497" s="152" t="s">
        <v>65</v>
      </c>
      <c r="D497" s="8" t="s">
        <v>15</v>
      </c>
      <c r="E497" s="7">
        <f t="shared" si="76"/>
        <v>71</v>
      </c>
      <c r="F497" s="7">
        <f t="shared" si="72"/>
        <v>81</v>
      </c>
      <c r="G497" s="9" t="s">
        <v>16</v>
      </c>
      <c r="H497" s="27" t="str">
        <f t="shared" si="75"/>
        <v>Normal</v>
      </c>
      <c r="I497" s="155" t="str">
        <f>IF(COUNTIF(H497:H504,"-")&gt;0,("-"),(IF(COUNTIF(H497:H504,"STD BY")&gt;0,("STD BY"),(IF(COUNTIF(H497:H504,"N/A")&gt;0,("N/A"),(IF(COUNTIF(H497:H504,"Critical")&gt;0,("Critical"),(IF(COUNTIF(H497:H504,"High")&gt;0,("High"),(IF(COUNTIF(H497:H504,"Medium")&gt;0,("Medium"),(IF(COUNTIF(H497:H501,"Low")&gt;0,("Low"),("Normal"))))))))))))))</f>
        <v>Normal</v>
      </c>
      <c r="J497" s="7">
        <f t="shared" si="74"/>
        <v>4.7000000000000028</v>
      </c>
      <c r="K497" s="14">
        <v>60</v>
      </c>
      <c r="L497" s="4">
        <v>46210</v>
      </c>
      <c r="M497" s="5">
        <v>64.7</v>
      </c>
      <c r="N497" s="192" t="s">
        <v>372</v>
      </c>
    </row>
    <row r="498" spans="1:14" ht="14.5" customHeight="1" x14ac:dyDescent="0.35">
      <c r="A498" s="26"/>
      <c r="B498" s="153"/>
      <c r="C498" s="153"/>
      <c r="D498" s="10" t="s">
        <v>17</v>
      </c>
      <c r="E498" s="7">
        <f t="shared" si="76"/>
        <v>61</v>
      </c>
      <c r="F498" s="7">
        <f t="shared" si="72"/>
        <v>71</v>
      </c>
      <c r="G498" s="9" t="s">
        <v>16</v>
      </c>
      <c r="H498" s="27" t="str">
        <f t="shared" si="75"/>
        <v>Normal</v>
      </c>
      <c r="I498" s="156"/>
      <c r="J498" s="7">
        <f t="shared" si="74"/>
        <v>0</v>
      </c>
      <c r="K498" s="14">
        <v>50</v>
      </c>
      <c r="L498" s="4">
        <v>46210</v>
      </c>
      <c r="M498" s="5">
        <v>35.700000000000003</v>
      </c>
      <c r="N498" s="193"/>
    </row>
    <row r="499" spans="1:14" x14ac:dyDescent="0.35">
      <c r="A499" s="19"/>
      <c r="B499" s="153"/>
      <c r="C499" s="153"/>
      <c r="D499" s="10" t="s">
        <v>18</v>
      </c>
      <c r="E499" s="7">
        <f t="shared" si="76"/>
        <v>61</v>
      </c>
      <c r="F499" s="7">
        <f t="shared" si="72"/>
        <v>71</v>
      </c>
      <c r="G499" s="9" t="s">
        <v>16</v>
      </c>
      <c r="H499" s="27" t="str">
        <f t="shared" si="75"/>
        <v>Normal</v>
      </c>
      <c r="I499" s="156"/>
      <c r="J499" s="7">
        <f t="shared" si="74"/>
        <v>0</v>
      </c>
      <c r="K499" s="14">
        <v>50</v>
      </c>
      <c r="L499" s="4">
        <v>46210</v>
      </c>
      <c r="M499" s="5">
        <v>44.3</v>
      </c>
      <c r="N499" s="193"/>
    </row>
    <row r="500" spans="1:14" x14ac:dyDescent="0.35">
      <c r="A500" s="19"/>
      <c r="B500" s="153"/>
      <c r="C500" s="153"/>
      <c r="D500" s="10" t="s">
        <v>25</v>
      </c>
      <c r="E500" s="7">
        <f t="shared" si="76"/>
        <v>61</v>
      </c>
      <c r="F500" s="7">
        <f t="shared" si="72"/>
        <v>71</v>
      </c>
      <c r="G500" s="9" t="s">
        <v>16</v>
      </c>
      <c r="H500" s="27" t="str">
        <f t="shared" si="75"/>
        <v>Normal</v>
      </c>
      <c r="I500" s="156"/>
      <c r="J500" s="7">
        <f t="shared" si="74"/>
        <v>2.2000000000000028</v>
      </c>
      <c r="K500" s="14">
        <v>50</v>
      </c>
      <c r="L500" s="4">
        <v>46210</v>
      </c>
      <c r="M500" s="5">
        <v>52.2</v>
      </c>
      <c r="N500" s="193"/>
    </row>
    <row r="501" spans="1:14" x14ac:dyDescent="0.35">
      <c r="A501" s="19"/>
      <c r="B501" s="153"/>
      <c r="C501" s="153"/>
      <c r="D501" s="10" t="s">
        <v>26</v>
      </c>
      <c r="E501" s="7">
        <f t="shared" si="76"/>
        <v>61</v>
      </c>
      <c r="F501" s="7">
        <f t="shared" si="72"/>
        <v>71</v>
      </c>
      <c r="G501" s="9" t="s">
        <v>16</v>
      </c>
      <c r="H501" s="27" t="str">
        <f t="shared" si="75"/>
        <v>Normal</v>
      </c>
      <c r="I501" s="156"/>
      <c r="J501" s="7">
        <f t="shared" si="74"/>
        <v>0</v>
      </c>
      <c r="K501" s="14">
        <v>50</v>
      </c>
      <c r="L501" s="4">
        <v>46210</v>
      </c>
      <c r="M501" s="5">
        <v>49.4</v>
      </c>
      <c r="N501" s="193"/>
    </row>
    <row r="502" spans="1:14" x14ac:dyDescent="0.35">
      <c r="A502" s="19"/>
      <c r="B502" s="153"/>
      <c r="C502" s="153"/>
      <c r="D502" s="10" t="s">
        <v>33</v>
      </c>
      <c r="E502" s="7">
        <f t="shared" si="76"/>
        <v>41</v>
      </c>
      <c r="F502" s="7">
        <f t="shared" si="72"/>
        <v>51</v>
      </c>
      <c r="G502" s="9" t="s">
        <v>16</v>
      </c>
      <c r="H502" s="27" t="str">
        <f t="shared" si="75"/>
        <v>Normal</v>
      </c>
      <c r="I502" s="156"/>
      <c r="J502" s="7">
        <f t="shared" si="74"/>
        <v>0</v>
      </c>
      <c r="K502" s="14">
        <v>30</v>
      </c>
      <c r="L502" s="4">
        <v>46210</v>
      </c>
      <c r="M502" s="5">
        <v>23.9</v>
      </c>
      <c r="N502" s="193"/>
    </row>
    <row r="503" spans="1:14" x14ac:dyDescent="0.35">
      <c r="A503" s="19"/>
      <c r="B503" s="153"/>
      <c r="C503" s="153"/>
      <c r="D503" s="10" t="s">
        <v>34</v>
      </c>
      <c r="E503" s="7">
        <f t="shared" si="76"/>
        <v>41</v>
      </c>
      <c r="F503" s="7">
        <f t="shared" si="72"/>
        <v>51</v>
      </c>
      <c r="G503" s="9" t="s">
        <v>16</v>
      </c>
      <c r="H503" s="27" t="str">
        <f t="shared" si="75"/>
        <v>Normal</v>
      </c>
      <c r="I503" s="156"/>
      <c r="J503" s="7">
        <f t="shared" si="74"/>
        <v>0</v>
      </c>
      <c r="K503" s="14">
        <v>30</v>
      </c>
      <c r="L503" s="4">
        <v>46210</v>
      </c>
      <c r="M503" s="5">
        <v>24.1</v>
      </c>
      <c r="N503" s="193"/>
    </row>
    <row r="504" spans="1:14" x14ac:dyDescent="0.35">
      <c r="A504" s="19"/>
      <c r="B504" s="154"/>
      <c r="C504" s="154"/>
      <c r="D504" s="10" t="s">
        <v>35</v>
      </c>
      <c r="E504" s="7">
        <f t="shared" si="76"/>
        <v>41</v>
      </c>
      <c r="F504" s="7">
        <f t="shared" si="72"/>
        <v>51</v>
      </c>
      <c r="G504" s="9" t="s">
        <v>16</v>
      </c>
      <c r="H504" s="27" t="str">
        <f t="shared" si="75"/>
        <v>Normal</v>
      </c>
      <c r="I504" s="157"/>
      <c r="J504" s="7">
        <f t="shared" si="74"/>
        <v>0</v>
      </c>
      <c r="K504" s="14">
        <v>30</v>
      </c>
      <c r="L504" s="4">
        <v>46210</v>
      </c>
      <c r="M504" s="5">
        <v>24.1</v>
      </c>
      <c r="N504" s="194"/>
    </row>
    <row r="505" spans="1:14" ht="15" customHeight="1" x14ac:dyDescent="0.35">
      <c r="A505" s="23">
        <v>3</v>
      </c>
      <c r="B505" s="152" t="s">
        <v>66</v>
      </c>
      <c r="C505" s="152" t="s">
        <v>208</v>
      </c>
      <c r="D505" s="8" t="s">
        <v>15</v>
      </c>
      <c r="E505" s="7">
        <f t="shared" ref="E505:E525" si="77">(K505+11)</f>
        <v>66</v>
      </c>
      <c r="F505" s="7">
        <f t="shared" si="72"/>
        <v>76</v>
      </c>
      <c r="G505" s="9" t="s">
        <v>16</v>
      </c>
      <c r="H505" s="27" t="str">
        <f t="shared" si="75"/>
        <v>STD BY</v>
      </c>
      <c r="I505" s="155" t="str">
        <f>IF(COUNTIF(H505:H515,"-")&gt;0,("-"),(IF(COUNTIF(H505:H515,"STD BY")&gt;0,("STD BY"),(IF(COUNTIF(H505:H515,"N/A")&gt;0,("N/A"),(IF(COUNTIF(H505:H515,"Critical")&gt;0,("Critical"),(IF(COUNTIF(H505:H515,"High")&gt;0,("High"),(IF(COUNTIF(H505:H515,"Medium")&gt;0,("Medium"),(IF(COUNTIF(H505:H515,"Low")&gt;0,("Low"),("Normal"))))))))))))))</f>
        <v>STD BY</v>
      </c>
      <c r="J505" s="7" t="str">
        <f t="shared" si="74"/>
        <v>STD BY</v>
      </c>
      <c r="K505" s="14">
        <v>55</v>
      </c>
      <c r="L505" s="4"/>
      <c r="M505" s="5" t="s">
        <v>376</v>
      </c>
      <c r="N505" s="150" t="s">
        <v>371</v>
      </c>
    </row>
    <row r="506" spans="1:14" x14ac:dyDescent="0.35">
      <c r="A506" s="24"/>
      <c r="B506" s="153"/>
      <c r="C506" s="153"/>
      <c r="D506" s="10" t="s">
        <v>17</v>
      </c>
      <c r="E506" s="7">
        <f t="shared" si="77"/>
        <v>66</v>
      </c>
      <c r="F506" s="7">
        <f t="shared" ref="F506:F570" si="78">(E506+10)</f>
        <v>76</v>
      </c>
      <c r="G506" s="9" t="s">
        <v>16</v>
      </c>
      <c r="H506" s="27" t="str">
        <f t="shared" si="75"/>
        <v>STD BY</v>
      </c>
      <c r="I506" s="156"/>
      <c r="J506" s="7" t="str">
        <f t="shared" si="74"/>
        <v>STD BY</v>
      </c>
      <c r="K506" s="14">
        <v>55</v>
      </c>
      <c r="L506" s="4"/>
      <c r="M506" s="5" t="s">
        <v>376</v>
      </c>
      <c r="N506" s="151"/>
    </row>
    <row r="507" spans="1:14" x14ac:dyDescent="0.35">
      <c r="A507" s="24"/>
      <c r="B507" s="153"/>
      <c r="C507" s="153"/>
      <c r="D507" s="10" t="s">
        <v>18</v>
      </c>
      <c r="E507" s="7">
        <f t="shared" si="77"/>
        <v>66</v>
      </c>
      <c r="F507" s="7">
        <f t="shared" si="78"/>
        <v>76</v>
      </c>
      <c r="G507" s="9" t="s">
        <v>16</v>
      </c>
      <c r="H507" s="27" t="str">
        <f t="shared" si="75"/>
        <v>STD BY</v>
      </c>
      <c r="I507" s="156"/>
      <c r="J507" s="7" t="str">
        <f t="shared" si="74"/>
        <v>STD BY</v>
      </c>
      <c r="K507" s="14">
        <v>55</v>
      </c>
      <c r="L507" s="4"/>
      <c r="M507" s="5" t="s">
        <v>376</v>
      </c>
      <c r="N507" s="151"/>
    </row>
    <row r="508" spans="1:14" x14ac:dyDescent="0.35">
      <c r="A508" s="24"/>
      <c r="B508" s="153"/>
      <c r="C508" s="153"/>
      <c r="D508" s="10" t="s">
        <v>25</v>
      </c>
      <c r="E508" s="7">
        <f t="shared" si="77"/>
        <v>66</v>
      </c>
      <c r="F508" s="7">
        <f t="shared" si="78"/>
        <v>76</v>
      </c>
      <c r="G508" s="9" t="s">
        <v>16</v>
      </c>
      <c r="H508" s="27" t="str">
        <f t="shared" si="75"/>
        <v>STD BY</v>
      </c>
      <c r="I508" s="156"/>
      <c r="J508" s="7" t="str">
        <f t="shared" si="74"/>
        <v>STD BY</v>
      </c>
      <c r="K508" s="14">
        <v>55</v>
      </c>
      <c r="L508" s="4"/>
      <c r="M508" s="5" t="s">
        <v>376</v>
      </c>
      <c r="N508" s="151"/>
    </row>
    <row r="509" spans="1:14" x14ac:dyDescent="0.35">
      <c r="A509" s="24"/>
      <c r="B509" s="153"/>
      <c r="C509" s="153"/>
      <c r="D509" s="10" t="s">
        <v>26</v>
      </c>
      <c r="E509" s="7">
        <f t="shared" si="77"/>
        <v>66</v>
      </c>
      <c r="F509" s="7">
        <f t="shared" si="78"/>
        <v>76</v>
      </c>
      <c r="G509" s="9" t="s">
        <v>16</v>
      </c>
      <c r="H509" s="27" t="str">
        <f t="shared" si="75"/>
        <v>STD BY</v>
      </c>
      <c r="I509" s="156"/>
      <c r="J509" s="7" t="str">
        <f t="shared" si="74"/>
        <v>STD BY</v>
      </c>
      <c r="K509" s="14">
        <v>55</v>
      </c>
      <c r="L509" s="4"/>
      <c r="M509" s="5" t="s">
        <v>376</v>
      </c>
      <c r="N509" s="151"/>
    </row>
    <row r="510" spans="1:14" x14ac:dyDescent="0.35">
      <c r="A510" s="24"/>
      <c r="B510" s="153"/>
      <c r="C510" s="153"/>
      <c r="D510" s="10" t="s">
        <v>67</v>
      </c>
      <c r="E510" s="7">
        <f t="shared" si="77"/>
        <v>66</v>
      </c>
      <c r="F510" s="7">
        <f t="shared" si="78"/>
        <v>76</v>
      </c>
      <c r="G510" s="9" t="s">
        <v>16</v>
      </c>
      <c r="H510" s="27" t="str">
        <f t="shared" si="75"/>
        <v>STD BY</v>
      </c>
      <c r="I510" s="156"/>
      <c r="J510" s="7" t="str">
        <f t="shared" si="74"/>
        <v>STD BY</v>
      </c>
      <c r="K510" s="14">
        <v>55</v>
      </c>
      <c r="L510" s="4"/>
      <c r="M510" s="5" t="s">
        <v>376</v>
      </c>
      <c r="N510" s="151"/>
    </row>
    <row r="511" spans="1:14" x14ac:dyDescent="0.35">
      <c r="A511" s="24"/>
      <c r="B511" s="153"/>
      <c r="C511" s="153"/>
      <c r="D511" s="10" t="s">
        <v>68</v>
      </c>
      <c r="E511" s="7">
        <f t="shared" si="77"/>
        <v>66</v>
      </c>
      <c r="F511" s="7">
        <f t="shared" si="78"/>
        <v>76</v>
      </c>
      <c r="G511" s="9" t="s">
        <v>16</v>
      </c>
      <c r="H511" s="27" t="str">
        <f t="shared" si="75"/>
        <v>STD BY</v>
      </c>
      <c r="I511" s="156"/>
      <c r="J511" s="7" t="str">
        <f t="shared" si="74"/>
        <v>STD BY</v>
      </c>
      <c r="K511" s="14">
        <v>55</v>
      </c>
      <c r="L511" s="4"/>
      <c r="M511" s="5" t="s">
        <v>376</v>
      </c>
      <c r="N511" s="151"/>
    </row>
    <row r="512" spans="1:14" x14ac:dyDescent="0.35">
      <c r="A512" s="24"/>
      <c r="B512" s="153"/>
      <c r="C512" s="153"/>
      <c r="D512" s="10" t="s">
        <v>156</v>
      </c>
      <c r="E512" s="7">
        <f>(K513+11)</f>
        <v>41</v>
      </c>
      <c r="F512" s="7">
        <f t="shared" si="78"/>
        <v>51</v>
      </c>
      <c r="G512" s="9" t="s">
        <v>16</v>
      </c>
      <c r="H512" s="27" t="str">
        <f t="shared" si="75"/>
        <v>STD BY</v>
      </c>
      <c r="I512" s="156"/>
      <c r="J512" s="7" t="str">
        <f t="shared" si="74"/>
        <v>STD BY</v>
      </c>
      <c r="K512" s="14">
        <v>65</v>
      </c>
      <c r="L512" s="4"/>
      <c r="M512" s="5" t="s">
        <v>376</v>
      </c>
      <c r="N512" s="151"/>
    </row>
    <row r="513" spans="1:14" x14ac:dyDescent="0.35">
      <c r="A513" s="24"/>
      <c r="B513" s="153"/>
      <c r="C513" s="153"/>
      <c r="D513" s="10" t="s">
        <v>33</v>
      </c>
      <c r="E513" s="7">
        <f>(K514+11)</f>
        <v>41</v>
      </c>
      <c r="F513" s="7">
        <f t="shared" si="78"/>
        <v>51</v>
      </c>
      <c r="G513" s="9" t="s">
        <v>16</v>
      </c>
      <c r="H513" s="27" t="str">
        <f t="shared" si="75"/>
        <v>STD BY</v>
      </c>
      <c r="I513" s="156"/>
      <c r="J513" s="7" t="str">
        <f t="shared" si="74"/>
        <v>STD BY</v>
      </c>
      <c r="K513" s="14">
        <v>30</v>
      </c>
      <c r="L513" s="4"/>
      <c r="M513" s="5" t="s">
        <v>376</v>
      </c>
      <c r="N513" s="151"/>
    </row>
    <row r="514" spans="1:14" x14ac:dyDescent="0.35">
      <c r="A514" s="24"/>
      <c r="B514" s="153"/>
      <c r="C514" s="153"/>
      <c r="D514" s="10" t="s">
        <v>34</v>
      </c>
      <c r="E514" s="7">
        <f>(K515+11)</f>
        <v>41</v>
      </c>
      <c r="F514" s="7">
        <f t="shared" si="78"/>
        <v>51</v>
      </c>
      <c r="G514" s="9" t="s">
        <v>16</v>
      </c>
      <c r="H514" s="27" t="str">
        <f t="shared" si="75"/>
        <v>STD BY</v>
      </c>
      <c r="I514" s="156"/>
      <c r="J514" s="7" t="str">
        <f t="shared" si="74"/>
        <v>STD BY</v>
      </c>
      <c r="K514" s="14">
        <v>30</v>
      </c>
      <c r="L514" s="4"/>
      <c r="M514" s="5" t="s">
        <v>376</v>
      </c>
      <c r="N514" s="151"/>
    </row>
    <row r="515" spans="1:14" x14ac:dyDescent="0.35">
      <c r="A515" s="25"/>
      <c r="B515" s="154"/>
      <c r="C515" s="154"/>
      <c r="D515" s="10" t="s">
        <v>35</v>
      </c>
      <c r="E515" s="7">
        <f>(K515+11)</f>
        <v>41</v>
      </c>
      <c r="F515" s="7">
        <f t="shared" si="78"/>
        <v>51</v>
      </c>
      <c r="G515" s="9" t="s">
        <v>16</v>
      </c>
      <c r="H515" s="27" t="str">
        <f t="shared" si="75"/>
        <v>STD BY</v>
      </c>
      <c r="I515" s="157"/>
      <c r="J515" s="7" t="str">
        <f t="shared" si="74"/>
        <v>STD BY</v>
      </c>
      <c r="K515" s="14">
        <v>30</v>
      </c>
      <c r="L515" s="4"/>
      <c r="M515" s="5" t="s">
        <v>376</v>
      </c>
      <c r="N515" s="151"/>
    </row>
    <row r="516" spans="1:14" ht="15" customHeight="1" x14ac:dyDescent="0.35">
      <c r="A516" s="18">
        <v>3</v>
      </c>
      <c r="B516" s="152" t="s">
        <v>69</v>
      </c>
      <c r="C516" s="152" t="s">
        <v>209</v>
      </c>
      <c r="D516" s="8" t="s">
        <v>15</v>
      </c>
      <c r="E516" s="7">
        <f t="shared" si="77"/>
        <v>66</v>
      </c>
      <c r="F516" s="7">
        <f t="shared" si="78"/>
        <v>76</v>
      </c>
      <c r="G516" s="9" t="s">
        <v>16</v>
      </c>
      <c r="H516" s="27" t="str">
        <f t="shared" si="75"/>
        <v>Normal</v>
      </c>
      <c r="I516" s="155" t="str">
        <f>IF(COUNTIF(H516:H526,"-")&gt;0,("-"),(IF(COUNTIF(H516:H526,"STD BY")&gt;0,("STD BY"),(IF(COUNTIF(H516:H526,"N/A")&gt;0,("N/A"),(IF(COUNTIF(H516:H526,"Critical")&gt;0,("Critical"),(IF(COUNTIF(H516:H526,"High")&gt;0,("High"),(IF(COUNTIF(H516:H526,"Medium")&gt;0,("Medium"),(IF(COUNTIF(H516:H526,"Low")&gt;0,("Low"),("Normal"))))))))))))))</f>
        <v>Normal</v>
      </c>
      <c r="J516" s="7">
        <f t="shared" si="74"/>
        <v>0</v>
      </c>
      <c r="K516" s="14">
        <v>55</v>
      </c>
      <c r="L516" s="4">
        <v>46210</v>
      </c>
      <c r="M516" s="5">
        <v>53.7</v>
      </c>
      <c r="N516" s="150" t="s">
        <v>372</v>
      </c>
    </row>
    <row r="517" spans="1:14" x14ac:dyDescent="0.35">
      <c r="A517" s="19"/>
      <c r="B517" s="153"/>
      <c r="C517" s="153"/>
      <c r="D517" s="10" t="s">
        <v>17</v>
      </c>
      <c r="E517" s="7">
        <f t="shared" si="77"/>
        <v>66</v>
      </c>
      <c r="F517" s="7">
        <f t="shared" si="78"/>
        <v>76</v>
      </c>
      <c r="G517" s="9" t="s">
        <v>16</v>
      </c>
      <c r="H517" s="27" t="str">
        <f t="shared" si="75"/>
        <v>Normal</v>
      </c>
      <c r="I517" s="156"/>
      <c r="J517" s="7">
        <f t="shared" si="74"/>
        <v>0</v>
      </c>
      <c r="K517" s="14">
        <v>55</v>
      </c>
      <c r="L517" s="4">
        <v>46210</v>
      </c>
      <c r="M517" s="5">
        <v>38.799999999999997</v>
      </c>
      <c r="N517" s="151"/>
    </row>
    <row r="518" spans="1:14" x14ac:dyDescent="0.35">
      <c r="A518" s="19"/>
      <c r="B518" s="153"/>
      <c r="C518" s="153"/>
      <c r="D518" s="10" t="s">
        <v>18</v>
      </c>
      <c r="E518" s="7">
        <f t="shared" si="77"/>
        <v>66</v>
      </c>
      <c r="F518" s="7">
        <f t="shared" si="78"/>
        <v>76</v>
      </c>
      <c r="G518" s="9" t="s">
        <v>16</v>
      </c>
      <c r="H518" s="27" t="str">
        <f t="shared" si="75"/>
        <v>Normal</v>
      </c>
      <c r="I518" s="156"/>
      <c r="J518" s="7">
        <f t="shared" si="74"/>
        <v>3.7000000000000028</v>
      </c>
      <c r="K518" s="14">
        <v>55</v>
      </c>
      <c r="L518" s="4">
        <v>46210</v>
      </c>
      <c r="M518" s="5">
        <v>58.7</v>
      </c>
      <c r="N518" s="151"/>
    </row>
    <row r="519" spans="1:14" x14ac:dyDescent="0.35">
      <c r="A519" s="19"/>
      <c r="B519" s="153"/>
      <c r="C519" s="153"/>
      <c r="D519" s="10" t="s">
        <v>25</v>
      </c>
      <c r="E519" s="7">
        <f t="shared" si="77"/>
        <v>66</v>
      </c>
      <c r="F519" s="7">
        <f t="shared" si="78"/>
        <v>76</v>
      </c>
      <c r="G519" s="9" t="s">
        <v>16</v>
      </c>
      <c r="H519" s="27" t="str">
        <f t="shared" si="75"/>
        <v>Normal</v>
      </c>
      <c r="I519" s="156"/>
      <c r="J519" s="7">
        <f t="shared" si="74"/>
        <v>1</v>
      </c>
      <c r="K519" s="14">
        <v>55</v>
      </c>
      <c r="L519" s="4">
        <v>46210</v>
      </c>
      <c r="M519" s="5">
        <v>56</v>
      </c>
      <c r="N519" s="151"/>
    </row>
    <row r="520" spans="1:14" x14ac:dyDescent="0.35">
      <c r="A520" s="19"/>
      <c r="B520" s="153"/>
      <c r="C520" s="153"/>
      <c r="D520" s="10" t="s">
        <v>26</v>
      </c>
      <c r="E520" s="7">
        <f t="shared" si="77"/>
        <v>66</v>
      </c>
      <c r="F520" s="7">
        <f t="shared" si="78"/>
        <v>76</v>
      </c>
      <c r="G520" s="9" t="s">
        <v>16</v>
      </c>
      <c r="H520" s="27" t="str">
        <f t="shared" si="75"/>
        <v>Normal</v>
      </c>
      <c r="I520" s="156"/>
      <c r="J520" s="7">
        <f t="shared" si="74"/>
        <v>0</v>
      </c>
      <c r="K520" s="14">
        <v>55</v>
      </c>
      <c r="L520" s="4">
        <v>46210</v>
      </c>
      <c r="M520" s="5">
        <v>52.8</v>
      </c>
      <c r="N520" s="151"/>
    </row>
    <row r="521" spans="1:14" x14ac:dyDescent="0.35">
      <c r="A521" s="19"/>
      <c r="B521" s="153"/>
      <c r="C521" s="153"/>
      <c r="D521" s="10" t="s">
        <v>67</v>
      </c>
      <c r="E521" s="7">
        <f t="shared" si="77"/>
        <v>66</v>
      </c>
      <c r="F521" s="7">
        <f t="shared" si="78"/>
        <v>76</v>
      </c>
      <c r="G521" s="9" t="s">
        <v>16</v>
      </c>
      <c r="H521" s="27" t="str">
        <f t="shared" si="75"/>
        <v>Normal</v>
      </c>
      <c r="I521" s="156"/>
      <c r="J521" s="7">
        <f t="shared" si="74"/>
        <v>0</v>
      </c>
      <c r="K521" s="14">
        <v>55</v>
      </c>
      <c r="L521" s="4">
        <v>46210</v>
      </c>
      <c r="M521" s="5">
        <v>53.4</v>
      </c>
      <c r="N521" s="151"/>
    </row>
    <row r="522" spans="1:14" x14ac:dyDescent="0.35">
      <c r="A522" s="19"/>
      <c r="B522" s="153"/>
      <c r="C522" s="153"/>
      <c r="D522" s="10" t="s">
        <v>68</v>
      </c>
      <c r="E522" s="7">
        <f t="shared" si="77"/>
        <v>66</v>
      </c>
      <c r="F522" s="7">
        <f t="shared" si="78"/>
        <v>76</v>
      </c>
      <c r="G522" s="9" t="s">
        <v>16</v>
      </c>
      <c r="H522" s="27" t="str">
        <f t="shared" si="75"/>
        <v>Normal</v>
      </c>
      <c r="I522" s="156"/>
      <c r="J522" s="7">
        <f t="shared" si="74"/>
        <v>0</v>
      </c>
      <c r="K522" s="14">
        <v>55</v>
      </c>
      <c r="L522" s="4">
        <v>46210</v>
      </c>
      <c r="M522" s="5">
        <v>54.4</v>
      </c>
      <c r="N522" s="151"/>
    </row>
    <row r="523" spans="1:14" x14ac:dyDescent="0.35">
      <c r="A523" s="19"/>
      <c r="B523" s="153"/>
      <c r="C523" s="153"/>
      <c r="D523" s="10" t="s">
        <v>156</v>
      </c>
      <c r="E523" s="7">
        <f t="shared" si="77"/>
        <v>76</v>
      </c>
      <c r="F523" s="7">
        <f t="shared" si="78"/>
        <v>86</v>
      </c>
      <c r="G523" s="9" t="s">
        <v>16</v>
      </c>
      <c r="H523" s="27" t="str">
        <f t="shared" si="75"/>
        <v>Normal</v>
      </c>
      <c r="I523" s="156"/>
      <c r="J523" s="7">
        <f t="shared" si="74"/>
        <v>4.7999999999999972</v>
      </c>
      <c r="K523" s="14">
        <v>65</v>
      </c>
      <c r="L523" s="4">
        <v>46210</v>
      </c>
      <c r="M523" s="5">
        <v>69.8</v>
      </c>
      <c r="N523" s="151"/>
    </row>
    <row r="524" spans="1:14" x14ac:dyDescent="0.35">
      <c r="A524" s="19"/>
      <c r="B524" s="153"/>
      <c r="C524" s="153"/>
      <c r="D524" s="10" t="s">
        <v>33</v>
      </c>
      <c r="E524" s="7">
        <f t="shared" si="77"/>
        <v>41</v>
      </c>
      <c r="F524" s="7">
        <f t="shared" si="78"/>
        <v>51</v>
      </c>
      <c r="G524" s="9" t="s">
        <v>16</v>
      </c>
      <c r="H524" s="27" t="str">
        <f t="shared" si="75"/>
        <v>Normal</v>
      </c>
      <c r="I524" s="156"/>
      <c r="J524" s="7">
        <f t="shared" si="74"/>
        <v>1.3000000000000007</v>
      </c>
      <c r="K524" s="14">
        <v>30</v>
      </c>
      <c r="L524" s="4">
        <v>46210</v>
      </c>
      <c r="M524" s="5">
        <v>31.3</v>
      </c>
      <c r="N524" s="151"/>
    </row>
    <row r="525" spans="1:14" x14ac:dyDescent="0.35">
      <c r="A525" s="19"/>
      <c r="B525" s="153"/>
      <c r="C525" s="153"/>
      <c r="D525" s="10" t="s">
        <v>34</v>
      </c>
      <c r="E525" s="7">
        <f t="shared" si="77"/>
        <v>41</v>
      </c>
      <c r="F525" s="7">
        <f t="shared" si="78"/>
        <v>51</v>
      </c>
      <c r="G525" s="9" t="s">
        <v>16</v>
      </c>
      <c r="H525" s="27" t="str">
        <f t="shared" si="75"/>
        <v>Normal</v>
      </c>
      <c r="I525" s="156"/>
      <c r="J525" s="7">
        <f t="shared" si="74"/>
        <v>2.8999999999999986</v>
      </c>
      <c r="K525" s="14">
        <v>30</v>
      </c>
      <c r="L525" s="4">
        <v>46210</v>
      </c>
      <c r="M525" s="5">
        <v>32.9</v>
      </c>
      <c r="N525" s="151"/>
    </row>
    <row r="526" spans="1:14" x14ac:dyDescent="0.35">
      <c r="A526" s="20"/>
      <c r="B526" s="154"/>
      <c r="C526" s="154"/>
      <c r="D526" s="10" t="s">
        <v>35</v>
      </c>
      <c r="E526" s="7">
        <f>(K526+11)</f>
        <v>41</v>
      </c>
      <c r="F526" s="7">
        <f t="shared" si="78"/>
        <v>51</v>
      </c>
      <c r="G526" s="9" t="s">
        <v>16</v>
      </c>
      <c r="H526" s="27" t="str">
        <f t="shared" si="75"/>
        <v>Normal</v>
      </c>
      <c r="I526" s="157"/>
      <c r="J526" s="7">
        <f t="shared" si="74"/>
        <v>0</v>
      </c>
      <c r="K526" s="14">
        <v>30</v>
      </c>
      <c r="L526" s="4">
        <v>46210</v>
      </c>
      <c r="M526" s="5">
        <v>29.8</v>
      </c>
      <c r="N526" s="151"/>
    </row>
    <row r="527" spans="1:14" ht="15" customHeight="1" x14ac:dyDescent="0.35">
      <c r="A527" s="18">
        <v>3</v>
      </c>
      <c r="B527" s="152" t="s">
        <v>70</v>
      </c>
      <c r="C527" s="152" t="s">
        <v>210</v>
      </c>
      <c r="D527" s="8" t="s">
        <v>15</v>
      </c>
      <c r="E527" s="7">
        <f t="shared" ref="E527:E673" si="79">(K527+11)</f>
        <v>81</v>
      </c>
      <c r="F527" s="7">
        <f t="shared" si="78"/>
        <v>91</v>
      </c>
      <c r="G527" s="9" t="s">
        <v>16</v>
      </c>
      <c r="H527" s="27" t="str">
        <f t="shared" si="75"/>
        <v>Normal</v>
      </c>
      <c r="I527" s="155" t="str">
        <f>IF(COUNTIF(H527:H534,"-")&gt;0,("-"),(IF(COUNTIF(H527:H534,"STD BY")&gt;0,("STD BY"),(IF(COUNTIF(H527:H531,"N/A")&gt;0,("N/A"),(IF(COUNTIF(H527:H531,"Critical")&gt;0,("Critical"),(IF(COUNTIF(H527:H531,"High")&gt;0,("High"),(IF(COUNTIF(H527:H531,"Medium")&gt;0,("Medium"),(IF(COUNTIF(H527:H531,"Low")&gt;0,("Low"),("Normal"))))))))))))))</f>
        <v>Low</v>
      </c>
      <c r="J527" s="7">
        <f t="shared" ref="J527:J534" si="80">IF(M527="",(""),(IF(M527="STD BY",("STD BY"),(IF(M527="N/A",("N/A"),(IF(M527-K527&gt;0,(M527-K527),(0))))))))</f>
        <v>0</v>
      </c>
      <c r="K527" s="14">
        <v>70</v>
      </c>
      <c r="L527" s="4">
        <v>46224</v>
      </c>
      <c r="M527" s="5">
        <v>50</v>
      </c>
      <c r="N527" s="186" t="s">
        <v>372</v>
      </c>
    </row>
    <row r="528" spans="1:14" x14ac:dyDescent="0.35">
      <c r="A528" s="26"/>
      <c r="B528" s="153"/>
      <c r="C528" s="153"/>
      <c r="D528" s="10" t="s">
        <v>17</v>
      </c>
      <c r="E528" s="7">
        <f>(K528+11)</f>
        <v>61</v>
      </c>
      <c r="F528" s="7">
        <f>(E528+10)</f>
        <v>71</v>
      </c>
      <c r="G528" s="9" t="s">
        <v>16</v>
      </c>
      <c r="H528" s="27" t="str">
        <f>IF(J528="",("-"),(IF(J528="STD BY",("STD BY"),(IF(J528="N/A",("N/A"),(IF(J528&lt;5,("Normal"),(IF(J528&lt;11,("Low"),(IF(J528&lt;21,("Medium"),(IF(J528&lt;41,("High"),("Critical"))))))))))))))</f>
        <v>Normal</v>
      </c>
      <c r="I528" s="156"/>
      <c r="J528" s="7">
        <f t="shared" si="80"/>
        <v>0</v>
      </c>
      <c r="K528" s="14">
        <v>50</v>
      </c>
      <c r="L528" s="4">
        <v>46224</v>
      </c>
      <c r="M528" s="5">
        <v>36.1</v>
      </c>
      <c r="N528" s="187"/>
    </row>
    <row r="529" spans="1:14" x14ac:dyDescent="0.35">
      <c r="A529" s="19"/>
      <c r="B529" s="153"/>
      <c r="C529" s="153"/>
      <c r="D529" s="10" t="s">
        <v>18</v>
      </c>
      <c r="E529" s="7">
        <f t="shared" si="79"/>
        <v>61</v>
      </c>
      <c r="F529" s="7">
        <f t="shared" si="78"/>
        <v>71</v>
      </c>
      <c r="G529" s="9" t="s">
        <v>16</v>
      </c>
      <c r="H529" s="27" t="str">
        <f t="shared" si="75"/>
        <v>Normal</v>
      </c>
      <c r="I529" s="156"/>
      <c r="J529" s="7">
        <f t="shared" si="80"/>
        <v>0</v>
      </c>
      <c r="K529" s="14">
        <v>50</v>
      </c>
      <c r="L529" s="4">
        <v>46224</v>
      </c>
      <c r="M529" s="5">
        <v>40.799999999999997</v>
      </c>
      <c r="N529" s="187"/>
    </row>
    <row r="530" spans="1:14" x14ac:dyDescent="0.35">
      <c r="A530" s="19"/>
      <c r="B530" s="153"/>
      <c r="C530" s="153"/>
      <c r="D530" s="10" t="s">
        <v>25</v>
      </c>
      <c r="E530" s="7">
        <f t="shared" si="79"/>
        <v>61</v>
      </c>
      <c r="F530" s="7">
        <f t="shared" si="78"/>
        <v>71</v>
      </c>
      <c r="G530" s="9" t="s">
        <v>16</v>
      </c>
      <c r="H530" s="27" t="str">
        <f t="shared" si="75"/>
        <v>Normal</v>
      </c>
      <c r="I530" s="156"/>
      <c r="J530" s="7">
        <f t="shared" si="80"/>
        <v>0</v>
      </c>
      <c r="K530" s="14">
        <v>50</v>
      </c>
      <c r="L530" s="4">
        <v>46224</v>
      </c>
      <c r="M530" s="5">
        <v>45.9</v>
      </c>
      <c r="N530" s="187"/>
    </row>
    <row r="531" spans="1:14" x14ac:dyDescent="0.35">
      <c r="A531" s="19"/>
      <c r="B531" s="153"/>
      <c r="C531" s="153"/>
      <c r="D531" s="10" t="s">
        <v>26</v>
      </c>
      <c r="E531" s="7">
        <f t="shared" si="79"/>
        <v>61</v>
      </c>
      <c r="F531" s="7">
        <f t="shared" si="78"/>
        <v>71</v>
      </c>
      <c r="G531" s="9" t="s">
        <v>16</v>
      </c>
      <c r="H531" s="27" t="str">
        <f t="shared" si="75"/>
        <v>Low</v>
      </c>
      <c r="I531" s="156"/>
      <c r="J531" s="7">
        <f t="shared" si="80"/>
        <v>8</v>
      </c>
      <c r="K531" s="14">
        <v>50</v>
      </c>
      <c r="L531" s="4">
        <v>46224</v>
      </c>
      <c r="M531" s="5">
        <v>58</v>
      </c>
      <c r="N531" s="187"/>
    </row>
    <row r="532" spans="1:14" x14ac:dyDescent="0.35">
      <c r="A532" s="19"/>
      <c r="B532" s="153"/>
      <c r="C532" s="153"/>
      <c r="D532" s="10" t="s">
        <v>33</v>
      </c>
      <c r="E532" s="7">
        <f t="shared" si="79"/>
        <v>41</v>
      </c>
      <c r="F532" s="7">
        <f t="shared" si="78"/>
        <v>51</v>
      </c>
      <c r="G532" s="9" t="s">
        <v>16</v>
      </c>
      <c r="H532" s="27" t="str">
        <f t="shared" si="75"/>
        <v>Normal</v>
      </c>
      <c r="I532" s="156"/>
      <c r="J532" s="7">
        <f t="shared" si="80"/>
        <v>0</v>
      </c>
      <c r="K532" s="14">
        <v>30</v>
      </c>
      <c r="L532" s="4">
        <v>46224</v>
      </c>
      <c r="M532" s="5">
        <v>23.2</v>
      </c>
      <c r="N532" s="187"/>
    </row>
    <row r="533" spans="1:14" x14ac:dyDescent="0.35">
      <c r="A533" s="19"/>
      <c r="B533" s="153"/>
      <c r="C533" s="153"/>
      <c r="D533" s="10" t="s">
        <v>34</v>
      </c>
      <c r="E533" s="7">
        <f t="shared" si="79"/>
        <v>41</v>
      </c>
      <c r="F533" s="7">
        <f t="shared" si="78"/>
        <v>51</v>
      </c>
      <c r="G533" s="9" t="s">
        <v>16</v>
      </c>
      <c r="H533" s="27" t="str">
        <f t="shared" si="75"/>
        <v>Normal</v>
      </c>
      <c r="I533" s="156"/>
      <c r="J533" s="7">
        <f t="shared" si="80"/>
        <v>0</v>
      </c>
      <c r="K533" s="14">
        <v>30</v>
      </c>
      <c r="L533" s="4">
        <v>46224</v>
      </c>
      <c r="M533" s="5">
        <v>23.2</v>
      </c>
      <c r="N533" s="187"/>
    </row>
    <row r="534" spans="1:14" x14ac:dyDescent="0.35">
      <c r="A534" s="19"/>
      <c r="B534" s="154"/>
      <c r="C534" s="154"/>
      <c r="D534" s="10" t="s">
        <v>35</v>
      </c>
      <c r="E534" s="7">
        <f t="shared" si="79"/>
        <v>41</v>
      </c>
      <c r="F534" s="7">
        <f t="shared" si="78"/>
        <v>51</v>
      </c>
      <c r="G534" s="9" t="s">
        <v>16</v>
      </c>
      <c r="H534" s="27" t="str">
        <f t="shared" si="75"/>
        <v>Normal</v>
      </c>
      <c r="I534" s="157"/>
      <c r="J534" s="7">
        <f t="shared" si="80"/>
        <v>0</v>
      </c>
      <c r="K534" s="14">
        <v>30</v>
      </c>
      <c r="L534" s="4">
        <v>46224</v>
      </c>
      <c r="M534" s="5">
        <v>23.2</v>
      </c>
      <c r="N534" s="187"/>
    </row>
    <row r="535" spans="1:14" ht="15" customHeight="1" x14ac:dyDescent="0.35">
      <c r="A535" s="18">
        <v>3</v>
      </c>
      <c r="B535" s="152" t="s">
        <v>71</v>
      </c>
      <c r="C535" s="152" t="s">
        <v>211</v>
      </c>
      <c r="D535" s="8" t="s">
        <v>15</v>
      </c>
      <c r="E535" s="7">
        <f t="shared" si="79"/>
        <v>81</v>
      </c>
      <c r="F535" s="7">
        <f t="shared" si="78"/>
        <v>91</v>
      </c>
      <c r="G535" s="9" t="s">
        <v>16</v>
      </c>
      <c r="H535" s="27" t="str">
        <f t="shared" si="75"/>
        <v>Normal</v>
      </c>
      <c r="I535" s="155" t="str">
        <f>IF(COUNTIF(H535:H542,"-")&gt;0,("-"),(IF(COUNTIF(H535:H542,"STD BY")&gt;0,("STD BY"),(IF(COUNTIF(H535:H539,"N/A")&gt;0,("N/A"),(IF(COUNTIF(H535:H539,"Critical")&gt;0,("Critical"),(IF(COUNTIF(H535:H539,"High")&gt;0,("High"),(IF(COUNTIF(H535:H539,"Medium")&gt;0,("Medium"),(IF(COUNTIF(H535:H539,"Low")&gt;0,("Low"),("Normal"))))))))))))))</f>
        <v>Low</v>
      </c>
      <c r="J535" s="7">
        <f t="shared" si="74"/>
        <v>3</v>
      </c>
      <c r="K535" s="14">
        <v>70</v>
      </c>
      <c r="L535" s="4">
        <v>46210</v>
      </c>
      <c r="M535" s="5">
        <v>73</v>
      </c>
      <c r="N535" s="192" t="s">
        <v>372</v>
      </c>
    </row>
    <row r="536" spans="1:14" ht="14.5" customHeight="1" x14ac:dyDescent="0.35">
      <c r="A536" s="26"/>
      <c r="B536" s="153"/>
      <c r="C536" s="153"/>
      <c r="D536" s="10" t="s">
        <v>17</v>
      </c>
      <c r="E536" s="7">
        <f>(K536+11)</f>
        <v>61</v>
      </c>
      <c r="F536" s="7">
        <f>(E536+10)</f>
        <v>71</v>
      </c>
      <c r="G536" s="9" t="s">
        <v>16</v>
      </c>
      <c r="H536" s="27" t="str">
        <f>IF(J536="",("-"),(IF(J536="STD BY",("STD BY"),(IF(J536="N/A",("N/A"),(IF(J536&lt;5,("Normal"),(IF(J536&lt;11,("Low"),(IF(J536&lt;21,("Medium"),(IF(J536&lt;41,("High"),("Critical"))))))))))))))</f>
        <v>Normal</v>
      </c>
      <c r="I536" s="156"/>
      <c r="J536" s="7">
        <f t="shared" si="74"/>
        <v>0</v>
      </c>
      <c r="K536" s="14">
        <v>50</v>
      </c>
      <c r="L536" s="4">
        <v>46210</v>
      </c>
      <c r="M536" s="5">
        <v>35.5</v>
      </c>
      <c r="N536" s="193"/>
    </row>
    <row r="537" spans="1:14" x14ac:dyDescent="0.35">
      <c r="A537" s="19"/>
      <c r="B537" s="153"/>
      <c r="C537" s="153"/>
      <c r="D537" s="10" t="s">
        <v>18</v>
      </c>
      <c r="E537" s="7">
        <f t="shared" si="79"/>
        <v>61</v>
      </c>
      <c r="F537" s="7">
        <f t="shared" si="78"/>
        <v>71</v>
      </c>
      <c r="G537" s="9" t="s">
        <v>16</v>
      </c>
      <c r="H537" s="27" t="str">
        <f t="shared" si="75"/>
        <v>Normal</v>
      </c>
      <c r="I537" s="156"/>
      <c r="J537" s="7">
        <f t="shared" si="74"/>
        <v>0</v>
      </c>
      <c r="K537" s="14">
        <v>50</v>
      </c>
      <c r="L537" s="4">
        <v>46210</v>
      </c>
      <c r="M537" s="5">
        <v>39.799999999999997</v>
      </c>
      <c r="N537" s="193"/>
    </row>
    <row r="538" spans="1:14" x14ac:dyDescent="0.35">
      <c r="A538" s="19"/>
      <c r="B538" s="153"/>
      <c r="C538" s="153"/>
      <c r="D538" s="10" t="s">
        <v>25</v>
      </c>
      <c r="E538" s="7">
        <f t="shared" si="79"/>
        <v>61</v>
      </c>
      <c r="F538" s="7">
        <f t="shared" si="78"/>
        <v>71</v>
      </c>
      <c r="G538" s="9" t="s">
        <v>16</v>
      </c>
      <c r="H538" s="27" t="str">
        <f t="shared" si="75"/>
        <v>Normal</v>
      </c>
      <c r="I538" s="156"/>
      <c r="J538" s="7">
        <f t="shared" si="74"/>
        <v>0</v>
      </c>
      <c r="K538" s="14">
        <v>50</v>
      </c>
      <c r="L538" s="4">
        <v>46210</v>
      </c>
      <c r="M538" s="5">
        <v>42.6</v>
      </c>
      <c r="N538" s="193"/>
    </row>
    <row r="539" spans="1:14" x14ac:dyDescent="0.35">
      <c r="A539" s="19"/>
      <c r="B539" s="153"/>
      <c r="C539" s="153"/>
      <c r="D539" s="10" t="s">
        <v>26</v>
      </c>
      <c r="E539" s="7">
        <f t="shared" si="79"/>
        <v>61</v>
      </c>
      <c r="F539" s="7">
        <f t="shared" si="78"/>
        <v>71</v>
      </c>
      <c r="G539" s="9" t="s">
        <v>16</v>
      </c>
      <c r="H539" s="27" t="str">
        <f t="shared" si="75"/>
        <v>Low</v>
      </c>
      <c r="I539" s="156"/>
      <c r="J539" s="7">
        <f t="shared" si="74"/>
        <v>9</v>
      </c>
      <c r="K539" s="14">
        <v>50</v>
      </c>
      <c r="L539" s="4">
        <v>46210</v>
      </c>
      <c r="M539" s="5">
        <v>59</v>
      </c>
      <c r="N539" s="193"/>
    </row>
    <row r="540" spans="1:14" x14ac:dyDescent="0.35">
      <c r="A540" s="19"/>
      <c r="B540" s="153"/>
      <c r="C540" s="153"/>
      <c r="D540" s="10" t="s">
        <v>33</v>
      </c>
      <c r="E540" s="7">
        <f t="shared" si="79"/>
        <v>41</v>
      </c>
      <c r="F540" s="7">
        <f t="shared" si="78"/>
        <v>51</v>
      </c>
      <c r="G540" s="9" t="s">
        <v>16</v>
      </c>
      <c r="H540" s="27" t="str">
        <f t="shared" si="75"/>
        <v>Normal</v>
      </c>
      <c r="I540" s="156"/>
      <c r="J540" s="7">
        <f t="shared" si="74"/>
        <v>0</v>
      </c>
      <c r="K540" s="14">
        <v>30</v>
      </c>
      <c r="L540" s="4">
        <v>46210</v>
      </c>
      <c r="M540" s="5">
        <v>23.5</v>
      </c>
      <c r="N540" s="193"/>
    </row>
    <row r="541" spans="1:14" x14ac:dyDescent="0.35">
      <c r="A541" s="19"/>
      <c r="B541" s="153"/>
      <c r="C541" s="153"/>
      <c r="D541" s="10" t="s">
        <v>34</v>
      </c>
      <c r="E541" s="7">
        <f t="shared" si="79"/>
        <v>41</v>
      </c>
      <c r="F541" s="7">
        <f t="shared" si="78"/>
        <v>51</v>
      </c>
      <c r="G541" s="9" t="s">
        <v>16</v>
      </c>
      <c r="H541" s="27" t="str">
        <f t="shared" si="75"/>
        <v>Normal</v>
      </c>
      <c r="I541" s="156"/>
      <c r="J541" s="7">
        <f t="shared" si="74"/>
        <v>0</v>
      </c>
      <c r="K541" s="14">
        <v>30</v>
      </c>
      <c r="L541" s="4">
        <v>46210</v>
      </c>
      <c r="M541" s="5">
        <v>23.5</v>
      </c>
      <c r="N541" s="193"/>
    </row>
    <row r="542" spans="1:14" x14ac:dyDescent="0.35">
      <c r="A542" s="19"/>
      <c r="B542" s="154"/>
      <c r="C542" s="154"/>
      <c r="D542" s="10" t="s">
        <v>35</v>
      </c>
      <c r="E542" s="7">
        <f t="shared" si="79"/>
        <v>41</v>
      </c>
      <c r="F542" s="7">
        <f t="shared" si="78"/>
        <v>51</v>
      </c>
      <c r="G542" s="9" t="s">
        <v>16</v>
      </c>
      <c r="H542" s="27" t="str">
        <f t="shared" si="75"/>
        <v>Normal</v>
      </c>
      <c r="I542" s="157"/>
      <c r="J542" s="7">
        <f t="shared" si="74"/>
        <v>0</v>
      </c>
      <c r="K542" s="14">
        <v>30</v>
      </c>
      <c r="L542" s="4">
        <v>46210</v>
      </c>
      <c r="M542" s="5">
        <v>23.4</v>
      </c>
      <c r="N542" s="194"/>
    </row>
    <row r="543" spans="1:14" ht="15" customHeight="1" x14ac:dyDescent="0.35">
      <c r="A543" s="18">
        <v>3</v>
      </c>
      <c r="B543" s="152" t="s">
        <v>72</v>
      </c>
      <c r="C543" s="152" t="s">
        <v>212</v>
      </c>
      <c r="D543" s="8" t="s">
        <v>15</v>
      </c>
      <c r="E543" s="7">
        <f t="shared" si="79"/>
        <v>71</v>
      </c>
      <c r="F543" s="7">
        <f t="shared" si="78"/>
        <v>81</v>
      </c>
      <c r="G543" s="9" t="s">
        <v>16</v>
      </c>
      <c r="H543" s="27" t="str">
        <f t="shared" si="75"/>
        <v>STD BY</v>
      </c>
      <c r="I543" s="155" t="str">
        <f>IF(COUNTIF(H543:H549,"-")&gt;0,("-"),(IF(COUNTIF(H543:H549,"STD BY")&gt;0,("STD BY"),(IF(COUNTIF(H543:H546,"N/A")&gt;0,("N/A"),(IF(COUNTIF(H543:H546,"Critical")&gt;0,("Critical"),(IF(COUNTIF(H543:H546,"High")&gt;0,("High"),(IF(COUNTIF(H543:H546,"Medium")&gt;0,("Medium"),(IF(COUNTIF(H543:H546,"Low")&gt;0,("Low"),("Normal"))))))))))))))</f>
        <v>STD BY</v>
      </c>
      <c r="J543" s="7" t="str">
        <f t="shared" si="74"/>
        <v>STD BY</v>
      </c>
      <c r="K543" s="14">
        <v>60</v>
      </c>
      <c r="L543" s="4"/>
      <c r="M543" s="5" t="s">
        <v>376</v>
      </c>
      <c r="N543" s="192" t="s">
        <v>371</v>
      </c>
    </row>
    <row r="544" spans="1:14" x14ac:dyDescent="0.35">
      <c r="A544" s="19"/>
      <c r="B544" s="153"/>
      <c r="C544" s="153"/>
      <c r="D544" s="10" t="s">
        <v>17</v>
      </c>
      <c r="E544" s="7">
        <f t="shared" si="79"/>
        <v>61</v>
      </c>
      <c r="F544" s="7">
        <f t="shared" si="78"/>
        <v>71</v>
      </c>
      <c r="G544" s="9" t="s">
        <v>16</v>
      </c>
      <c r="H544" s="27" t="str">
        <f t="shared" si="75"/>
        <v>STD BY</v>
      </c>
      <c r="I544" s="156"/>
      <c r="J544" s="7" t="str">
        <f t="shared" si="74"/>
        <v>STD BY</v>
      </c>
      <c r="K544" s="14">
        <v>50</v>
      </c>
      <c r="L544" s="4"/>
      <c r="M544" s="5" t="s">
        <v>376</v>
      </c>
      <c r="N544" s="193"/>
    </row>
    <row r="545" spans="1:14" x14ac:dyDescent="0.35">
      <c r="A545" s="19"/>
      <c r="B545" s="153"/>
      <c r="C545" s="153"/>
      <c r="D545" s="10" t="s">
        <v>18</v>
      </c>
      <c r="E545" s="7">
        <f t="shared" si="79"/>
        <v>61</v>
      </c>
      <c r="F545" s="7">
        <f t="shared" si="78"/>
        <v>71</v>
      </c>
      <c r="G545" s="9" t="s">
        <v>16</v>
      </c>
      <c r="H545" s="27" t="str">
        <f t="shared" si="75"/>
        <v>STD BY</v>
      </c>
      <c r="I545" s="156"/>
      <c r="J545" s="7" t="str">
        <f t="shared" si="74"/>
        <v>STD BY</v>
      </c>
      <c r="K545" s="14">
        <v>50</v>
      </c>
      <c r="L545" s="4"/>
      <c r="M545" s="5" t="s">
        <v>376</v>
      </c>
      <c r="N545" s="193"/>
    </row>
    <row r="546" spans="1:14" x14ac:dyDescent="0.35">
      <c r="A546" s="19"/>
      <c r="B546" s="153"/>
      <c r="C546" s="153"/>
      <c r="D546" s="10" t="s">
        <v>19</v>
      </c>
      <c r="E546" s="7">
        <f t="shared" si="79"/>
        <v>71</v>
      </c>
      <c r="F546" s="7">
        <f t="shared" si="78"/>
        <v>81</v>
      </c>
      <c r="G546" s="9" t="s">
        <v>16</v>
      </c>
      <c r="H546" s="27" t="str">
        <f t="shared" si="75"/>
        <v>STD BY</v>
      </c>
      <c r="I546" s="156"/>
      <c r="J546" s="7" t="str">
        <f t="shared" si="74"/>
        <v>STD BY</v>
      </c>
      <c r="K546" s="14">
        <v>60</v>
      </c>
      <c r="L546" s="4"/>
      <c r="M546" s="5" t="s">
        <v>376</v>
      </c>
      <c r="N546" s="193"/>
    </row>
    <row r="547" spans="1:14" x14ac:dyDescent="0.35">
      <c r="A547" s="19"/>
      <c r="B547" s="153"/>
      <c r="C547" s="153"/>
      <c r="D547" s="10" t="s">
        <v>33</v>
      </c>
      <c r="E547" s="7">
        <f t="shared" si="79"/>
        <v>41</v>
      </c>
      <c r="F547" s="7">
        <f t="shared" si="78"/>
        <v>51</v>
      </c>
      <c r="G547" s="9" t="s">
        <v>16</v>
      </c>
      <c r="H547" s="27" t="str">
        <f t="shared" si="75"/>
        <v>STD BY</v>
      </c>
      <c r="I547" s="156"/>
      <c r="J547" s="7" t="str">
        <f t="shared" si="74"/>
        <v>STD BY</v>
      </c>
      <c r="K547" s="14">
        <v>30</v>
      </c>
      <c r="L547" s="4"/>
      <c r="M547" s="5" t="s">
        <v>376</v>
      </c>
      <c r="N547" s="193"/>
    </row>
    <row r="548" spans="1:14" x14ac:dyDescent="0.35">
      <c r="A548" s="19"/>
      <c r="B548" s="153"/>
      <c r="C548" s="153"/>
      <c r="D548" s="10" t="s">
        <v>34</v>
      </c>
      <c r="E548" s="7">
        <f t="shared" si="79"/>
        <v>41</v>
      </c>
      <c r="F548" s="7">
        <f t="shared" si="78"/>
        <v>51</v>
      </c>
      <c r="G548" s="9" t="s">
        <v>16</v>
      </c>
      <c r="H548" s="27" t="str">
        <f t="shared" si="75"/>
        <v>STD BY</v>
      </c>
      <c r="I548" s="156"/>
      <c r="J548" s="7" t="str">
        <f t="shared" si="74"/>
        <v>STD BY</v>
      </c>
      <c r="K548" s="14">
        <v>30</v>
      </c>
      <c r="L548" s="4"/>
      <c r="M548" s="5" t="s">
        <v>376</v>
      </c>
      <c r="N548" s="193"/>
    </row>
    <row r="549" spans="1:14" x14ac:dyDescent="0.35">
      <c r="A549" s="19"/>
      <c r="B549" s="154"/>
      <c r="C549" s="154"/>
      <c r="D549" s="10" t="s">
        <v>35</v>
      </c>
      <c r="E549" s="7">
        <f t="shared" si="79"/>
        <v>41</v>
      </c>
      <c r="F549" s="7">
        <f t="shared" si="78"/>
        <v>51</v>
      </c>
      <c r="G549" s="9" t="s">
        <v>16</v>
      </c>
      <c r="H549" s="27" t="str">
        <f t="shared" si="75"/>
        <v>STD BY</v>
      </c>
      <c r="I549" s="157"/>
      <c r="J549" s="7" t="str">
        <f t="shared" si="74"/>
        <v>STD BY</v>
      </c>
      <c r="K549" s="14">
        <v>30</v>
      </c>
      <c r="L549" s="4"/>
      <c r="M549" s="5" t="s">
        <v>376</v>
      </c>
      <c r="N549" s="194"/>
    </row>
    <row r="550" spans="1:14" ht="15" customHeight="1" x14ac:dyDescent="0.35">
      <c r="A550" s="18">
        <v>3</v>
      </c>
      <c r="B550" s="152" t="s">
        <v>73</v>
      </c>
      <c r="C550" s="152" t="s">
        <v>213</v>
      </c>
      <c r="D550" s="8" t="s">
        <v>15</v>
      </c>
      <c r="E550" s="7">
        <f t="shared" si="79"/>
        <v>71</v>
      </c>
      <c r="F550" s="7">
        <f t="shared" si="78"/>
        <v>81</v>
      </c>
      <c r="G550" s="9" t="s">
        <v>16</v>
      </c>
      <c r="H550" s="27" t="str">
        <f t="shared" si="75"/>
        <v>Normal</v>
      </c>
      <c r="I550" s="155" t="str">
        <f>IF(COUNTIF(H550:H556,"-")&gt;0,("-"),(IF(COUNTIF(H550:H556,"STD BY")&gt;0,("STD BY"),(IF(COUNTIF(H550:H553,"N/A")&gt;0,("N/A"),(IF(COUNTIF(H550:H553,"Critical")&gt;0,("Critical"),(IF(COUNTIF(H550:H553,"High")&gt;0,("High"),(IF(COUNTIF(H550:H553,"Medium")&gt;0,("Medium"),(IF(COUNTIF(H550:H553,"Low")&gt;0,("Low"),("Normal"))))))))))))))</f>
        <v>Normal</v>
      </c>
      <c r="J550" s="7">
        <f t="shared" si="74"/>
        <v>0</v>
      </c>
      <c r="K550" s="14">
        <v>60</v>
      </c>
      <c r="L550" s="4">
        <v>46212</v>
      </c>
      <c r="M550" s="5">
        <v>57.5</v>
      </c>
      <c r="N550" s="192" t="s">
        <v>372</v>
      </c>
    </row>
    <row r="551" spans="1:14" x14ac:dyDescent="0.35">
      <c r="A551" s="19"/>
      <c r="B551" s="153"/>
      <c r="C551" s="153"/>
      <c r="D551" s="10" t="s">
        <v>17</v>
      </c>
      <c r="E551" s="7">
        <f t="shared" si="79"/>
        <v>61</v>
      </c>
      <c r="F551" s="7">
        <f t="shared" si="78"/>
        <v>71</v>
      </c>
      <c r="G551" s="9" t="s">
        <v>16</v>
      </c>
      <c r="H551" s="27" t="str">
        <f t="shared" si="75"/>
        <v>Normal</v>
      </c>
      <c r="I551" s="156"/>
      <c r="J551" s="7">
        <f t="shared" si="74"/>
        <v>0</v>
      </c>
      <c r="K551" s="14">
        <v>50</v>
      </c>
      <c r="L551" s="4">
        <v>46212</v>
      </c>
      <c r="M551" s="5">
        <v>44.3</v>
      </c>
      <c r="N551" s="193"/>
    </row>
    <row r="552" spans="1:14" x14ac:dyDescent="0.35">
      <c r="A552" s="19"/>
      <c r="B552" s="153"/>
      <c r="C552" s="153"/>
      <c r="D552" s="10" t="s">
        <v>18</v>
      </c>
      <c r="E552" s="7">
        <f t="shared" si="79"/>
        <v>61</v>
      </c>
      <c r="F552" s="7">
        <f t="shared" si="78"/>
        <v>71</v>
      </c>
      <c r="G552" s="9" t="s">
        <v>16</v>
      </c>
      <c r="H552" s="27" t="str">
        <f t="shared" si="75"/>
        <v>Normal</v>
      </c>
      <c r="I552" s="156"/>
      <c r="J552" s="7">
        <f t="shared" si="74"/>
        <v>0</v>
      </c>
      <c r="K552" s="14">
        <v>50</v>
      </c>
      <c r="L552" s="4">
        <v>46212</v>
      </c>
      <c r="M552" s="5">
        <v>41.5</v>
      </c>
      <c r="N552" s="193"/>
    </row>
    <row r="553" spans="1:14" x14ac:dyDescent="0.35">
      <c r="A553" s="19"/>
      <c r="B553" s="153"/>
      <c r="C553" s="153"/>
      <c r="D553" s="10" t="s">
        <v>19</v>
      </c>
      <c r="E553" s="7">
        <f t="shared" si="79"/>
        <v>71</v>
      </c>
      <c r="F553" s="7">
        <f t="shared" si="78"/>
        <v>81</v>
      </c>
      <c r="G553" s="9" t="s">
        <v>16</v>
      </c>
      <c r="H553" s="27" t="str">
        <f t="shared" si="75"/>
        <v>Normal</v>
      </c>
      <c r="I553" s="156"/>
      <c r="J553" s="7">
        <f t="shared" si="74"/>
        <v>0</v>
      </c>
      <c r="K553" s="14">
        <v>60</v>
      </c>
      <c r="L553" s="4">
        <v>46212</v>
      </c>
      <c r="M553" s="5">
        <v>51.8</v>
      </c>
      <c r="N553" s="193"/>
    </row>
    <row r="554" spans="1:14" x14ac:dyDescent="0.35">
      <c r="A554" s="19"/>
      <c r="B554" s="153"/>
      <c r="C554" s="153"/>
      <c r="D554" s="10" t="s">
        <v>33</v>
      </c>
      <c r="E554" s="7">
        <f t="shared" si="79"/>
        <v>41</v>
      </c>
      <c r="F554" s="7">
        <f t="shared" si="78"/>
        <v>51</v>
      </c>
      <c r="G554" s="9" t="s">
        <v>16</v>
      </c>
      <c r="H554" s="27" t="str">
        <f t="shared" si="75"/>
        <v>Normal</v>
      </c>
      <c r="I554" s="156"/>
      <c r="J554" s="7">
        <f t="shared" si="74"/>
        <v>0</v>
      </c>
      <c r="K554" s="14">
        <v>30</v>
      </c>
      <c r="L554" s="4">
        <v>46212</v>
      </c>
      <c r="M554" s="5">
        <v>22.8</v>
      </c>
      <c r="N554" s="193"/>
    </row>
    <row r="555" spans="1:14" x14ac:dyDescent="0.35">
      <c r="A555" s="19"/>
      <c r="B555" s="153"/>
      <c r="C555" s="153"/>
      <c r="D555" s="10" t="s">
        <v>34</v>
      </c>
      <c r="E555" s="7">
        <f t="shared" si="79"/>
        <v>41</v>
      </c>
      <c r="F555" s="7">
        <f t="shared" si="78"/>
        <v>51</v>
      </c>
      <c r="G555" s="9" t="s">
        <v>16</v>
      </c>
      <c r="H555" s="27" t="str">
        <f t="shared" si="75"/>
        <v>Normal</v>
      </c>
      <c r="I555" s="156"/>
      <c r="J555" s="7">
        <f t="shared" si="74"/>
        <v>0</v>
      </c>
      <c r="K555" s="14">
        <v>30</v>
      </c>
      <c r="L555" s="4">
        <v>46212</v>
      </c>
      <c r="M555" s="5">
        <v>23.1</v>
      </c>
      <c r="N555" s="193"/>
    </row>
    <row r="556" spans="1:14" x14ac:dyDescent="0.35">
      <c r="A556" s="19"/>
      <c r="B556" s="154"/>
      <c r="C556" s="154"/>
      <c r="D556" s="10" t="s">
        <v>35</v>
      </c>
      <c r="E556" s="7">
        <f t="shared" si="79"/>
        <v>41</v>
      </c>
      <c r="F556" s="7">
        <f t="shared" si="78"/>
        <v>51</v>
      </c>
      <c r="G556" s="9" t="s">
        <v>16</v>
      </c>
      <c r="H556" s="27" t="str">
        <f t="shared" si="75"/>
        <v>Normal</v>
      </c>
      <c r="I556" s="157"/>
      <c r="J556" s="7">
        <f t="shared" si="74"/>
        <v>0</v>
      </c>
      <c r="K556" s="14">
        <v>30</v>
      </c>
      <c r="L556" s="4">
        <v>46212</v>
      </c>
      <c r="M556" s="5">
        <v>23</v>
      </c>
      <c r="N556" s="194"/>
    </row>
    <row r="557" spans="1:14" ht="15" customHeight="1" x14ac:dyDescent="0.35">
      <c r="A557" s="18">
        <v>3</v>
      </c>
      <c r="B557" s="152" t="s">
        <v>149</v>
      </c>
      <c r="C557" s="152" t="s">
        <v>214</v>
      </c>
      <c r="D557" s="8" t="s">
        <v>15</v>
      </c>
      <c r="E557" s="7">
        <f t="shared" si="79"/>
        <v>66</v>
      </c>
      <c r="F557" s="7">
        <f t="shared" si="78"/>
        <v>76</v>
      </c>
      <c r="G557" s="9" t="s">
        <v>16</v>
      </c>
      <c r="H557" s="27" t="str">
        <f t="shared" si="75"/>
        <v>Normal</v>
      </c>
      <c r="I557" s="155" t="str">
        <f>IF(COUNTIF(H557:H559,"-")&gt;0,("-"),(IF(COUNTIF(H557:H559,"STD BY")&gt;0,("STD BY"),(IF(COUNTIF(H557:H559,"N/A")&gt;0,("N/A"),(IF(COUNTIF(H557:H559,"Critical")&gt;0,("Critical"),(IF(COUNTIF(H557:H559,"High")&gt;0,("High"),(IF(COUNTIF(H557:H559,"Medium")&gt;0,("Medium"),(IF(COUNTIF(H557:H559,"Low")&gt;0,("Low"),("Normal"))))))))))))))</f>
        <v>Normal</v>
      </c>
      <c r="J557" s="7">
        <f t="shared" si="74"/>
        <v>0</v>
      </c>
      <c r="K557" s="14">
        <v>55</v>
      </c>
      <c r="L557" s="4">
        <v>46234</v>
      </c>
      <c r="M557" s="5">
        <v>34.200000000000003</v>
      </c>
      <c r="N557" s="195" t="s">
        <v>372</v>
      </c>
    </row>
    <row r="558" spans="1:14" x14ac:dyDescent="0.35">
      <c r="A558" s="19"/>
      <c r="B558" s="153"/>
      <c r="C558" s="153"/>
      <c r="D558" s="10" t="s">
        <v>17</v>
      </c>
      <c r="E558" s="7">
        <f t="shared" si="79"/>
        <v>61</v>
      </c>
      <c r="F558" s="7">
        <f t="shared" si="78"/>
        <v>71</v>
      </c>
      <c r="G558" s="9" t="s">
        <v>16</v>
      </c>
      <c r="H558" s="27" t="str">
        <f t="shared" si="75"/>
        <v>Normal</v>
      </c>
      <c r="I558" s="156"/>
      <c r="J558" s="7">
        <f t="shared" si="74"/>
        <v>0</v>
      </c>
      <c r="K558" s="14">
        <v>50</v>
      </c>
      <c r="L558" s="4">
        <v>46234</v>
      </c>
      <c r="M558" s="5">
        <v>33.9</v>
      </c>
      <c r="N558" s="195"/>
    </row>
    <row r="559" spans="1:14" x14ac:dyDescent="0.35">
      <c r="A559" s="20"/>
      <c r="B559" s="154"/>
      <c r="C559" s="154"/>
      <c r="D559" s="10" t="s">
        <v>18</v>
      </c>
      <c r="E559" s="7">
        <f t="shared" si="79"/>
        <v>66</v>
      </c>
      <c r="F559" s="7">
        <f t="shared" si="78"/>
        <v>76</v>
      </c>
      <c r="G559" s="9" t="s">
        <v>16</v>
      </c>
      <c r="H559" s="27" t="str">
        <f t="shared" si="75"/>
        <v>Normal</v>
      </c>
      <c r="I559" s="157"/>
      <c r="J559" s="7">
        <f t="shared" ref="J559:J678" si="81">IF(M559="",(""),(IF(M559="STD BY",("STD BY"),(IF(M559="N/A",("N/A"),(IF(M559-K559&gt;0,(M559-K559),(0))))))))</f>
        <v>0</v>
      </c>
      <c r="K559" s="14">
        <v>55</v>
      </c>
      <c r="L559" s="4">
        <v>46234</v>
      </c>
      <c r="M559" s="5">
        <v>33.6</v>
      </c>
      <c r="N559" s="195"/>
    </row>
    <row r="560" spans="1:14" ht="14.5" customHeight="1" x14ac:dyDescent="0.35">
      <c r="A560" s="18">
        <v>3</v>
      </c>
      <c r="B560" s="152" t="s">
        <v>150</v>
      </c>
      <c r="C560" s="152" t="s">
        <v>215</v>
      </c>
      <c r="D560" s="8" t="s">
        <v>15</v>
      </c>
      <c r="E560" s="7">
        <f t="shared" si="79"/>
        <v>66</v>
      </c>
      <c r="F560" s="7">
        <f t="shared" si="78"/>
        <v>76</v>
      </c>
      <c r="G560" s="9" t="s">
        <v>16</v>
      </c>
      <c r="H560" s="27" t="str">
        <f t="shared" si="75"/>
        <v>STD BY</v>
      </c>
      <c r="I560" s="155" t="str">
        <f>IF(COUNTIF(H560:H562,"-")&gt;0,("-"),(IF(COUNTIF(H560:H562,"STD BY")&gt;0,("STD BY"),(IF(COUNTIF(H560:H562,"N/A")&gt;0,("N/A"),(IF(COUNTIF(H560:H562,"Critical")&gt;0,("Critical"),(IF(COUNTIF(H560:H562,"High")&gt;0,("High"),(IF(COUNTIF(H560:H562,"Medium")&gt;0,("Medium"),(IF(COUNTIF(H560:H562,"Low")&gt;0,("Low"),("Normal"))))))))))))))</f>
        <v>-</v>
      </c>
      <c r="J560" s="7" t="str">
        <f>IF(M562="",(""),(IF(M562="STD BY",("STD BY"),(IF(M562="N/A",("N/A"),(IF(M562-K560&gt;0,(M562-K560),(0))))))))</f>
        <v>STD BY</v>
      </c>
      <c r="K560" s="14">
        <v>55</v>
      </c>
      <c r="L560" s="4"/>
      <c r="M560" s="5" t="s">
        <v>376</v>
      </c>
      <c r="N560" s="195" t="s">
        <v>371</v>
      </c>
    </row>
    <row r="561" spans="1:14" x14ac:dyDescent="0.35">
      <c r="A561" s="19"/>
      <c r="B561" s="153"/>
      <c r="C561" s="153"/>
      <c r="D561" s="10" t="s">
        <v>17</v>
      </c>
      <c r="E561" s="7">
        <f t="shared" si="79"/>
        <v>61</v>
      </c>
      <c r="F561" s="7">
        <f t="shared" si="78"/>
        <v>71</v>
      </c>
      <c r="G561" s="9" t="s">
        <v>16</v>
      </c>
      <c r="H561" s="27" t="str">
        <f t="shared" si="75"/>
        <v>STD BY</v>
      </c>
      <c r="I561" s="156"/>
      <c r="J561" s="7" t="str">
        <f t="shared" si="81"/>
        <v>STD BY</v>
      </c>
      <c r="K561" s="14">
        <v>50</v>
      </c>
      <c r="L561" s="4"/>
      <c r="M561" s="5" t="s">
        <v>376</v>
      </c>
      <c r="N561" s="195"/>
    </row>
    <row r="562" spans="1:14" x14ac:dyDescent="0.35">
      <c r="A562" s="19"/>
      <c r="B562" s="154"/>
      <c r="C562" s="154"/>
      <c r="D562" s="10" t="s">
        <v>18</v>
      </c>
      <c r="E562" s="7">
        <f t="shared" si="79"/>
        <v>66</v>
      </c>
      <c r="F562" s="7">
        <f t="shared" si="78"/>
        <v>76</v>
      </c>
      <c r="G562" s="9" t="s">
        <v>16</v>
      </c>
      <c r="H562" s="27" t="str">
        <f t="shared" si="75"/>
        <v>-</v>
      </c>
      <c r="I562" s="157"/>
      <c r="J562" s="7"/>
      <c r="K562" s="14">
        <v>55</v>
      </c>
      <c r="L562" s="4"/>
      <c r="M562" s="5" t="s">
        <v>376</v>
      </c>
      <c r="N562" s="195"/>
    </row>
    <row r="563" spans="1:14" ht="14.5" customHeight="1" x14ac:dyDescent="0.35">
      <c r="A563" s="23">
        <v>3</v>
      </c>
      <c r="B563" s="152" t="s">
        <v>127</v>
      </c>
      <c r="C563" s="152" t="s">
        <v>216</v>
      </c>
      <c r="D563" s="8" t="s">
        <v>15</v>
      </c>
      <c r="E563" s="7">
        <f t="shared" si="79"/>
        <v>66</v>
      </c>
      <c r="F563" s="7">
        <f t="shared" si="78"/>
        <v>76</v>
      </c>
      <c r="G563" s="9" t="s">
        <v>16</v>
      </c>
      <c r="H563" s="27" t="str">
        <f t="shared" si="75"/>
        <v>Normal</v>
      </c>
      <c r="I563" s="155" t="str">
        <f>IF(COUNTIF(H563:H565,"-")&gt;0,("-"),(IF(COUNTIF(H563:H565,"STD BY")&gt;0,("STD BY"),(IF(COUNTIF(H563:H565,"N/A")&gt;0,("N/A"),(IF(COUNTIF(H563:H565,"Critical")&gt;0,("Critical"),(IF(COUNTIF(H563:H565,"High")&gt;0,("High"),(IF(COUNTIF(H563:H565,"Medium")&gt;0,("Medium"),(IF(COUNTIF(H563:H565,"Low")&gt;0,("Low"),("Normal"))))))))))))))</f>
        <v>Normal</v>
      </c>
      <c r="J563" s="7">
        <f t="shared" si="81"/>
        <v>0</v>
      </c>
      <c r="K563" s="14">
        <v>55</v>
      </c>
      <c r="L563" s="4">
        <v>46234</v>
      </c>
      <c r="M563" s="5">
        <v>45.4</v>
      </c>
      <c r="N563" s="195" t="s">
        <v>372</v>
      </c>
    </row>
    <row r="564" spans="1:14" x14ac:dyDescent="0.35">
      <c r="A564" s="24"/>
      <c r="B564" s="153"/>
      <c r="C564" s="153"/>
      <c r="D564" s="10" t="s">
        <v>17</v>
      </c>
      <c r="E564" s="7">
        <f t="shared" si="79"/>
        <v>61</v>
      </c>
      <c r="F564" s="7">
        <f t="shared" si="78"/>
        <v>71</v>
      </c>
      <c r="G564" s="9" t="s">
        <v>16</v>
      </c>
      <c r="H564" s="27" t="str">
        <f t="shared" si="75"/>
        <v>Normal</v>
      </c>
      <c r="I564" s="156"/>
      <c r="J564" s="7">
        <f t="shared" si="81"/>
        <v>0</v>
      </c>
      <c r="K564" s="14">
        <v>50</v>
      </c>
      <c r="L564" s="4">
        <v>46234</v>
      </c>
      <c r="M564" s="5">
        <v>41.7</v>
      </c>
      <c r="N564" s="195"/>
    </row>
    <row r="565" spans="1:14" x14ac:dyDescent="0.35">
      <c r="A565" s="25"/>
      <c r="B565" s="154"/>
      <c r="C565" s="154"/>
      <c r="D565" s="10" t="s">
        <v>18</v>
      </c>
      <c r="E565" s="7">
        <f t="shared" si="79"/>
        <v>66</v>
      </c>
      <c r="F565" s="7">
        <f t="shared" si="78"/>
        <v>76</v>
      </c>
      <c r="G565" s="9" t="s">
        <v>16</v>
      </c>
      <c r="H565" s="27" t="str">
        <f t="shared" ref="H565:H678" si="82">IF(J565="",("-"),(IF(J565="STD BY",("STD BY"),(IF(J565="N/A",("N/A"),(IF(J565&lt;5,("Normal"),(IF(J565&lt;11,("Low"),(IF(J565&lt;21,("Medium"),(IF(J565&lt;41,("High"),("Critical"))))))))))))))</f>
        <v>Normal</v>
      </c>
      <c r="I565" s="157"/>
      <c r="J565" s="7">
        <f t="shared" si="81"/>
        <v>0</v>
      </c>
      <c r="K565" s="14">
        <v>55</v>
      </c>
      <c r="L565" s="4">
        <v>46234</v>
      </c>
      <c r="M565" s="5">
        <v>40.4</v>
      </c>
      <c r="N565" s="195"/>
    </row>
    <row r="566" spans="1:14" ht="14.5" customHeight="1" x14ac:dyDescent="0.35">
      <c r="A566" s="18">
        <v>3</v>
      </c>
      <c r="B566" s="152" t="s">
        <v>128</v>
      </c>
      <c r="C566" s="152" t="s">
        <v>217</v>
      </c>
      <c r="D566" s="8" t="s">
        <v>15</v>
      </c>
      <c r="E566" s="7">
        <f t="shared" si="79"/>
        <v>66</v>
      </c>
      <c r="F566" s="7">
        <f t="shared" si="78"/>
        <v>76</v>
      </c>
      <c r="G566" s="9" t="s">
        <v>16</v>
      </c>
      <c r="H566" s="27" t="str">
        <f t="shared" si="82"/>
        <v>STD BY</v>
      </c>
      <c r="I566" s="155" t="str">
        <f>IF(COUNTIF(H566:H568,"-")&gt;0,("-"),(IF(COUNTIF(H566:H568,"STD BY")&gt;0,("STD BY"),(IF(COUNTIF(H566:H568,"N/A")&gt;0,("N/A"),(IF(COUNTIF(H566:H568,"Critical")&gt;0,("Critical"),(IF(COUNTIF(H566:H568,"High")&gt;0,("High"),(IF(COUNTIF(H566:H568,"Medium")&gt;0,("Medium"),(IF(COUNTIF(H566:H568,"Low")&gt;0,("Low"),("Normal"))))))))))))))</f>
        <v>STD BY</v>
      </c>
      <c r="J566" s="7" t="str">
        <f t="shared" si="81"/>
        <v>STD BY</v>
      </c>
      <c r="K566" s="14">
        <v>55</v>
      </c>
      <c r="L566" s="4"/>
      <c r="M566" s="5" t="s">
        <v>376</v>
      </c>
      <c r="N566" s="195" t="s">
        <v>371</v>
      </c>
    </row>
    <row r="567" spans="1:14" x14ac:dyDescent="0.35">
      <c r="A567" s="19"/>
      <c r="B567" s="153"/>
      <c r="C567" s="153"/>
      <c r="D567" s="10" t="s">
        <v>17</v>
      </c>
      <c r="E567" s="7">
        <f t="shared" si="79"/>
        <v>61</v>
      </c>
      <c r="F567" s="7">
        <f t="shared" si="78"/>
        <v>71</v>
      </c>
      <c r="G567" s="9" t="s">
        <v>16</v>
      </c>
      <c r="H567" s="27" t="str">
        <f t="shared" si="82"/>
        <v>STD BY</v>
      </c>
      <c r="I567" s="156"/>
      <c r="J567" s="7" t="str">
        <f t="shared" si="81"/>
        <v>STD BY</v>
      </c>
      <c r="K567" s="14">
        <v>50</v>
      </c>
      <c r="L567" s="4"/>
      <c r="M567" s="5" t="s">
        <v>376</v>
      </c>
      <c r="N567" s="195"/>
    </row>
    <row r="568" spans="1:14" x14ac:dyDescent="0.35">
      <c r="A568" s="20"/>
      <c r="B568" s="154"/>
      <c r="C568" s="154"/>
      <c r="D568" s="10" t="s">
        <v>18</v>
      </c>
      <c r="E568" s="7">
        <f t="shared" si="79"/>
        <v>66</v>
      </c>
      <c r="F568" s="7">
        <f t="shared" si="78"/>
        <v>76</v>
      </c>
      <c r="G568" s="9" t="s">
        <v>16</v>
      </c>
      <c r="H568" s="27" t="str">
        <f t="shared" si="82"/>
        <v>STD BY</v>
      </c>
      <c r="I568" s="157"/>
      <c r="J568" s="7" t="str">
        <f t="shared" si="81"/>
        <v>STD BY</v>
      </c>
      <c r="K568" s="7">
        <v>55</v>
      </c>
      <c r="L568" s="4"/>
      <c r="M568" s="5" t="s">
        <v>376</v>
      </c>
      <c r="N568" s="195"/>
    </row>
    <row r="569" spans="1:14" ht="15" customHeight="1" x14ac:dyDescent="0.35">
      <c r="A569" s="18">
        <v>3</v>
      </c>
      <c r="B569" s="152" t="s">
        <v>74</v>
      </c>
      <c r="C569" s="152" t="s">
        <v>75</v>
      </c>
      <c r="D569" s="34" t="s">
        <v>194</v>
      </c>
      <c r="E569" s="7">
        <f t="shared" si="79"/>
        <v>71</v>
      </c>
      <c r="F569" s="7">
        <f t="shared" si="78"/>
        <v>81</v>
      </c>
      <c r="G569" s="9" t="s">
        <v>16</v>
      </c>
      <c r="H569" s="27" t="str">
        <f t="shared" si="82"/>
        <v>Normal</v>
      </c>
      <c r="I569" s="155" t="str">
        <f>IF(COUNTIF(H569:H577,"-")&gt;0,("-"),(IF(COUNTIF(H569:H577,"STD BY")&gt;0,("STD BY"),(IF(COUNTIF(H569:H577,"N/A")&gt;0,("N/A"),(IF(COUNTIF(H569:H577,"Critical")&gt;0,("Critical"),(IF(COUNTIF(H569:H577,"High")&gt;0,("High"),(IF(COUNTIF(H569:H577,"Medium")&gt;0,("Medium"),(IF(COUNTIF(H569:H577,"Low")&gt;0,("Low"),("Normal"))))))))))))))</f>
        <v>Medium</v>
      </c>
      <c r="J569" s="7">
        <f t="shared" si="81"/>
        <v>0</v>
      </c>
      <c r="K569" s="109">
        <v>60</v>
      </c>
      <c r="L569" s="31">
        <v>46220</v>
      </c>
      <c r="M569" s="5">
        <v>53.6</v>
      </c>
      <c r="N569" s="186" t="s">
        <v>372</v>
      </c>
    </row>
    <row r="570" spans="1:14" x14ac:dyDescent="0.35">
      <c r="A570" s="19"/>
      <c r="B570" s="153"/>
      <c r="C570" s="153"/>
      <c r="D570" s="10" t="s">
        <v>125</v>
      </c>
      <c r="E570" s="7">
        <f t="shared" si="79"/>
        <v>71</v>
      </c>
      <c r="F570" s="7">
        <f t="shared" si="78"/>
        <v>81</v>
      </c>
      <c r="G570" s="9" t="s">
        <v>16</v>
      </c>
      <c r="H570" s="27" t="str">
        <f t="shared" si="82"/>
        <v>Normal</v>
      </c>
      <c r="I570" s="156"/>
      <c r="J570" s="7">
        <f t="shared" si="81"/>
        <v>0</v>
      </c>
      <c r="K570" s="14">
        <v>60</v>
      </c>
      <c r="L570" s="31">
        <v>46220</v>
      </c>
      <c r="M570" s="5">
        <v>58.8</v>
      </c>
      <c r="N570" s="187"/>
    </row>
    <row r="571" spans="1:14" x14ac:dyDescent="0.35">
      <c r="A571" s="19"/>
      <c r="B571" s="153"/>
      <c r="C571" s="153"/>
      <c r="D571" s="10" t="s">
        <v>195</v>
      </c>
      <c r="E571" s="7">
        <f t="shared" ref="E571:E577" si="83">(K571+11)</f>
        <v>161</v>
      </c>
      <c r="F571" s="7">
        <f t="shared" ref="F571:F577" si="84">(E571+10)</f>
        <v>171</v>
      </c>
      <c r="G571" s="9" t="s">
        <v>16</v>
      </c>
      <c r="H571" s="27" t="str">
        <f t="shared" ref="H571:H577" si="85">IF(J571="",("-"),(IF(J571="STD BY",("STD BY"),(IF(J571="N/A",("N/A"),(IF(J571&lt;5,("Normal"),(IF(J571&lt;11,("Low"),(IF(J571&lt;21,("Medium"),(IF(J571&lt;41,("High"),("Critical"))))))))))))))</f>
        <v>Normal</v>
      </c>
      <c r="I571" s="156"/>
      <c r="J571" s="7">
        <f t="shared" si="81"/>
        <v>0</v>
      </c>
      <c r="K571" s="14">
        <v>150</v>
      </c>
      <c r="L571" s="31">
        <v>46220</v>
      </c>
      <c r="M571" s="5">
        <v>0</v>
      </c>
      <c r="N571" s="187"/>
    </row>
    <row r="572" spans="1:14" x14ac:dyDescent="0.35">
      <c r="A572" s="19"/>
      <c r="B572" s="153"/>
      <c r="C572" s="153"/>
      <c r="D572" s="10" t="s">
        <v>126</v>
      </c>
      <c r="E572" s="7">
        <f t="shared" si="83"/>
        <v>66</v>
      </c>
      <c r="F572" s="7">
        <f t="shared" si="84"/>
        <v>76</v>
      </c>
      <c r="G572" s="9" t="s">
        <v>16</v>
      </c>
      <c r="H572" s="27" t="str">
        <f t="shared" si="85"/>
        <v>Medium</v>
      </c>
      <c r="I572" s="156"/>
      <c r="J572" s="7">
        <f t="shared" si="81"/>
        <v>13.599999999999994</v>
      </c>
      <c r="K572" s="14">
        <v>55</v>
      </c>
      <c r="L572" s="31">
        <v>46220</v>
      </c>
      <c r="M572" s="5">
        <v>68.599999999999994</v>
      </c>
      <c r="N572" s="187"/>
    </row>
    <row r="573" spans="1:14" x14ac:dyDescent="0.35">
      <c r="A573" s="19"/>
      <c r="B573" s="153"/>
      <c r="C573" s="153"/>
      <c r="D573" s="10" t="s">
        <v>196</v>
      </c>
      <c r="E573" s="7">
        <f t="shared" si="83"/>
        <v>111</v>
      </c>
      <c r="F573" s="7">
        <f t="shared" si="84"/>
        <v>121</v>
      </c>
      <c r="G573" s="9" t="s">
        <v>16</v>
      </c>
      <c r="H573" s="27" t="str">
        <f t="shared" si="85"/>
        <v>Normal</v>
      </c>
      <c r="I573" s="156"/>
      <c r="J573" s="7">
        <f t="shared" si="81"/>
        <v>0</v>
      </c>
      <c r="K573" s="14">
        <v>100</v>
      </c>
      <c r="L573" s="31">
        <v>46220</v>
      </c>
      <c r="M573" s="5">
        <v>92.5</v>
      </c>
      <c r="N573" s="187"/>
    </row>
    <row r="574" spans="1:14" x14ac:dyDescent="0.35">
      <c r="A574" s="19"/>
      <c r="B574" s="153"/>
      <c r="C574" s="153"/>
      <c r="D574" s="35" t="s">
        <v>123</v>
      </c>
      <c r="E574" s="7">
        <f t="shared" si="83"/>
        <v>66</v>
      </c>
      <c r="F574" s="7">
        <f t="shared" si="84"/>
        <v>76</v>
      </c>
      <c r="G574" s="9" t="s">
        <v>16</v>
      </c>
      <c r="H574" s="27" t="str">
        <f t="shared" si="85"/>
        <v>Low</v>
      </c>
      <c r="I574" s="156"/>
      <c r="J574" s="7">
        <f t="shared" si="81"/>
        <v>5.3999999999999986</v>
      </c>
      <c r="K574" s="14">
        <v>55</v>
      </c>
      <c r="L574" s="31">
        <v>46220</v>
      </c>
      <c r="M574" s="5">
        <v>60.4</v>
      </c>
      <c r="N574" s="187"/>
    </row>
    <row r="575" spans="1:14" x14ac:dyDescent="0.35">
      <c r="A575" s="19"/>
      <c r="B575" s="153"/>
      <c r="C575" s="153"/>
      <c r="D575" s="10" t="s">
        <v>294</v>
      </c>
      <c r="E575" s="7">
        <f t="shared" si="83"/>
        <v>66</v>
      </c>
      <c r="F575" s="7">
        <f t="shared" si="84"/>
        <v>76</v>
      </c>
      <c r="G575" s="9" t="s">
        <v>16</v>
      </c>
      <c r="H575" s="27" t="str">
        <f t="shared" si="85"/>
        <v>Normal</v>
      </c>
      <c r="I575" s="156"/>
      <c r="J575" s="7">
        <f t="shared" si="81"/>
        <v>0</v>
      </c>
      <c r="K575" s="14">
        <v>55</v>
      </c>
      <c r="L575" s="31">
        <v>46220</v>
      </c>
      <c r="M575" s="5">
        <v>51.5</v>
      </c>
      <c r="N575" s="187"/>
    </row>
    <row r="576" spans="1:14" x14ac:dyDescent="0.35">
      <c r="A576" s="19"/>
      <c r="B576" s="153"/>
      <c r="C576" s="153"/>
      <c r="D576" s="35" t="s">
        <v>124</v>
      </c>
      <c r="E576" s="7">
        <f t="shared" si="83"/>
        <v>66</v>
      </c>
      <c r="F576" s="7">
        <f t="shared" si="84"/>
        <v>76</v>
      </c>
      <c r="G576" s="9" t="s">
        <v>16</v>
      </c>
      <c r="H576" s="27" t="str">
        <f t="shared" si="85"/>
        <v>Normal</v>
      </c>
      <c r="I576" s="156"/>
      <c r="J576" s="7">
        <f t="shared" si="81"/>
        <v>0.20000000000000284</v>
      </c>
      <c r="K576" s="14">
        <v>55</v>
      </c>
      <c r="L576" s="31">
        <v>46220</v>
      </c>
      <c r="M576" s="5">
        <v>55.2</v>
      </c>
      <c r="N576" s="187"/>
    </row>
    <row r="577" spans="1:15" x14ac:dyDescent="0.35">
      <c r="A577" s="19"/>
      <c r="B577" s="153"/>
      <c r="C577" s="153"/>
      <c r="D577" s="10" t="s">
        <v>295</v>
      </c>
      <c r="E577" s="7">
        <f t="shared" si="83"/>
        <v>66</v>
      </c>
      <c r="F577" s="7">
        <f t="shared" si="84"/>
        <v>76</v>
      </c>
      <c r="G577" s="9" t="s">
        <v>16</v>
      </c>
      <c r="H577" s="27" t="str">
        <f t="shared" si="85"/>
        <v>Normal</v>
      </c>
      <c r="I577" s="156"/>
      <c r="J577" s="7">
        <f t="shared" si="81"/>
        <v>0.79999999999999716</v>
      </c>
      <c r="K577" s="14">
        <v>55</v>
      </c>
      <c r="L577" s="31">
        <v>46220</v>
      </c>
      <c r="M577" s="5">
        <v>55.8</v>
      </c>
      <c r="N577" s="187"/>
    </row>
    <row r="578" spans="1:15" ht="15" customHeight="1" x14ac:dyDescent="0.35">
      <c r="A578" s="18">
        <v>3</v>
      </c>
      <c r="B578" s="152" t="s">
        <v>129</v>
      </c>
      <c r="C578" s="152" t="s">
        <v>220</v>
      </c>
      <c r="D578" s="35" t="s">
        <v>125</v>
      </c>
      <c r="E578" s="7">
        <f t="shared" si="79"/>
        <v>71</v>
      </c>
      <c r="F578" s="7">
        <f t="shared" ref="F578:F706" si="86">(E578+10)</f>
        <v>81</v>
      </c>
      <c r="G578" s="9" t="s">
        <v>16</v>
      </c>
      <c r="H578" s="27" t="str">
        <f t="shared" si="82"/>
        <v>Normal</v>
      </c>
      <c r="I578" s="155" t="str">
        <f>IF(COUNTIF(H578:H581,"-")&gt;0,("-"),(IF(COUNTIF(H578:H581,"STD BY")&gt;0,("STD BY"),(IF(COUNTIF(H578:H581,"N/A")&gt;0,("N/A"),(IF(COUNTIF(H578:H581,"Critical")&gt;0,("Critical"),(IF(COUNTIF(H578:H581,"High")&gt;0,("High"),(IF(COUNTIF(H578:H581,"Medium")&gt;0,("Medium"),(IF(COUNTIF(H578:H581,"Low")&gt;0,("Low"),("Normal"))))))))))))))</f>
        <v>Medium</v>
      </c>
      <c r="J578" s="7">
        <f t="shared" si="81"/>
        <v>0</v>
      </c>
      <c r="K578" s="14">
        <v>60</v>
      </c>
      <c r="L578" s="31">
        <v>46220</v>
      </c>
      <c r="M578" s="5">
        <v>58.8</v>
      </c>
      <c r="N578" s="186" t="s">
        <v>372</v>
      </c>
    </row>
    <row r="579" spans="1:15" ht="15" customHeight="1" x14ac:dyDescent="0.35">
      <c r="A579" s="26"/>
      <c r="B579" s="153"/>
      <c r="C579" s="153"/>
      <c r="D579" s="10" t="s">
        <v>195</v>
      </c>
      <c r="E579" s="7">
        <f>(K579+11)</f>
        <v>161</v>
      </c>
      <c r="F579" s="7">
        <f>(E579+10)</f>
        <v>171</v>
      </c>
      <c r="G579" s="9" t="s">
        <v>16</v>
      </c>
      <c r="H579" s="27" t="str">
        <f>IF(J579="",("-"),(IF(J579="STD BY",("STD BY"),(IF(J579="N/A",("N/A"),(IF(J579&lt;5,("Normal"),(IF(J579&lt;11,("Low"),(IF(J579&lt;21,("Medium"),(IF(J579&lt;41,("High"),("Critical"))))))))))))))</f>
        <v>Normal</v>
      </c>
      <c r="I579" s="156"/>
      <c r="J579" s="7">
        <f t="shared" si="81"/>
        <v>0</v>
      </c>
      <c r="K579" s="14">
        <v>150</v>
      </c>
      <c r="L579" s="31">
        <v>46220</v>
      </c>
      <c r="M579" s="5">
        <v>0</v>
      </c>
      <c r="N579" s="186"/>
    </row>
    <row r="580" spans="1:15" ht="15" customHeight="1" x14ac:dyDescent="0.35">
      <c r="A580" s="26"/>
      <c r="B580" s="153"/>
      <c r="C580" s="153"/>
      <c r="D580" s="35" t="s">
        <v>126</v>
      </c>
      <c r="E580" s="7">
        <f>(K580+11)</f>
        <v>66</v>
      </c>
      <c r="F580" s="7">
        <f>(E580+10)</f>
        <v>76</v>
      </c>
      <c r="G580" s="9" t="s">
        <v>16</v>
      </c>
      <c r="H580" s="27" t="str">
        <f>IF(J580="",("-"),(IF(J580="STD BY",("STD BY"),(IF(J580="N/A",("N/A"),(IF(J580&lt;5,("Normal"),(IF(J580&lt;11,("Low"),(IF(J580&lt;21,("Medium"),(IF(J580&lt;41,("High"),("Critical"))))))))))))))</f>
        <v>Medium</v>
      </c>
      <c r="I580" s="156"/>
      <c r="J580" s="7">
        <f t="shared" si="81"/>
        <v>13.599999999999994</v>
      </c>
      <c r="K580" s="14">
        <v>55</v>
      </c>
      <c r="L580" s="31">
        <v>46220</v>
      </c>
      <c r="M580" s="5">
        <v>68.599999999999994</v>
      </c>
      <c r="N580" s="186"/>
    </row>
    <row r="581" spans="1:15" ht="39" customHeight="1" x14ac:dyDescent="0.35">
      <c r="A581" s="19"/>
      <c r="B581" s="154"/>
      <c r="C581" s="154"/>
      <c r="D581" s="10" t="s">
        <v>196</v>
      </c>
      <c r="E581" s="7">
        <f>(K581+11)</f>
        <v>111</v>
      </c>
      <c r="F581" s="7">
        <f>(E581+10)</f>
        <v>121</v>
      </c>
      <c r="G581" s="9" t="s">
        <v>16</v>
      </c>
      <c r="H581" s="27" t="str">
        <f>IF(J581="",("-"),(IF(J581="STD BY",("STD BY"),(IF(J581="N/A",("N/A"),(IF(J581&lt;5,("Normal"),(IF(J581&lt;11,("Low"),(IF(J581&lt;21,("Medium"),(IF(J581&lt;41,("High"),("Critical"))))))))))))))</f>
        <v>Normal</v>
      </c>
      <c r="I581" s="157"/>
      <c r="J581" s="7">
        <f t="shared" si="81"/>
        <v>0</v>
      </c>
      <c r="K581" s="14">
        <v>100</v>
      </c>
      <c r="L581" s="31">
        <v>46220</v>
      </c>
      <c r="M581" s="5">
        <v>92.5</v>
      </c>
      <c r="N581" s="187"/>
    </row>
    <row r="582" spans="1:15" ht="15" customHeight="1" x14ac:dyDescent="0.35">
      <c r="A582" s="18">
        <v>3</v>
      </c>
      <c r="B582" s="152" t="s">
        <v>76</v>
      </c>
      <c r="C582" s="152" t="s">
        <v>77</v>
      </c>
      <c r="D582" s="11" t="s">
        <v>47</v>
      </c>
      <c r="E582" s="7">
        <v>66</v>
      </c>
      <c r="F582" s="7">
        <v>76</v>
      </c>
      <c r="G582" s="9" t="s">
        <v>16</v>
      </c>
      <c r="H582" s="27" t="str">
        <f t="shared" si="82"/>
        <v>Normal</v>
      </c>
      <c r="I582" s="155" t="str">
        <f>IF(COUNTIF(H582:H591,"-")&gt;0,("-"),(IF(COUNTIF(H582:H591,"STD BY")&gt;0,("STD BY"),(IF(COUNTIF(H582:H591,"N/A")&gt;0,("N/A"),(IF(COUNTIF(H582:H591,"Critical")&gt;0,("Critical"),(IF(COUNTIF(H582:H591,"High")&gt;0,("High"),(IF(COUNTIF(H582:H591,"Medium")&gt;0,("Medium"),(IF(COUNTIF(H582:H591,"Low")&gt;0,("Low"),("Normal"))))))))))))))</f>
        <v>Normal</v>
      </c>
      <c r="J582" s="7">
        <f t="shared" si="81"/>
        <v>0</v>
      </c>
      <c r="K582" s="14">
        <v>55</v>
      </c>
      <c r="L582" s="4">
        <v>46219</v>
      </c>
      <c r="M582" s="5">
        <v>45.6</v>
      </c>
      <c r="N582" s="147" t="s">
        <v>372</v>
      </c>
    </row>
    <row r="583" spans="1:15" x14ac:dyDescent="0.35">
      <c r="A583" s="19"/>
      <c r="B583" s="153"/>
      <c r="C583" s="153"/>
      <c r="D583" s="11" t="s">
        <v>48</v>
      </c>
      <c r="E583" s="7">
        <v>66</v>
      </c>
      <c r="F583" s="7">
        <v>76</v>
      </c>
      <c r="G583" s="9" t="s">
        <v>16</v>
      </c>
      <c r="H583" s="27" t="str">
        <f t="shared" si="82"/>
        <v>Normal</v>
      </c>
      <c r="I583" s="156"/>
      <c r="J583" s="7">
        <f t="shared" si="81"/>
        <v>0</v>
      </c>
      <c r="K583" s="14">
        <v>55</v>
      </c>
      <c r="L583" s="4">
        <v>46219</v>
      </c>
      <c r="M583" s="5">
        <v>45</v>
      </c>
      <c r="N583" s="188"/>
    </row>
    <row r="584" spans="1:15" x14ac:dyDescent="0.35">
      <c r="A584" s="19"/>
      <c r="B584" s="153"/>
      <c r="C584" s="153"/>
      <c r="D584" s="11" t="s">
        <v>49</v>
      </c>
      <c r="E584" s="7">
        <v>66</v>
      </c>
      <c r="F584" s="7">
        <v>76</v>
      </c>
      <c r="G584" s="9" t="s">
        <v>16</v>
      </c>
      <c r="H584" s="27" t="str">
        <f t="shared" si="82"/>
        <v>Normal</v>
      </c>
      <c r="I584" s="156"/>
      <c r="J584" s="7">
        <f t="shared" si="81"/>
        <v>0</v>
      </c>
      <c r="K584" s="14">
        <v>55</v>
      </c>
      <c r="L584" s="4">
        <v>46219</v>
      </c>
      <c r="M584" s="5">
        <v>47</v>
      </c>
      <c r="N584" s="188"/>
    </row>
    <row r="585" spans="1:15" x14ac:dyDescent="0.35">
      <c r="A585" s="19"/>
      <c r="B585" s="153"/>
      <c r="C585" s="153"/>
      <c r="D585" s="11" t="s">
        <v>50</v>
      </c>
      <c r="E585" s="7">
        <v>66</v>
      </c>
      <c r="F585" s="7">
        <v>76</v>
      </c>
      <c r="G585" s="9" t="s">
        <v>16</v>
      </c>
      <c r="H585" s="27" t="str">
        <f t="shared" si="82"/>
        <v>Normal</v>
      </c>
      <c r="I585" s="156"/>
      <c r="J585" s="7">
        <f t="shared" si="81"/>
        <v>0</v>
      </c>
      <c r="K585" s="14">
        <v>55</v>
      </c>
      <c r="L585" s="4">
        <v>46219</v>
      </c>
      <c r="M585" s="5">
        <v>47.2</v>
      </c>
      <c r="N585" s="188"/>
    </row>
    <row r="586" spans="1:15" x14ac:dyDescent="0.35">
      <c r="A586" s="19"/>
      <c r="B586" s="153"/>
      <c r="C586" s="153"/>
      <c r="D586" s="11" t="s">
        <v>136</v>
      </c>
      <c r="E586" s="7">
        <v>51</v>
      </c>
      <c r="F586" s="7">
        <v>61</v>
      </c>
      <c r="G586" s="9" t="s">
        <v>16</v>
      </c>
      <c r="H586" s="27" t="str">
        <f t="shared" si="82"/>
        <v>Normal</v>
      </c>
      <c r="I586" s="156"/>
      <c r="J586" s="7">
        <f t="shared" si="81"/>
        <v>0</v>
      </c>
      <c r="K586" s="14">
        <v>40</v>
      </c>
      <c r="L586" s="4">
        <v>46219</v>
      </c>
      <c r="M586" s="5">
        <v>31.6</v>
      </c>
      <c r="N586" s="188"/>
    </row>
    <row r="587" spans="1:15" x14ac:dyDescent="0.35">
      <c r="A587" s="19"/>
      <c r="B587" s="153"/>
      <c r="C587" s="153"/>
      <c r="D587" s="11" t="s">
        <v>137</v>
      </c>
      <c r="E587" s="7">
        <v>51</v>
      </c>
      <c r="F587" s="7">
        <v>61</v>
      </c>
      <c r="G587" s="9" t="s">
        <v>16</v>
      </c>
      <c r="H587" s="27" t="str">
        <f t="shared" si="82"/>
        <v>Normal</v>
      </c>
      <c r="I587" s="156"/>
      <c r="J587" s="7">
        <f t="shared" si="81"/>
        <v>0</v>
      </c>
      <c r="K587" s="14">
        <v>40</v>
      </c>
      <c r="L587" s="4">
        <v>46219</v>
      </c>
      <c r="M587" s="5">
        <v>31.6</v>
      </c>
      <c r="N587" s="188"/>
      <c r="O587" s="2"/>
    </row>
    <row r="588" spans="1:15" x14ac:dyDescent="0.35">
      <c r="A588" s="19"/>
      <c r="B588" s="153"/>
      <c r="C588" s="153"/>
      <c r="D588" s="11" t="s">
        <v>138</v>
      </c>
      <c r="E588" s="7">
        <v>51</v>
      </c>
      <c r="F588" s="7">
        <v>61</v>
      </c>
      <c r="G588" s="9" t="s">
        <v>16</v>
      </c>
      <c r="H588" s="27" t="str">
        <f>IF(J588="",("-"),(IF(J588="STD BY",("STD BY"),(IF(J588="N/A",("N/A"),(IF(J588&lt;5,("Normal"),(IF(J588&lt;11,("Low"),(IF(J588&lt;21,("Medium"),(IF(J588&lt;41,("High"),("Critical"))))))))))))))</f>
        <v>Normal</v>
      </c>
      <c r="I588" s="156"/>
      <c r="J588" s="7">
        <f t="shared" si="81"/>
        <v>0</v>
      </c>
      <c r="K588" s="14">
        <v>40</v>
      </c>
      <c r="L588" s="4">
        <v>46219</v>
      </c>
      <c r="M588" s="5">
        <v>30.8</v>
      </c>
      <c r="N588" s="188"/>
      <c r="O588" s="2"/>
    </row>
    <row r="589" spans="1:15" x14ac:dyDescent="0.35">
      <c r="A589" s="19"/>
      <c r="B589" s="153"/>
      <c r="C589" s="153"/>
      <c r="D589" s="11" t="s">
        <v>139</v>
      </c>
      <c r="E589" s="7">
        <v>51</v>
      </c>
      <c r="F589" s="7">
        <v>61</v>
      </c>
      <c r="G589" s="9" t="s">
        <v>16</v>
      </c>
      <c r="H589" s="27" t="str">
        <f>IF(J589="",("-"),(IF(J589="STD BY",("STD BY"),(IF(J589="N/A",("N/A"),(IF(J589&lt;5,("Normal"),(IF(J589&lt;11,("Low"),(IF(J589&lt;21,("Medium"),(IF(J589&lt;41,("High"),("Critical"))))))))))))))</f>
        <v>Normal</v>
      </c>
      <c r="I589" s="156"/>
      <c r="J589" s="7">
        <f t="shared" si="81"/>
        <v>0</v>
      </c>
      <c r="K589" s="14">
        <v>40</v>
      </c>
      <c r="L589" s="4">
        <v>46219</v>
      </c>
      <c r="M589" s="5">
        <v>31.9</v>
      </c>
      <c r="N589" s="188"/>
      <c r="O589" s="2"/>
    </row>
    <row r="590" spans="1:15" x14ac:dyDescent="0.35">
      <c r="A590" s="19"/>
      <c r="B590" s="153"/>
      <c r="C590" s="153"/>
      <c r="D590" s="11" t="s">
        <v>140</v>
      </c>
      <c r="E590" s="7">
        <v>51</v>
      </c>
      <c r="F590" s="7">
        <v>61</v>
      </c>
      <c r="G590" s="9" t="s">
        <v>16</v>
      </c>
      <c r="H590" s="27" t="str">
        <f>IF(J590="",("-"),(IF(J590="STD BY",("STD BY"),(IF(J590="N/A",("N/A"),(IF(J590&lt;5,("Normal"),(IF(J590&lt;11,("Low"),(IF(J590&lt;21,("Medium"),(IF(J590&lt;41,("High"),("Critical"))))))))))))))</f>
        <v>Normal</v>
      </c>
      <c r="I590" s="156"/>
      <c r="J590" s="7">
        <f t="shared" si="81"/>
        <v>0</v>
      </c>
      <c r="K590" s="14">
        <v>40</v>
      </c>
      <c r="L590" s="4">
        <v>46219</v>
      </c>
      <c r="M590" s="5">
        <v>31.8</v>
      </c>
      <c r="N590" s="188"/>
      <c r="O590" s="2"/>
    </row>
    <row r="591" spans="1:15" x14ac:dyDescent="0.35">
      <c r="A591" s="20"/>
      <c r="B591" s="154"/>
      <c r="C591" s="154"/>
      <c r="D591" s="11" t="s">
        <v>141</v>
      </c>
      <c r="E591" s="7">
        <v>51</v>
      </c>
      <c r="F591" s="7">
        <v>61</v>
      </c>
      <c r="G591" s="9" t="s">
        <v>16</v>
      </c>
      <c r="H591" s="27" t="str">
        <f t="shared" si="82"/>
        <v>Normal</v>
      </c>
      <c r="I591" s="157"/>
      <c r="J591" s="7">
        <f t="shared" si="81"/>
        <v>0</v>
      </c>
      <c r="K591" s="14">
        <v>40</v>
      </c>
      <c r="L591" s="4">
        <v>46219</v>
      </c>
      <c r="M591" s="5">
        <v>31.6</v>
      </c>
      <c r="N591" s="189"/>
      <c r="O591" s="2"/>
    </row>
    <row r="592" spans="1:15" ht="15" customHeight="1" x14ac:dyDescent="0.35">
      <c r="A592" s="18">
        <v>3</v>
      </c>
      <c r="B592" s="152" t="s">
        <v>78</v>
      </c>
      <c r="C592" s="152" t="s">
        <v>79</v>
      </c>
      <c r="D592" s="11" t="s">
        <v>80</v>
      </c>
      <c r="E592" s="7">
        <v>66</v>
      </c>
      <c r="F592" s="7">
        <v>76</v>
      </c>
      <c r="G592" s="9" t="s">
        <v>16</v>
      </c>
      <c r="H592" s="27" t="str">
        <f t="shared" si="82"/>
        <v>Normal</v>
      </c>
      <c r="I592" s="155" t="str">
        <f>IF(COUNTIF(H592:H602,"-")&gt;0,("-"),(IF(COUNTIF(H592:H602,"STD BY")&gt;0,("STD BY"),(IF(COUNTIF(H592:H602,"N/A")&gt;0,("N/A"),(IF(COUNTIF(H592:H602,"Critical")&gt;0,("Critical"),(IF(COUNTIF(H592:H602,"High")&gt;0,("High"),(IF(COUNTIF(H592:H602,"Medium")&gt;0,("Medium"),(IF(COUNTIF(H592:H602,"Low")&gt;0,("Low"),("Normal"))))))))))))))</f>
        <v>Normal</v>
      </c>
      <c r="J592" s="7">
        <f t="shared" si="81"/>
        <v>0</v>
      </c>
      <c r="K592" s="14">
        <v>55</v>
      </c>
      <c r="L592" s="4">
        <v>46234</v>
      </c>
      <c r="M592" s="5">
        <v>45.2</v>
      </c>
      <c r="N592" s="150" t="s">
        <v>372</v>
      </c>
    </row>
    <row r="593" spans="1:15" x14ac:dyDescent="0.35">
      <c r="A593" s="19"/>
      <c r="B593" s="153"/>
      <c r="C593" s="153"/>
      <c r="D593" s="11" t="s">
        <v>81</v>
      </c>
      <c r="E593" s="7">
        <v>66</v>
      </c>
      <c r="F593" s="7">
        <v>76</v>
      </c>
      <c r="G593" s="9" t="s">
        <v>16</v>
      </c>
      <c r="H593" s="27" t="str">
        <f t="shared" si="82"/>
        <v>Normal</v>
      </c>
      <c r="I593" s="156"/>
      <c r="J593" s="7">
        <f t="shared" si="81"/>
        <v>0</v>
      </c>
      <c r="K593" s="14">
        <v>55</v>
      </c>
      <c r="L593" s="4">
        <v>46234</v>
      </c>
      <c r="M593" s="5">
        <v>44.8</v>
      </c>
      <c r="N593" s="151"/>
      <c r="O593" s="2"/>
    </row>
    <row r="594" spans="1:15" x14ac:dyDescent="0.35">
      <c r="A594" s="19"/>
      <c r="B594" s="153"/>
      <c r="C594" s="153"/>
      <c r="D594" s="11" t="s">
        <v>82</v>
      </c>
      <c r="E594" s="7">
        <v>66</v>
      </c>
      <c r="F594" s="7">
        <v>76</v>
      </c>
      <c r="G594" s="9" t="s">
        <v>16</v>
      </c>
      <c r="H594" s="27" t="str">
        <f t="shared" si="82"/>
        <v>Normal</v>
      </c>
      <c r="I594" s="156"/>
      <c r="J594" s="7">
        <f t="shared" si="81"/>
        <v>0</v>
      </c>
      <c r="K594" s="14">
        <v>55</v>
      </c>
      <c r="L594" s="4">
        <v>46234</v>
      </c>
      <c r="M594" s="5">
        <v>41.1</v>
      </c>
      <c r="N594" s="151"/>
      <c r="O594" s="2"/>
    </row>
    <row r="595" spans="1:15" x14ac:dyDescent="0.35">
      <c r="A595" s="19"/>
      <c r="B595" s="153"/>
      <c r="C595" s="153"/>
      <c r="D595" s="11" t="s">
        <v>83</v>
      </c>
      <c r="E595" s="7">
        <v>66</v>
      </c>
      <c r="F595" s="7">
        <v>76</v>
      </c>
      <c r="G595" s="9" t="s">
        <v>16</v>
      </c>
      <c r="H595" s="27" t="str">
        <f t="shared" si="82"/>
        <v>Normal</v>
      </c>
      <c r="I595" s="156"/>
      <c r="J595" s="7">
        <f t="shared" si="81"/>
        <v>0</v>
      </c>
      <c r="K595" s="14">
        <v>55</v>
      </c>
      <c r="L595" s="4">
        <v>46234</v>
      </c>
      <c r="M595" s="5">
        <v>53.7</v>
      </c>
      <c r="N595" s="151"/>
      <c r="O595" s="2"/>
    </row>
    <row r="596" spans="1:15" x14ac:dyDescent="0.35">
      <c r="A596" s="19"/>
      <c r="B596" s="153"/>
      <c r="C596" s="153"/>
      <c r="D596" s="11" t="s">
        <v>142</v>
      </c>
      <c r="E596" s="7">
        <v>51</v>
      </c>
      <c r="F596" s="7">
        <v>61</v>
      </c>
      <c r="G596" s="9" t="s">
        <v>16</v>
      </c>
      <c r="H596" s="27" t="str">
        <f t="shared" si="82"/>
        <v>Normal</v>
      </c>
      <c r="I596" s="156"/>
      <c r="J596" s="7">
        <f t="shared" si="81"/>
        <v>0.79999999999999716</v>
      </c>
      <c r="K596" s="14">
        <v>40</v>
      </c>
      <c r="L596" s="4">
        <v>46234</v>
      </c>
      <c r="M596" s="5">
        <v>40.799999999999997</v>
      </c>
      <c r="N596" s="151"/>
      <c r="O596" s="2"/>
    </row>
    <row r="597" spans="1:15" x14ac:dyDescent="0.35">
      <c r="A597" s="19"/>
      <c r="B597" s="153"/>
      <c r="C597" s="153"/>
      <c r="D597" s="11" t="s">
        <v>143</v>
      </c>
      <c r="E597" s="7">
        <v>51</v>
      </c>
      <c r="F597" s="7">
        <v>61</v>
      </c>
      <c r="G597" s="9" t="s">
        <v>16</v>
      </c>
      <c r="H597" s="27" t="str">
        <f t="shared" si="82"/>
        <v>Normal</v>
      </c>
      <c r="I597" s="156"/>
      <c r="J597" s="7">
        <f t="shared" si="81"/>
        <v>0.39999999999999858</v>
      </c>
      <c r="K597" s="14">
        <v>40</v>
      </c>
      <c r="L597" s="4">
        <v>46234</v>
      </c>
      <c r="M597" s="5">
        <v>40.4</v>
      </c>
      <c r="N597" s="151"/>
      <c r="O597" s="2"/>
    </row>
    <row r="598" spans="1:15" x14ac:dyDescent="0.35">
      <c r="A598" s="19"/>
      <c r="B598" s="153"/>
      <c r="C598" s="153"/>
      <c r="D598" s="11" t="s">
        <v>144</v>
      </c>
      <c r="E598" s="7">
        <v>51</v>
      </c>
      <c r="F598" s="7">
        <v>61</v>
      </c>
      <c r="G598" s="9" t="s">
        <v>16</v>
      </c>
      <c r="H598" s="27" t="str">
        <f t="shared" si="82"/>
        <v>Normal</v>
      </c>
      <c r="I598" s="156"/>
      <c r="J598" s="7">
        <f t="shared" si="81"/>
        <v>1.6000000000000014</v>
      </c>
      <c r="K598" s="14">
        <v>40</v>
      </c>
      <c r="L598" s="4">
        <v>46234</v>
      </c>
      <c r="M598" s="5">
        <v>41.6</v>
      </c>
      <c r="N598" s="151"/>
      <c r="O598" s="2"/>
    </row>
    <row r="599" spans="1:15" x14ac:dyDescent="0.35">
      <c r="A599" s="19"/>
      <c r="B599" s="153"/>
      <c r="C599" s="153"/>
      <c r="D599" s="11" t="s">
        <v>145</v>
      </c>
      <c r="E599" s="7">
        <v>51</v>
      </c>
      <c r="F599" s="7">
        <v>61</v>
      </c>
      <c r="G599" s="9" t="s">
        <v>16</v>
      </c>
      <c r="H599" s="27" t="str">
        <f t="shared" si="82"/>
        <v>Normal</v>
      </c>
      <c r="I599" s="156"/>
      <c r="J599" s="7">
        <f t="shared" si="81"/>
        <v>0</v>
      </c>
      <c r="K599" s="14">
        <v>40</v>
      </c>
      <c r="L599" s="4">
        <v>46234</v>
      </c>
      <c r="M599" s="5">
        <v>38.5</v>
      </c>
      <c r="N599" s="151"/>
      <c r="O599" s="2"/>
    </row>
    <row r="600" spans="1:15" x14ac:dyDescent="0.35">
      <c r="A600" s="19"/>
      <c r="B600" s="153"/>
      <c r="C600" s="153"/>
      <c r="D600" s="11" t="s">
        <v>146</v>
      </c>
      <c r="E600" s="7">
        <v>51</v>
      </c>
      <c r="F600" s="7">
        <v>61</v>
      </c>
      <c r="G600" s="9" t="s">
        <v>16</v>
      </c>
      <c r="H600" s="27" t="str">
        <f t="shared" si="82"/>
        <v>Normal</v>
      </c>
      <c r="I600" s="156"/>
      <c r="J600" s="7">
        <f t="shared" si="81"/>
        <v>1.7999999999999972</v>
      </c>
      <c r="K600" s="14">
        <v>40</v>
      </c>
      <c r="L600" s="4">
        <v>46234</v>
      </c>
      <c r="M600" s="5">
        <v>41.8</v>
      </c>
      <c r="N600" s="151"/>
      <c r="O600" s="2"/>
    </row>
    <row r="601" spans="1:15" x14ac:dyDescent="0.35">
      <c r="A601" s="19"/>
      <c r="B601" s="153"/>
      <c r="C601" s="153"/>
      <c r="D601" s="11" t="s">
        <v>147</v>
      </c>
      <c r="E601" s="7">
        <v>51</v>
      </c>
      <c r="F601" s="7">
        <v>61</v>
      </c>
      <c r="G601" s="9" t="s">
        <v>16</v>
      </c>
      <c r="H601" s="27" t="str">
        <f t="shared" si="82"/>
        <v>Normal</v>
      </c>
      <c r="I601" s="156"/>
      <c r="J601" s="7">
        <f t="shared" si="81"/>
        <v>1.2000000000000028</v>
      </c>
      <c r="K601" s="14">
        <v>40</v>
      </c>
      <c r="L601" s="4">
        <v>46234</v>
      </c>
      <c r="M601" s="5">
        <v>41.2</v>
      </c>
      <c r="N601" s="151"/>
      <c r="O601" s="2"/>
    </row>
    <row r="602" spans="1:15" ht="16.5" customHeight="1" x14ac:dyDescent="0.35">
      <c r="A602" s="19"/>
      <c r="B602" s="154"/>
      <c r="C602" s="154"/>
      <c r="D602" s="11" t="s">
        <v>148</v>
      </c>
      <c r="E602" s="7">
        <v>51</v>
      </c>
      <c r="F602" s="7">
        <v>61</v>
      </c>
      <c r="G602" s="9" t="s">
        <v>16</v>
      </c>
      <c r="H602" s="27" t="str">
        <f t="shared" si="82"/>
        <v>Normal</v>
      </c>
      <c r="I602" s="157"/>
      <c r="J602" s="7">
        <f t="shared" si="81"/>
        <v>1.2999999999999972</v>
      </c>
      <c r="K602" s="14">
        <v>40</v>
      </c>
      <c r="L602" s="4">
        <v>46234</v>
      </c>
      <c r="M602" s="5">
        <v>41.3</v>
      </c>
      <c r="N602" s="151"/>
      <c r="O602" s="2"/>
    </row>
    <row r="603" spans="1:15" ht="14.5" customHeight="1" x14ac:dyDescent="0.35">
      <c r="A603" s="50">
        <v>3</v>
      </c>
      <c r="B603" s="158" t="s">
        <v>281</v>
      </c>
      <c r="C603" s="158" t="s">
        <v>263</v>
      </c>
      <c r="D603" s="8" t="s">
        <v>15</v>
      </c>
      <c r="E603" s="7">
        <f t="shared" ref="E603:E613" si="87">(K603+11)</f>
        <v>66</v>
      </c>
      <c r="F603" s="7">
        <f t="shared" ref="F603:F613" si="88">(E603+10)</f>
        <v>76</v>
      </c>
      <c r="G603" s="9" t="s">
        <v>16</v>
      </c>
      <c r="H603" s="27" t="str">
        <f>IF(J603="",("-"),(IF(J603="STD BY",("STD BY"),(IF(J603="N/A",("N/A"),(IF(J603&lt;5,("Normal"),(IF(J603&lt;11,("Low"),(IF(J603&lt;21,("Medium"),(IF(J603&lt;41,("High"),("Critical"))))))))))))))</f>
        <v>Normal</v>
      </c>
      <c r="I603" s="160" t="str">
        <f>IF(COUNTIF(H603:H605,"-")&gt;0,("-"),(IF(COUNTIF(H603:H605,"STD BY")&gt;0,("STD BY"),(IF(COUNTIF(H603:H605,"N/A")&gt;0,("N/A"),(IF(COUNTIF(H603:H605,"Critical")&gt;0,("Critical"),(IF(COUNTIF(H603:H605,"High")&gt;0,("High"),(IF(COUNTIF(H603:H605,"Medium")&gt;0,("Medium"),(IF(COUNTIF(H603:H605,"Low")&gt;0,("Low"),("Normal"))))))))))))))</f>
        <v>Normal</v>
      </c>
      <c r="J603" s="7">
        <f t="shared" ref="J603:J618" si="89">IF(M603="",(""),(IF(M603="STD BY",("STD BY"),(IF(M603="N/A",("N/A"),(IF(M603-K603&gt;0,(M603-K603),(0))))))))</f>
        <v>0</v>
      </c>
      <c r="K603" s="7">
        <v>55</v>
      </c>
      <c r="L603" s="119">
        <v>46219</v>
      </c>
      <c r="M603" s="118">
        <v>31.7</v>
      </c>
      <c r="N603" s="200" t="s">
        <v>371</v>
      </c>
    </row>
    <row r="604" spans="1:15" x14ac:dyDescent="0.35">
      <c r="A604" s="51"/>
      <c r="B604" s="158"/>
      <c r="C604" s="158"/>
      <c r="D604" s="10" t="s">
        <v>17</v>
      </c>
      <c r="E604" s="7">
        <f t="shared" si="87"/>
        <v>61</v>
      </c>
      <c r="F604" s="7">
        <f t="shared" si="88"/>
        <v>71</v>
      </c>
      <c r="G604" s="9" t="s">
        <v>16</v>
      </c>
      <c r="H604" s="27" t="str">
        <f>IF(J604="",("-"),(IF(J604="STD BY",("STD BY"),(IF(J604="N/A",("N/A"),(IF(J604&lt;5,("Normal"),(IF(J604&lt;11,("Low"),(IF(J604&lt;21,("Medium"),(IF(J604&lt;41,("High"),("Critical"))))))))))))))</f>
        <v>Normal</v>
      </c>
      <c r="I604" s="160"/>
      <c r="J604" s="7">
        <f t="shared" si="89"/>
        <v>0</v>
      </c>
      <c r="K604" s="7">
        <v>50</v>
      </c>
      <c r="L604" s="119">
        <v>46219</v>
      </c>
      <c r="M604" s="122">
        <v>30.1</v>
      </c>
      <c r="N604" s="201"/>
    </row>
    <row r="605" spans="1:15" x14ac:dyDescent="0.35">
      <c r="A605" s="52"/>
      <c r="B605" s="158"/>
      <c r="C605" s="158"/>
      <c r="D605" s="10" t="s">
        <v>18</v>
      </c>
      <c r="E605" s="7">
        <f t="shared" si="87"/>
        <v>66</v>
      </c>
      <c r="F605" s="7">
        <f t="shared" si="88"/>
        <v>76</v>
      </c>
      <c r="G605" s="9" t="s">
        <v>16</v>
      </c>
      <c r="H605" s="27" t="str">
        <f t="shared" ref="H605:H618" si="90">IF(J605="",("-"),(IF(J605="STD BY",("STD BY"),(IF(J605="N/A",("N/A"),(IF(J605&lt;5,("Normal"),(IF(J605&lt;11,("Low"),(IF(J605&lt;21,("Medium"),(IF(J605&lt;41,("High"),("Critical"))))))))))))))</f>
        <v>Normal</v>
      </c>
      <c r="I605" s="160"/>
      <c r="J605" s="7">
        <f t="shared" si="89"/>
        <v>0</v>
      </c>
      <c r="K605" s="7">
        <v>55</v>
      </c>
      <c r="L605" s="119">
        <v>46219</v>
      </c>
      <c r="M605" s="118">
        <v>34.299999999999997</v>
      </c>
      <c r="N605" s="201"/>
    </row>
    <row r="606" spans="1:15" ht="14.5" customHeight="1" x14ac:dyDescent="0.35">
      <c r="A606" s="51">
        <v>3</v>
      </c>
      <c r="B606" s="158" t="s">
        <v>282</v>
      </c>
      <c r="C606" s="158" t="s">
        <v>264</v>
      </c>
      <c r="D606" s="8" t="s">
        <v>15</v>
      </c>
      <c r="E606" s="7">
        <f t="shared" si="87"/>
        <v>66</v>
      </c>
      <c r="F606" s="7">
        <f t="shared" si="88"/>
        <v>76</v>
      </c>
      <c r="G606" s="9" t="s">
        <v>16</v>
      </c>
      <c r="H606" s="27" t="str">
        <f t="shared" si="90"/>
        <v>STD BY</v>
      </c>
      <c r="I606" s="160" t="str">
        <f>IF(COUNTIF(H606:H608,"-")&gt;0,("-"),(IF(COUNTIF(H606:H608,"STD BY")&gt;0,("STD BY"),(IF(COUNTIF(H606:H608,"N/A")&gt;0,("N/A"),(IF(COUNTIF(H606:H608,"Critical")&gt;0,("Critical"),(IF(COUNTIF(H606:H608,"High")&gt;0,("High"),(IF(COUNTIF(H606:H608,"Medium")&gt;0,("Medium"),(IF(COUNTIF(H606:H608,"Low")&gt;0,("Low"),("Normal"))))))))))))))</f>
        <v>STD BY</v>
      </c>
      <c r="J606" s="7" t="str">
        <f t="shared" si="89"/>
        <v>STD BY</v>
      </c>
      <c r="K606" s="7">
        <v>55</v>
      </c>
      <c r="L606" s="4"/>
      <c r="M606" s="3" t="s">
        <v>376</v>
      </c>
      <c r="N606" s="201"/>
    </row>
    <row r="607" spans="1:15" x14ac:dyDescent="0.35">
      <c r="A607" s="51"/>
      <c r="B607" s="158"/>
      <c r="C607" s="158"/>
      <c r="D607" s="10" t="s">
        <v>17</v>
      </c>
      <c r="E607" s="7">
        <f t="shared" si="87"/>
        <v>61</v>
      </c>
      <c r="F607" s="7">
        <f t="shared" si="88"/>
        <v>71</v>
      </c>
      <c r="G607" s="9" t="s">
        <v>16</v>
      </c>
      <c r="H607" s="27" t="str">
        <f t="shared" si="90"/>
        <v>STD BY</v>
      </c>
      <c r="I607" s="160"/>
      <c r="J607" s="7" t="str">
        <f t="shared" si="89"/>
        <v>STD BY</v>
      </c>
      <c r="K607" s="7">
        <v>50</v>
      </c>
      <c r="L607" s="4"/>
      <c r="M607" s="3" t="s">
        <v>376</v>
      </c>
      <c r="N607" s="201"/>
    </row>
    <row r="608" spans="1:15" x14ac:dyDescent="0.35">
      <c r="A608" s="52"/>
      <c r="B608" s="158"/>
      <c r="C608" s="158"/>
      <c r="D608" s="10" t="s">
        <v>18</v>
      </c>
      <c r="E608" s="7">
        <f t="shared" si="87"/>
        <v>66</v>
      </c>
      <c r="F608" s="7">
        <f t="shared" si="88"/>
        <v>76</v>
      </c>
      <c r="G608" s="9" t="s">
        <v>16</v>
      </c>
      <c r="H608" s="28" t="str">
        <f t="shared" si="90"/>
        <v>STD BY</v>
      </c>
      <c r="I608" s="155"/>
      <c r="J608" s="16" t="str">
        <f t="shared" si="89"/>
        <v>STD BY</v>
      </c>
      <c r="K608" s="7">
        <v>55</v>
      </c>
      <c r="L608" s="4"/>
      <c r="M608" s="3" t="s">
        <v>376</v>
      </c>
      <c r="N608" s="202"/>
    </row>
    <row r="609" spans="1:14" ht="14.5" customHeight="1" x14ac:dyDescent="0.35">
      <c r="A609" s="51">
        <v>3</v>
      </c>
      <c r="B609" s="158" t="s">
        <v>286</v>
      </c>
      <c r="C609" s="158" t="s">
        <v>287</v>
      </c>
      <c r="D609" s="8" t="s">
        <v>15</v>
      </c>
      <c r="E609" s="7">
        <f t="shared" si="87"/>
        <v>71</v>
      </c>
      <c r="F609" s="7">
        <f t="shared" si="88"/>
        <v>81</v>
      </c>
      <c r="G609" s="9" t="s">
        <v>16</v>
      </c>
      <c r="H609" s="27" t="str">
        <f t="shared" si="90"/>
        <v>Normal</v>
      </c>
      <c r="I609" s="160" t="str">
        <f>IF(COUNTIF(H609:H613,"-")&gt;0,("-"),(IF(COUNTIF(H609:H613,"STD BY")&gt;0,("STD BY"),(IF(COUNTIF(H609:H613,"N/A")&gt;0,("N/A"),(IF(COUNTIF(H609:H613,"Critical")&gt;0,("Critical"),(IF(COUNTIF(H609:H613,"High")&gt;0,("High"),(IF(COUNTIF(H609:H613,"Medium")&gt;0,("Medium"),(IF(COUNTIF(H609:H613,"Low")&gt;0,("Low"),("Normal"))))))))))))))</f>
        <v>Medium</v>
      </c>
      <c r="J609" s="7">
        <f t="shared" si="89"/>
        <v>0</v>
      </c>
      <c r="K609" s="7">
        <v>60</v>
      </c>
      <c r="L609" s="4">
        <v>46219</v>
      </c>
      <c r="M609" s="3">
        <v>32</v>
      </c>
      <c r="N609" s="198" t="s">
        <v>372</v>
      </c>
    </row>
    <row r="610" spans="1:14" x14ac:dyDescent="0.35">
      <c r="A610" s="51"/>
      <c r="B610" s="158"/>
      <c r="C610" s="158"/>
      <c r="D610" s="10" t="s">
        <v>17</v>
      </c>
      <c r="E610" s="7">
        <f t="shared" si="87"/>
        <v>66</v>
      </c>
      <c r="F610" s="7">
        <f t="shared" si="88"/>
        <v>76</v>
      </c>
      <c r="G610" s="9" t="s">
        <v>16</v>
      </c>
      <c r="H610" s="27" t="str">
        <f t="shared" si="90"/>
        <v>Normal</v>
      </c>
      <c r="I610" s="160"/>
      <c r="J610" s="7">
        <f t="shared" si="89"/>
        <v>0</v>
      </c>
      <c r="K610" s="7">
        <v>55</v>
      </c>
      <c r="L610" s="4">
        <v>46219</v>
      </c>
      <c r="M610" s="3">
        <v>33.200000000000003</v>
      </c>
      <c r="N610" s="198"/>
    </row>
    <row r="611" spans="1:14" x14ac:dyDescent="0.35">
      <c r="A611" s="51"/>
      <c r="B611" s="158"/>
      <c r="C611" s="158"/>
      <c r="D611" s="10" t="s">
        <v>18</v>
      </c>
      <c r="E611" s="7">
        <f t="shared" si="87"/>
        <v>71</v>
      </c>
      <c r="F611" s="7">
        <f t="shared" si="88"/>
        <v>81</v>
      </c>
      <c r="G611" s="9" t="s">
        <v>16</v>
      </c>
      <c r="H611" s="27" t="str">
        <f t="shared" si="90"/>
        <v>Normal</v>
      </c>
      <c r="I611" s="160"/>
      <c r="J611" s="7">
        <f t="shared" si="89"/>
        <v>0</v>
      </c>
      <c r="K611" s="7">
        <v>60</v>
      </c>
      <c r="L611" s="4">
        <v>46219</v>
      </c>
      <c r="M611" s="3">
        <v>30.8</v>
      </c>
      <c r="N611" s="198"/>
    </row>
    <row r="612" spans="1:14" x14ac:dyDescent="0.35">
      <c r="A612" s="51"/>
      <c r="B612" s="158"/>
      <c r="C612" s="158"/>
      <c r="D612" s="10" t="s">
        <v>19</v>
      </c>
      <c r="E612" s="7">
        <f t="shared" si="87"/>
        <v>51</v>
      </c>
      <c r="F612" s="7">
        <f t="shared" si="88"/>
        <v>61</v>
      </c>
      <c r="G612" s="9" t="s">
        <v>16</v>
      </c>
      <c r="H612" s="27" t="str">
        <f t="shared" si="90"/>
        <v>Low</v>
      </c>
      <c r="I612" s="160"/>
      <c r="J612" s="7">
        <f t="shared" si="89"/>
        <v>8.7000000000000028</v>
      </c>
      <c r="K612" s="7">
        <v>40</v>
      </c>
      <c r="L612" s="4">
        <v>46219</v>
      </c>
      <c r="M612" s="3">
        <v>48.7</v>
      </c>
      <c r="N612" s="198"/>
    </row>
    <row r="613" spans="1:14" x14ac:dyDescent="0.35">
      <c r="A613" s="52"/>
      <c r="B613" s="158"/>
      <c r="C613" s="158"/>
      <c r="D613" s="10" t="s">
        <v>22</v>
      </c>
      <c r="E613" s="7">
        <f t="shared" si="87"/>
        <v>51</v>
      </c>
      <c r="F613" s="7">
        <f t="shared" si="88"/>
        <v>61</v>
      </c>
      <c r="G613" s="9" t="s">
        <v>16</v>
      </c>
      <c r="H613" s="27" t="str">
        <f t="shared" si="90"/>
        <v>Medium</v>
      </c>
      <c r="I613" s="160"/>
      <c r="J613" s="7">
        <f t="shared" si="89"/>
        <v>19.399999999999999</v>
      </c>
      <c r="K613" s="7">
        <v>40</v>
      </c>
      <c r="L613" s="4">
        <v>46219</v>
      </c>
      <c r="M613" s="3">
        <v>59.4</v>
      </c>
      <c r="N613" s="199"/>
    </row>
    <row r="614" spans="1:14" ht="14.5" customHeight="1" x14ac:dyDescent="0.35">
      <c r="A614" s="51">
        <v>3</v>
      </c>
      <c r="B614" s="158" t="s">
        <v>288</v>
      </c>
      <c r="C614" s="158" t="s">
        <v>289</v>
      </c>
      <c r="D614" s="8" t="s">
        <v>265</v>
      </c>
      <c r="E614" s="16">
        <f t="shared" ref="E614:E618" si="91">(K614+11)</f>
        <v>111</v>
      </c>
      <c r="F614" s="16">
        <f t="shared" ref="F614:F618" si="92">(E614+10)</f>
        <v>121</v>
      </c>
      <c r="G614" s="9" t="s">
        <v>16</v>
      </c>
      <c r="H614" s="27" t="str">
        <f t="shared" si="90"/>
        <v>Normal</v>
      </c>
      <c r="I614" s="160" t="str">
        <f>IF(COUNTIF(H614:H618,"-")&gt;0,("-"),(IF(COUNTIF(H614:H618,"STD BY")&gt;0,("STD BY"),(IF(COUNTIF(H614:H618,"N/A")&gt;0,("N/A"),(IF(COUNTIF(H614:H618,"Critical")&gt;0,("Critical"),(IF(COUNTIF(H614:H618,"High")&gt;0,("High"),(IF(COUNTIF(H614:H618,"Medium")&gt;0,("Medium"),(IF(COUNTIF(H614:H618,"Low")&gt;0,("Low"),("Normal"))))))))))))))</f>
        <v>Normal</v>
      </c>
      <c r="J614" s="7">
        <f t="shared" si="89"/>
        <v>0</v>
      </c>
      <c r="K614" s="7">
        <v>100</v>
      </c>
      <c r="L614" s="4">
        <v>46219</v>
      </c>
      <c r="M614" s="3">
        <v>90.1</v>
      </c>
      <c r="N614" s="198" t="s">
        <v>372</v>
      </c>
    </row>
    <row r="615" spans="1:14" x14ac:dyDescent="0.35">
      <c r="A615" s="51"/>
      <c r="B615" s="158"/>
      <c r="C615" s="158"/>
      <c r="D615" s="10" t="s">
        <v>17</v>
      </c>
      <c r="E615" s="16">
        <f t="shared" si="91"/>
        <v>111</v>
      </c>
      <c r="F615" s="16">
        <f t="shared" si="92"/>
        <v>121</v>
      </c>
      <c r="G615" s="9" t="s">
        <v>16</v>
      </c>
      <c r="H615" s="27" t="str">
        <f t="shared" si="90"/>
        <v>Normal</v>
      </c>
      <c r="I615" s="160"/>
      <c r="J615" s="7">
        <f t="shared" si="89"/>
        <v>0</v>
      </c>
      <c r="K615" s="7">
        <v>100</v>
      </c>
      <c r="L615" s="4">
        <v>46219</v>
      </c>
      <c r="M615" s="3">
        <v>64.099999999999994</v>
      </c>
      <c r="N615" s="198"/>
    </row>
    <row r="616" spans="1:14" x14ac:dyDescent="0.35">
      <c r="A616" s="51"/>
      <c r="B616" s="158"/>
      <c r="C616" s="158"/>
      <c r="D616" s="10" t="s">
        <v>18</v>
      </c>
      <c r="E616" s="16">
        <f t="shared" si="91"/>
        <v>111</v>
      </c>
      <c r="F616" s="16">
        <f t="shared" si="92"/>
        <v>121</v>
      </c>
      <c r="G616" s="9" t="s">
        <v>16</v>
      </c>
      <c r="H616" s="27" t="str">
        <f t="shared" si="90"/>
        <v>Normal</v>
      </c>
      <c r="I616" s="160"/>
      <c r="J616" s="7">
        <f t="shared" si="89"/>
        <v>0</v>
      </c>
      <c r="K616" s="7">
        <v>100</v>
      </c>
      <c r="L616" s="4">
        <v>46219</v>
      </c>
      <c r="M616" s="3">
        <v>59.1</v>
      </c>
      <c r="N616" s="198"/>
    </row>
    <row r="617" spans="1:14" x14ac:dyDescent="0.35">
      <c r="A617" s="51"/>
      <c r="B617" s="158"/>
      <c r="C617" s="158"/>
      <c r="D617" s="10" t="s">
        <v>19</v>
      </c>
      <c r="E617" s="16">
        <f t="shared" si="91"/>
        <v>51</v>
      </c>
      <c r="F617" s="16">
        <f t="shared" si="92"/>
        <v>61</v>
      </c>
      <c r="G617" s="9" t="s">
        <v>16</v>
      </c>
      <c r="H617" s="27" t="str">
        <f t="shared" si="90"/>
        <v>Normal</v>
      </c>
      <c r="I617" s="160"/>
      <c r="J617" s="7">
        <f t="shared" si="89"/>
        <v>0</v>
      </c>
      <c r="K617" s="7">
        <v>40</v>
      </c>
      <c r="L617" s="4">
        <v>46219</v>
      </c>
      <c r="M617" s="3">
        <v>37.4</v>
      </c>
      <c r="N617" s="198"/>
    </row>
    <row r="618" spans="1:14" x14ac:dyDescent="0.35">
      <c r="A618" s="52"/>
      <c r="B618" s="158"/>
      <c r="C618" s="158"/>
      <c r="D618" s="10" t="s">
        <v>22</v>
      </c>
      <c r="E618" s="16">
        <f t="shared" si="91"/>
        <v>51</v>
      </c>
      <c r="F618" s="16">
        <f t="shared" si="92"/>
        <v>61</v>
      </c>
      <c r="G618" s="9" t="s">
        <v>16</v>
      </c>
      <c r="H618" s="27" t="str">
        <f t="shared" si="90"/>
        <v>Normal</v>
      </c>
      <c r="I618" s="160"/>
      <c r="J618" s="7">
        <f t="shared" si="89"/>
        <v>0</v>
      </c>
      <c r="K618" s="7">
        <v>40</v>
      </c>
      <c r="L618" s="4">
        <v>46219</v>
      </c>
      <c r="M618" s="3">
        <v>33.799999999999997</v>
      </c>
      <c r="N618" s="199"/>
    </row>
    <row r="619" spans="1:14" x14ac:dyDescent="0.35">
      <c r="A619" s="51">
        <v>3</v>
      </c>
      <c r="B619" s="158" t="s">
        <v>283</v>
      </c>
      <c r="C619" s="158" t="s">
        <v>266</v>
      </c>
      <c r="D619" s="47" t="s">
        <v>292</v>
      </c>
      <c r="E619" s="7">
        <f>(K619+11)</f>
        <v>66</v>
      </c>
      <c r="F619" s="7">
        <f>(E619+10)</f>
        <v>76</v>
      </c>
      <c r="G619" s="27" t="s">
        <v>16</v>
      </c>
      <c r="H619" s="27" t="str">
        <f t="shared" ref="H619:H642" si="93">IF(J619="",("-"),(IF(J619="STD BY",("STD BY"),(IF(J619="N/A",("N/A"),(IF(J619&lt;5,("Normal"),(IF(J619&lt;11,("Low"),(IF(J619&lt;21,("Medium"),(IF(J619&lt;41,("High"),("Critical"))))))))))))))</f>
        <v>Normal</v>
      </c>
      <c r="I619" s="160" t="str">
        <f>IF(COUNTIF(H619:H626,"-")&gt;0,("-"),(IF(COUNTIF(H619:H626,"STD BY")&gt;0,("STD BY"),(IF(COUNTIF(H619:H626,"N/A")&gt;0,("N/A"),(IF(COUNTIF(H619:H626,"Critical")&gt;0,("Critical"),(IF(COUNTIF(H619:H626,"High")&gt;0,("High"),(IF(COUNTIF(H619:H626,"Medium")&gt;0,("Medium"),(IF(COUNTIF(H619:H626,"Low")&gt;0,("Low"),("Normal"))))))))))))))</f>
        <v>Normal</v>
      </c>
      <c r="J619" s="7">
        <f t="shared" ref="J619:J658" si="94">IF(M619="",(""),(IF(M619="STD BY",("STD BY"),(IF(M619="N/A",("N/A"),(IF(M619-K619&gt;0,(M619-K619),(0))))))))</f>
        <v>0</v>
      </c>
      <c r="K619" s="7">
        <v>55</v>
      </c>
      <c r="L619" s="4">
        <v>46226</v>
      </c>
      <c r="M619" s="3">
        <v>33.700000000000003</v>
      </c>
      <c r="N619" s="186" t="s">
        <v>372</v>
      </c>
    </row>
    <row r="620" spans="1:14" x14ac:dyDescent="0.35">
      <c r="A620" s="51"/>
      <c r="B620" s="158"/>
      <c r="C620" s="158"/>
      <c r="D620" s="11" t="s">
        <v>293</v>
      </c>
      <c r="E620" s="7">
        <f t="shared" ref="E620:E626" si="95">(K620+11)</f>
        <v>66</v>
      </c>
      <c r="F620" s="7">
        <f t="shared" ref="F620:F642" si="96">(E620+10)</f>
        <v>76</v>
      </c>
      <c r="G620" s="9" t="s">
        <v>16</v>
      </c>
      <c r="H620" s="27" t="str">
        <f t="shared" si="93"/>
        <v>Normal</v>
      </c>
      <c r="I620" s="160"/>
      <c r="J620" s="7">
        <f t="shared" si="94"/>
        <v>0</v>
      </c>
      <c r="K620" s="7">
        <v>55</v>
      </c>
      <c r="L620" s="4">
        <v>46226</v>
      </c>
      <c r="M620" s="3">
        <v>33.5</v>
      </c>
      <c r="N620" s="187"/>
    </row>
    <row r="621" spans="1:14" x14ac:dyDescent="0.35">
      <c r="A621" s="51"/>
      <c r="B621" s="158"/>
      <c r="C621" s="158"/>
      <c r="D621" s="11" t="s">
        <v>273</v>
      </c>
      <c r="E621" s="7">
        <f t="shared" si="95"/>
        <v>51</v>
      </c>
      <c r="F621" s="7">
        <f t="shared" si="96"/>
        <v>61</v>
      </c>
      <c r="G621" s="9" t="s">
        <v>16</v>
      </c>
      <c r="H621" s="27" t="str">
        <f t="shared" si="93"/>
        <v>Normal</v>
      </c>
      <c r="I621" s="160"/>
      <c r="J621" s="7">
        <f t="shared" si="94"/>
        <v>0</v>
      </c>
      <c r="K621" s="7">
        <v>40</v>
      </c>
      <c r="L621" s="4">
        <v>46226</v>
      </c>
      <c r="M621" s="3">
        <v>31.3</v>
      </c>
      <c r="N621" s="187"/>
    </row>
    <row r="622" spans="1:14" x14ac:dyDescent="0.35">
      <c r="A622" s="51"/>
      <c r="B622" s="158"/>
      <c r="C622" s="158"/>
      <c r="D622" s="11" t="s">
        <v>274</v>
      </c>
      <c r="E622" s="7">
        <f t="shared" si="95"/>
        <v>51</v>
      </c>
      <c r="F622" s="7">
        <f t="shared" si="96"/>
        <v>61</v>
      </c>
      <c r="G622" s="9" t="s">
        <v>16</v>
      </c>
      <c r="H622" s="27" t="str">
        <f t="shared" si="93"/>
        <v>Normal</v>
      </c>
      <c r="I622" s="160"/>
      <c r="J622" s="7">
        <f t="shared" si="94"/>
        <v>0</v>
      </c>
      <c r="K622" s="7">
        <v>40</v>
      </c>
      <c r="L622" s="4">
        <v>46226</v>
      </c>
      <c r="M622" s="3">
        <v>31.1</v>
      </c>
      <c r="N622" s="187"/>
    </row>
    <row r="623" spans="1:14" x14ac:dyDescent="0.35">
      <c r="A623" s="51"/>
      <c r="B623" s="158"/>
      <c r="C623" s="158"/>
      <c r="D623" s="11" t="s">
        <v>275</v>
      </c>
      <c r="E623" s="7">
        <f t="shared" si="95"/>
        <v>51</v>
      </c>
      <c r="F623" s="7">
        <f t="shared" si="96"/>
        <v>61</v>
      </c>
      <c r="G623" s="9" t="s">
        <v>16</v>
      </c>
      <c r="H623" s="27" t="str">
        <f t="shared" si="93"/>
        <v>Normal</v>
      </c>
      <c r="I623" s="160"/>
      <c r="J623" s="7">
        <f t="shared" si="94"/>
        <v>0</v>
      </c>
      <c r="K623" s="7">
        <v>40</v>
      </c>
      <c r="L623" s="4">
        <v>46226</v>
      </c>
      <c r="M623" s="3">
        <v>30</v>
      </c>
      <c r="N623" s="187"/>
    </row>
    <row r="624" spans="1:14" x14ac:dyDescent="0.35">
      <c r="A624" s="51"/>
      <c r="B624" s="158"/>
      <c r="C624" s="158"/>
      <c r="D624" s="11" t="s">
        <v>276</v>
      </c>
      <c r="E624" s="7">
        <f t="shared" si="95"/>
        <v>51</v>
      </c>
      <c r="F624" s="7">
        <f t="shared" si="96"/>
        <v>61</v>
      </c>
      <c r="G624" s="9" t="s">
        <v>16</v>
      </c>
      <c r="H624" s="27" t="str">
        <f>IF(J624="",("-"),(IF(J624="STD BY",("STD BY"),(IF(J624="N/A",("N/A"),(IF(J624&lt;5,("Normal"),(IF(J624&lt;11,("Low"),(IF(J624&lt;21,("Medium"),(IF(J624&lt;41,("High"),("Critical"))))))))))))))</f>
        <v>Normal</v>
      </c>
      <c r="I624" s="160"/>
      <c r="J624" s="7">
        <f t="shared" si="94"/>
        <v>0</v>
      </c>
      <c r="K624" s="7">
        <v>40</v>
      </c>
      <c r="L624" s="4">
        <v>46226</v>
      </c>
      <c r="M624" s="3">
        <v>33</v>
      </c>
      <c r="N624" s="187"/>
    </row>
    <row r="625" spans="1:14" x14ac:dyDescent="0.35">
      <c r="A625" s="51"/>
      <c r="B625" s="158"/>
      <c r="C625" s="158"/>
      <c r="D625" s="11" t="s">
        <v>277</v>
      </c>
      <c r="E625" s="7">
        <f t="shared" si="95"/>
        <v>51</v>
      </c>
      <c r="F625" s="7">
        <f t="shared" si="96"/>
        <v>61</v>
      </c>
      <c r="G625" s="9" t="s">
        <v>16</v>
      </c>
      <c r="H625" s="27" t="str">
        <f t="shared" si="93"/>
        <v>Normal</v>
      </c>
      <c r="I625" s="160"/>
      <c r="J625" s="7">
        <f t="shared" si="94"/>
        <v>0</v>
      </c>
      <c r="K625" s="7">
        <v>40</v>
      </c>
      <c r="L625" s="4">
        <v>46226</v>
      </c>
      <c r="M625" s="3">
        <v>32.4</v>
      </c>
      <c r="N625" s="187"/>
    </row>
    <row r="626" spans="1:14" x14ac:dyDescent="0.35">
      <c r="A626" s="52"/>
      <c r="B626" s="158"/>
      <c r="C626" s="158"/>
      <c r="D626" s="11" t="s">
        <v>278</v>
      </c>
      <c r="E626" s="7">
        <f t="shared" si="95"/>
        <v>51</v>
      </c>
      <c r="F626" s="7">
        <f t="shared" si="96"/>
        <v>61</v>
      </c>
      <c r="G626" s="9" t="s">
        <v>16</v>
      </c>
      <c r="H626" s="27" t="str">
        <f t="shared" si="93"/>
        <v>Normal</v>
      </c>
      <c r="I626" s="160"/>
      <c r="J626" s="7">
        <f t="shared" si="94"/>
        <v>0</v>
      </c>
      <c r="K626" s="7">
        <v>40</v>
      </c>
      <c r="L626" s="4">
        <v>46226</v>
      </c>
      <c r="M626" s="3">
        <v>31.8</v>
      </c>
      <c r="N626" s="187"/>
    </row>
    <row r="627" spans="1:14" ht="14.5" customHeight="1" x14ac:dyDescent="0.35">
      <c r="A627" s="51">
        <v>3</v>
      </c>
      <c r="B627" s="154" t="s">
        <v>285</v>
      </c>
      <c r="C627" s="158" t="s">
        <v>279</v>
      </c>
      <c r="D627" s="47" t="s">
        <v>290</v>
      </c>
      <c r="E627" s="7">
        <f>(K627+11)</f>
        <v>66</v>
      </c>
      <c r="F627" s="7">
        <f t="shared" si="96"/>
        <v>76</v>
      </c>
      <c r="G627" s="27" t="s">
        <v>16</v>
      </c>
      <c r="H627" s="27" t="str">
        <f t="shared" si="93"/>
        <v>Normal</v>
      </c>
      <c r="I627" s="160" t="str">
        <f>IF(COUNTIF(H627:H634,"-")&gt;0,("-"),(IF(COUNTIF(H627:H634,"STD BY")&gt;0,("STD BY"),(IF(COUNTIF(H627:H634,"N/A")&gt;0,("N/A"),(IF(COUNTIF(H627:H634,"Critical")&gt;0,("Critical"),(IF(COUNTIF(H627:H634,"High")&gt;0,("High"),(IF(COUNTIF(H627:H634,"Medium")&gt;0,("Medium"),(IF(COUNTIF(H627:H634,"Low")&gt;0,("Low"),("Normal"))))))))))))))</f>
        <v>Normal</v>
      </c>
      <c r="J627" s="7">
        <f t="shared" si="94"/>
        <v>0</v>
      </c>
      <c r="K627" s="7">
        <v>55</v>
      </c>
      <c r="L627" s="4">
        <v>46226</v>
      </c>
      <c r="M627" s="3">
        <v>37.299999999999997</v>
      </c>
      <c r="N627" s="186" t="s">
        <v>372</v>
      </c>
    </row>
    <row r="628" spans="1:14" x14ac:dyDescent="0.35">
      <c r="A628" s="51"/>
      <c r="B628" s="158"/>
      <c r="C628" s="158"/>
      <c r="D628" s="47" t="s">
        <v>291</v>
      </c>
      <c r="E628" s="7">
        <f t="shared" ref="E628:E634" si="97">(K628+11)</f>
        <v>66</v>
      </c>
      <c r="F628" s="7">
        <f t="shared" si="96"/>
        <v>76</v>
      </c>
      <c r="G628" s="27" t="s">
        <v>16</v>
      </c>
      <c r="H628" s="27" t="str">
        <f t="shared" si="93"/>
        <v>Normal</v>
      </c>
      <c r="I628" s="160"/>
      <c r="J628" s="7">
        <f t="shared" si="94"/>
        <v>0</v>
      </c>
      <c r="K628" s="7">
        <v>55</v>
      </c>
      <c r="L628" s="4">
        <v>46226</v>
      </c>
      <c r="M628" s="3">
        <v>37.299999999999997</v>
      </c>
      <c r="N628" s="187"/>
    </row>
    <row r="629" spans="1:14" x14ac:dyDescent="0.35">
      <c r="A629" s="51"/>
      <c r="B629" s="158"/>
      <c r="C629" s="158"/>
      <c r="D629" s="11" t="s">
        <v>273</v>
      </c>
      <c r="E629" s="7">
        <f t="shared" si="97"/>
        <v>66</v>
      </c>
      <c r="F629" s="7">
        <f t="shared" si="96"/>
        <v>76</v>
      </c>
      <c r="G629" s="9" t="s">
        <v>16</v>
      </c>
      <c r="H629" s="27" t="str">
        <f t="shared" si="93"/>
        <v>Normal</v>
      </c>
      <c r="I629" s="160"/>
      <c r="J629" s="7">
        <f t="shared" si="94"/>
        <v>0</v>
      </c>
      <c r="K629" s="7">
        <v>55</v>
      </c>
      <c r="L629" s="4">
        <v>46226</v>
      </c>
      <c r="M629" s="3">
        <v>34.6</v>
      </c>
      <c r="N629" s="187"/>
    </row>
    <row r="630" spans="1:14" x14ac:dyDescent="0.35">
      <c r="A630" s="51"/>
      <c r="B630" s="158"/>
      <c r="C630" s="158"/>
      <c r="D630" s="47" t="s">
        <v>274</v>
      </c>
      <c r="E630" s="7">
        <f t="shared" si="97"/>
        <v>66</v>
      </c>
      <c r="F630" s="7">
        <f t="shared" si="96"/>
        <v>76</v>
      </c>
      <c r="G630" s="27" t="s">
        <v>16</v>
      </c>
      <c r="H630" s="27" t="str">
        <f t="shared" si="93"/>
        <v>Normal</v>
      </c>
      <c r="I630" s="160"/>
      <c r="J630" s="7">
        <f t="shared" si="94"/>
        <v>0</v>
      </c>
      <c r="K630" s="7">
        <v>55</v>
      </c>
      <c r="L630" s="4">
        <v>46226</v>
      </c>
      <c r="M630" s="3">
        <v>33.9</v>
      </c>
      <c r="N630" s="187"/>
    </row>
    <row r="631" spans="1:14" x14ac:dyDescent="0.35">
      <c r="A631" s="51"/>
      <c r="B631" s="158"/>
      <c r="C631" s="158"/>
      <c r="D631" s="11" t="s">
        <v>275</v>
      </c>
      <c r="E631" s="7">
        <f t="shared" si="97"/>
        <v>66</v>
      </c>
      <c r="F631" s="7">
        <f t="shared" si="96"/>
        <v>76</v>
      </c>
      <c r="G631" s="9" t="s">
        <v>16</v>
      </c>
      <c r="H631" s="27" t="str">
        <f t="shared" si="93"/>
        <v>Normal</v>
      </c>
      <c r="I631" s="160"/>
      <c r="J631" s="7">
        <f t="shared" si="94"/>
        <v>0</v>
      </c>
      <c r="K631" s="7">
        <v>55</v>
      </c>
      <c r="L631" s="4">
        <v>46226</v>
      </c>
      <c r="M631" s="3">
        <v>34.6</v>
      </c>
      <c r="N631" s="187"/>
    </row>
    <row r="632" spans="1:14" x14ac:dyDescent="0.35">
      <c r="A632" s="51"/>
      <c r="B632" s="158"/>
      <c r="C632" s="158"/>
      <c r="D632" s="11" t="s">
        <v>276</v>
      </c>
      <c r="E632" s="7">
        <f t="shared" si="97"/>
        <v>66</v>
      </c>
      <c r="F632" s="7">
        <f t="shared" si="96"/>
        <v>76</v>
      </c>
      <c r="G632" s="9" t="s">
        <v>16</v>
      </c>
      <c r="H632" s="27" t="str">
        <f t="shared" si="93"/>
        <v>Normal</v>
      </c>
      <c r="I632" s="160"/>
      <c r="J632" s="7">
        <f t="shared" si="94"/>
        <v>0</v>
      </c>
      <c r="K632" s="7">
        <v>55</v>
      </c>
      <c r="L632" s="4">
        <v>46226</v>
      </c>
      <c r="M632" s="3">
        <v>37.9</v>
      </c>
      <c r="N632" s="187"/>
    </row>
    <row r="633" spans="1:14" x14ac:dyDescent="0.35">
      <c r="A633" s="51"/>
      <c r="B633" s="158"/>
      <c r="C633" s="158"/>
      <c r="D633" s="11" t="s">
        <v>277</v>
      </c>
      <c r="E633" s="7">
        <f t="shared" si="97"/>
        <v>51</v>
      </c>
      <c r="F633" s="7">
        <f t="shared" si="96"/>
        <v>61</v>
      </c>
      <c r="G633" s="9" t="s">
        <v>16</v>
      </c>
      <c r="H633" s="27" t="str">
        <f t="shared" si="93"/>
        <v>Normal</v>
      </c>
      <c r="I633" s="160"/>
      <c r="J633" s="7">
        <f t="shared" si="94"/>
        <v>0</v>
      </c>
      <c r="K633" s="7">
        <v>40</v>
      </c>
      <c r="L633" s="4">
        <v>46226</v>
      </c>
      <c r="M633" s="3">
        <v>34.4</v>
      </c>
      <c r="N633" s="187"/>
    </row>
    <row r="634" spans="1:14" x14ac:dyDescent="0.35">
      <c r="A634" s="51"/>
      <c r="B634" s="158"/>
      <c r="C634" s="158"/>
      <c r="D634" s="11" t="s">
        <v>278</v>
      </c>
      <c r="E634" s="7">
        <f t="shared" si="97"/>
        <v>51</v>
      </c>
      <c r="F634" s="7">
        <f t="shared" si="96"/>
        <v>61</v>
      </c>
      <c r="G634" s="9" t="s">
        <v>16</v>
      </c>
      <c r="H634" s="27" t="str">
        <f t="shared" si="93"/>
        <v>Normal</v>
      </c>
      <c r="I634" s="160"/>
      <c r="J634" s="7">
        <f t="shared" si="94"/>
        <v>0</v>
      </c>
      <c r="K634" s="7">
        <v>40</v>
      </c>
      <c r="L634" s="4">
        <v>46226</v>
      </c>
      <c r="M634" s="3">
        <v>32.700000000000003</v>
      </c>
      <c r="N634" s="187"/>
    </row>
    <row r="635" spans="1:14" ht="14.5" customHeight="1" x14ac:dyDescent="0.35">
      <c r="A635" s="50">
        <v>3</v>
      </c>
      <c r="B635" s="158" t="s">
        <v>284</v>
      </c>
      <c r="C635" s="158" t="s">
        <v>280</v>
      </c>
      <c r="D635" s="47" t="s">
        <v>267</v>
      </c>
      <c r="E635" s="7">
        <f>(K635+11)</f>
        <v>66</v>
      </c>
      <c r="F635" s="7">
        <f t="shared" si="96"/>
        <v>76</v>
      </c>
      <c r="G635" s="27" t="s">
        <v>16</v>
      </c>
      <c r="H635" s="27" t="str">
        <f t="shared" si="93"/>
        <v>STD BY</v>
      </c>
      <c r="I635" s="160" t="str">
        <f>IF(COUNTIF(H635:H642,"-")&gt;0,("-"),(IF(COUNTIF(H635:H642,"STD BY")&gt;0,("STD BY"),(IF(COUNTIF(H635:H642,"N/A")&gt;0,("N/A"),(IF(COUNTIF(H635:H642,"Critical")&gt;0,("Critical"),(IF(COUNTIF(H635:H642,"High")&gt;0,("High"),(IF(COUNTIF(H635:H642,"Medium")&gt;0,("Medium"),(IF(COUNTIF(H635:H642,"Low")&gt;0,("Low"),("Normal"))))))))))))))</f>
        <v>STD BY</v>
      </c>
      <c r="J635" s="7" t="str">
        <f t="shared" si="94"/>
        <v>STD BY</v>
      </c>
      <c r="K635" s="7">
        <v>55</v>
      </c>
      <c r="L635" s="4"/>
      <c r="M635" s="3" t="s">
        <v>376</v>
      </c>
      <c r="N635" s="159" t="s">
        <v>371</v>
      </c>
    </row>
    <row r="636" spans="1:14" x14ac:dyDescent="0.35">
      <c r="A636" s="53"/>
      <c r="B636" s="158"/>
      <c r="C636" s="158"/>
      <c r="D636" s="47" t="s">
        <v>268</v>
      </c>
      <c r="E636" s="7">
        <f t="shared" ref="E636:E642" si="98">(K636+11)</f>
        <v>66</v>
      </c>
      <c r="F636" s="7">
        <f t="shared" si="96"/>
        <v>76</v>
      </c>
      <c r="G636" s="27" t="s">
        <v>16</v>
      </c>
      <c r="H636" s="27" t="str">
        <f t="shared" si="93"/>
        <v>STD BY</v>
      </c>
      <c r="I636" s="160"/>
      <c r="J636" s="7" t="str">
        <f t="shared" si="94"/>
        <v>STD BY</v>
      </c>
      <c r="K636" s="7">
        <v>55</v>
      </c>
      <c r="L636" s="4"/>
      <c r="M636" s="3" t="s">
        <v>376</v>
      </c>
      <c r="N636" s="159"/>
    </row>
    <row r="637" spans="1:14" x14ac:dyDescent="0.35">
      <c r="A637" s="53"/>
      <c r="B637" s="158"/>
      <c r="C637" s="158"/>
      <c r="D637" s="11" t="s">
        <v>269</v>
      </c>
      <c r="E637" s="7">
        <f t="shared" si="98"/>
        <v>66</v>
      </c>
      <c r="F637" s="7">
        <f t="shared" si="96"/>
        <v>76</v>
      </c>
      <c r="G637" s="9" t="s">
        <v>16</v>
      </c>
      <c r="H637" s="27" t="str">
        <f t="shared" si="93"/>
        <v>STD BY</v>
      </c>
      <c r="I637" s="160"/>
      <c r="J637" s="7" t="str">
        <f t="shared" si="94"/>
        <v>STD BY</v>
      </c>
      <c r="K637" s="7">
        <v>55</v>
      </c>
      <c r="L637" s="4"/>
      <c r="M637" s="3" t="s">
        <v>376</v>
      </c>
      <c r="N637" s="159"/>
    </row>
    <row r="638" spans="1:14" x14ac:dyDescent="0.35">
      <c r="A638" s="53"/>
      <c r="B638" s="158"/>
      <c r="C638" s="158"/>
      <c r="D638" s="47" t="s">
        <v>270</v>
      </c>
      <c r="E638" s="7">
        <f t="shared" si="98"/>
        <v>66</v>
      </c>
      <c r="F638" s="7">
        <f t="shared" si="96"/>
        <v>76</v>
      </c>
      <c r="G638" s="27" t="s">
        <v>16</v>
      </c>
      <c r="H638" s="27" t="str">
        <f t="shared" si="93"/>
        <v>STD BY</v>
      </c>
      <c r="I638" s="160"/>
      <c r="J638" s="7" t="str">
        <f t="shared" si="94"/>
        <v>STD BY</v>
      </c>
      <c r="K638" s="7">
        <v>55</v>
      </c>
      <c r="L638" s="4"/>
      <c r="M638" s="3" t="s">
        <v>376</v>
      </c>
      <c r="N638" s="159"/>
    </row>
    <row r="639" spans="1:14" x14ac:dyDescent="0.35">
      <c r="A639" s="53"/>
      <c r="B639" s="158"/>
      <c r="C639" s="158"/>
      <c r="D639" s="11" t="s">
        <v>271</v>
      </c>
      <c r="E639" s="7">
        <f t="shared" si="98"/>
        <v>66</v>
      </c>
      <c r="F639" s="7">
        <f t="shared" si="96"/>
        <v>76</v>
      </c>
      <c r="G639" s="9" t="s">
        <v>16</v>
      </c>
      <c r="H639" s="27" t="str">
        <f t="shared" si="93"/>
        <v>STD BY</v>
      </c>
      <c r="I639" s="160"/>
      <c r="J639" s="7" t="str">
        <f t="shared" si="94"/>
        <v>STD BY</v>
      </c>
      <c r="K639" s="7">
        <v>55</v>
      </c>
      <c r="L639" s="4"/>
      <c r="M639" s="3" t="s">
        <v>376</v>
      </c>
      <c r="N639" s="159"/>
    </row>
    <row r="640" spans="1:14" x14ac:dyDescent="0.35">
      <c r="A640" s="53"/>
      <c r="B640" s="158"/>
      <c r="C640" s="158"/>
      <c r="D640" s="11" t="s">
        <v>272</v>
      </c>
      <c r="E640" s="7">
        <f t="shared" si="98"/>
        <v>66</v>
      </c>
      <c r="F640" s="7">
        <f t="shared" si="96"/>
        <v>76</v>
      </c>
      <c r="G640" s="9" t="s">
        <v>16</v>
      </c>
      <c r="H640" s="27" t="str">
        <f t="shared" si="93"/>
        <v>STD BY</v>
      </c>
      <c r="I640" s="160"/>
      <c r="J640" s="7" t="str">
        <f t="shared" si="94"/>
        <v>STD BY</v>
      </c>
      <c r="K640" s="7">
        <v>55</v>
      </c>
      <c r="L640" s="4"/>
      <c r="M640" s="3" t="s">
        <v>376</v>
      </c>
      <c r="N640" s="159"/>
    </row>
    <row r="641" spans="1:14" x14ac:dyDescent="0.35">
      <c r="A641" s="53"/>
      <c r="B641" s="158"/>
      <c r="C641" s="158"/>
      <c r="D641" s="11" t="s">
        <v>273</v>
      </c>
      <c r="E641" s="7">
        <f t="shared" si="98"/>
        <v>51</v>
      </c>
      <c r="F641" s="7">
        <f t="shared" si="96"/>
        <v>61</v>
      </c>
      <c r="G641" s="9" t="s">
        <v>16</v>
      </c>
      <c r="H641" s="27" t="str">
        <f t="shared" si="93"/>
        <v>STD BY</v>
      </c>
      <c r="I641" s="160"/>
      <c r="J641" s="7" t="str">
        <f t="shared" si="94"/>
        <v>STD BY</v>
      </c>
      <c r="K641" s="7">
        <v>40</v>
      </c>
      <c r="L641" s="4"/>
      <c r="M641" s="3" t="s">
        <v>376</v>
      </c>
      <c r="N641" s="159"/>
    </row>
    <row r="642" spans="1:14" x14ac:dyDescent="0.35">
      <c r="A642" s="80"/>
      <c r="B642" s="158"/>
      <c r="C642" s="158"/>
      <c r="D642" s="11" t="s">
        <v>274</v>
      </c>
      <c r="E642" s="7">
        <f t="shared" si="98"/>
        <v>51</v>
      </c>
      <c r="F642" s="7">
        <f t="shared" si="96"/>
        <v>61</v>
      </c>
      <c r="G642" s="9" t="s">
        <v>16</v>
      </c>
      <c r="H642" s="27" t="str">
        <f t="shared" si="93"/>
        <v>STD BY</v>
      </c>
      <c r="I642" s="160"/>
      <c r="J642" s="7" t="str">
        <f t="shared" si="94"/>
        <v>STD BY</v>
      </c>
      <c r="K642" s="7">
        <v>40</v>
      </c>
      <c r="L642" s="4"/>
      <c r="M642" s="3" t="s">
        <v>376</v>
      </c>
      <c r="N642" s="159"/>
    </row>
    <row r="643" spans="1:14" ht="14.5" customHeight="1" x14ac:dyDescent="0.35">
      <c r="A643" s="42">
        <v>3</v>
      </c>
      <c r="B643" s="158" t="s">
        <v>357</v>
      </c>
      <c r="C643" s="158" t="s">
        <v>358</v>
      </c>
      <c r="D643" s="8" t="s">
        <v>15</v>
      </c>
      <c r="E643" s="7">
        <f t="shared" ref="E643:E648" si="99">(K643+11)</f>
        <v>71</v>
      </c>
      <c r="F643" s="7">
        <f t="shared" ref="F643:F645" si="100">(E643+10)</f>
        <v>81</v>
      </c>
      <c r="G643" s="9" t="s">
        <v>16</v>
      </c>
      <c r="H643" s="27" t="str">
        <f>IF(J643="",("-"),(IF(J643="STD BY",("STD BY"),(IF(J643="N/A",("N/A"),(IF(J643&lt;5,("Normal"),(IF(J643&lt;11,("Low"),(IF(J643&lt;21,("Medium"),(IF(J643&lt;41,("High"),("Critical"))))))))))))))</f>
        <v>STD BY</v>
      </c>
      <c r="I643" s="160" t="str">
        <f>IF(COUNTIF(H643:H645,"-")&gt;0,("-"),(IF(COUNTIF(H643:H645,"STD BY")&gt;0,("STD BY"),(IF(COUNTIF(H643:H645,"N/A")&gt;0,("N/A"),(IF(COUNTIF(H643:H645,"Critical")&gt;0,("Critical"),(IF(COUNTIF(H643:H645,"High")&gt;0,("High"),(IF(COUNTIF(H643:H645,"Medium")&gt;0,("Medium"),(IF(COUNTIF(H643:H645,"Low")&gt;0,("Low"),("Normal"))))))))))))))</f>
        <v>STD BY</v>
      </c>
      <c r="J643" s="7" t="str">
        <f t="shared" ref="J643:J648" si="101">IF(M643="",(""),(IF(M643="STD BY",("STD BY"),(IF(M643="N/A",("N/A"),(IF(M643-K643&gt;0,(M643-K643),(0))))))))</f>
        <v>STD BY</v>
      </c>
      <c r="K643" s="7">
        <v>60</v>
      </c>
      <c r="L643" s="4"/>
      <c r="M643" s="3" t="s">
        <v>376</v>
      </c>
      <c r="N643" s="195" t="s">
        <v>371</v>
      </c>
    </row>
    <row r="644" spans="1:14" x14ac:dyDescent="0.35">
      <c r="A644" s="19"/>
      <c r="B644" s="158"/>
      <c r="C644" s="158"/>
      <c r="D644" s="10" t="s">
        <v>17</v>
      </c>
      <c r="E644" s="7">
        <f t="shared" si="99"/>
        <v>56</v>
      </c>
      <c r="F644" s="7">
        <f t="shared" si="100"/>
        <v>66</v>
      </c>
      <c r="G644" s="9" t="s">
        <v>16</v>
      </c>
      <c r="H644" s="27" t="str">
        <f>IF(J644="",("-"),(IF(J644="STD BY",("STD BY"),(IF(J644="N/A",("N/A"),(IF(J644&lt;5,("Normal"),(IF(J644&lt;11,("Low"),(IF(J644&lt;21,("Medium"),(IF(J644&lt;41,("High"),("Critical"))))))))))))))</f>
        <v>STD BY</v>
      </c>
      <c r="I644" s="160"/>
      <c r="J644" s="7" t="str">
        <f t="shared" si="101"/>
        <v>STD BY</v>
      </c>
      <c r="K644" s="7">
        <v>45</v>
      </c>
      <c r="L644" s="4"/>
      <c r="M644" s="3" t="s">
        <v>376</v>
      </c>
      <c r="N644" s="195"/>
    </row>
    <row r="645" spans="1:14" x14ac:dyDescent="0.35">
      <c r="A645" s="19"/>
      <c r="B645" s="158"/>
      <c r="C645" s="158"/>
      <c r="D645" s="10" t="s">
        <v>18</v>
      </c>
      <c r="E645" s="7">
        <f t="shared" si="99"/>
        <v>66</v>
      </c>
      <c r="F645" s="7">
        <f t="shared" si="100"/>
        <v>76</v>
      </c>
      <c r="G645" s="9" t="s">
        <v>16</v>
      </c>
      <c r="H645" s="27" t="str">
        <f>IF(J645="",("-"),(IF(J645="STD BY",("STD BY"),(IF(J645="N/A",("N/A"),(IF(J645&lt;5,("Normal"),(IF(J645&lt;11,("Low"),(IF(J645&lt;21,("Medium"),(IF(J645&lt;41,("High"),("Critical"))))))))))))))</f>
        <v>STD BY</v>
      </c>
      <c r="I645" s="160"/>
      <c r="J645" s="7" t="str">
        <f t="shared" si="101"/>
        <v>STD BY</v>
      </c>
      <c r="K645" s="7">
        <v>55</v>
      </c>
      <c r="L645" s="4"/>
      <c r="M645" s="3" t="s">
        <v>376</v>
      </c>
      <c r="N645" s="195"/>
    </row>
    <row r="646" spans="1:14" ht="14.5" customHeight="1" x14ac:dyDescent="0.35">
      <c r="A646" s="42">
        <v>3</v>
      </c>
      <c r="B646" s="158" t="s">
        <v>359</v>
      </c>
      <c r="C646" s="158" t="s">
        <v>360</v>
      </c>
      <c r="D646" s="8" t="s">
        <v>15</v>
      </c>
      <c r="E646" s="7">
        <f t="shared" si="99"/>
        <v>71</v>
      </c>
      <c r="F646" s="7">
        <f t="shared" ref="F646:F648" si="102">(E646+10)</f>
        <v>81</v>
      </c>
      <c r="G646" s="9" t="s">
        <v>16</v>
      </c>
      <c r="H646" s="27" t="str">
        <f t="shared" ref="H646:H647" si="103">IF(J646="",("-"),(IF(J646="STD BY",("STD BY"),(IF(J646="N/A",("N/A"),(IF(J646&lt;5,("Normal"),(IF(J646&lt;11,("Low"),(IF(J646&lt;21,("Medium"),(IF(J646&lt;41,("High"),("Critical"))))))))))))))</f>
        <v>STD BY</v>
      </c>
      <c r="I646" s="160" t="str">
        <f>IF(COUNTIF(H646:H648,"-")&gt;0,("-"),(IF(COUNTIF(H646:H648,"STD BY")&gt;0,("STD BY"),(IF(COUNTIF(H646:H648,"N/A")&gt;0,("N/A"),(IF(COUNTIF(H646:H648,"Critical")&gt;0,("Critical"),(IF(COUNTIF(H646:H648,"High")&gt;0,("High"),(IF(COUNTIF(H646:H648,"Medium")&gt;0,("Medium"),(IF(COUNTIF(H646:H648,"Low")&gt;0,("Low"),("Normal"))))))))))))))</f>
        <v>STD BY</v>
      </c>
      <c r="J646" s="7" t="str">
        <f t="shared" si="101"/>
        <v>STD BY</v>
      </c>
      <c r="K646" s="7">
        <v>60</v>
      </c>
      <c r="L646" s="4"/>
      <c r="M646" s="3" t="s">
        <v>376</v>
      </c>
      <c r="N646" s="195" t="s">
        <v>371</v>
      </c>
    </row>
    <row r="647" spans="1:14" x14ac:dyDescent="0.35">
      <c r="A647" s="19"/>
      <c r="B647" s="158"/>
      <c r="C647" s="158"/>
      <c r="D647" s="10" t="s">
        <v>17</v>
      </c>
      <c r="E647" s="7">
        <f t="shared" si="99"/>
        <v>56</v>
      </c>
      <c r="F647" s="7">
        <f t="shared" si="102"/>
        <v>66</v>
      </c>
      <c r="G647" s="9" t="s">
        <v>16</v>
      </c>
      <c r="H647" s="27" t="str">
        <f t="shared" si="103"/>
        <v>STD BY</v>
      </c>
      <c r="I647" s="160"/>
      <c r="J647" s="7" t="str">
        <f t="shared" si="101"/>
        <v>STD BY</v>
      </c>
      <c r="K647" s="7">
        <v>45</v>
      </c>
      <c r="L647" s="4"/>
      <c r="M647" s="3" t="s">
        <v>376</v>
      </c>
      <c r="N647" s="195"/>
    </row>
    <row r="648" spans="1:14" x14ac:dyDescent="0.35">
      <c r="A648" s="19"/>
      <c r="B648" s="158"/>
      <c r="C648" s="158"/>
      <c r="D648" s="10" t="s">
        <v>18</v>
      </c>
      <c r="E648" s="7">
        <f t="shared" si="99"/>
        <v>66</v>
      </c>
      <c r="F648" s="7">
        <f t="shared" si="102"/>
        <v>76</v>
      </c>
      <c r="G648" s="9" t="s">
        <v>16</v>
      </c>
      <c r="H648" s="27" t="str">
        <f>IF(J648="",("-"),(IF(J648="STD BY",("STD BY"),(IF(J648="N/A",("N/A"),(IF(J648&lt;5,("Normal"),(IF(J648&lt;11,("Low"),(IF(J648&lt;21,("Medium"),(IF(J648&lt;41,("High"),("Critical"))))))))))))))</f>
        <v>STD BY</v>
      </c>
      <c r="I648" s="160"/>
      <c r="J648" s="7" t="str">
        <f t="shared" si="101"/>
        <v>STD BY</v>
      </c>
      <c r="K648" s="7">
        <v>55</v>
      </c>
      <c r="L648" s="4"/>
      <c r="M648" s="3" t="s">
        <v>376</v>
      </c>
      <c r="N648" s="195"/>
    </row>
    <row r="649" spans="1:14" ht="14.5" customHeight="1" x14ac:dyDescent="0.35">
      <c r="A649" s="42">
        <v>3</v>
      </c>
      <c r="B649" s="158" t="s">
        <v>363</v>
      </c>
      <c r="C649" s="158" t="s">
        <v>361</v>
      </c>
      <c r="D649" s="8" t="s">
        <v>15</v>
      </c>
      <c r="E649" s="7">
        <f t="shared" ref="E649:E658" si="104">(K649+11)</f>
        <v>71</v>
      </c>
      <c r="F649" s="7">
        <f t="shared" ref="F649:F653" si="105">(E649+10)</f>
        <v>81</v>
      </c>
      <c r="G649" s="9" t="s">
        <v>16</v>
      </c>
      <c r="H649" s="27" t="str">
        <f t="shared" ref="H649:H650" si="106">IF(J649="",("-"),(IF(J649="STD BY",("STD BY"),(IF(J649="N/A",("N/A"),(IF(J649&lt;5,("Normal"),(IF(J649&lt;11,("Low"),(IF(J649&lt;21,("Medium"),(IF(J649&lt;41,("High"),("Critical"))))))))))))))</f>
        <v>STD BY</v>
      </c>
      <c r="I649" s="160" t="str">
        <f>IF(COUNTIF(H649:H653,"-")&gt;0,("-"),(IF(COUNTIF(H649:H653,"STD BY")&gt;0,("STD BY"),(IF(COUNTIF(H649:H653,"N/A")&gt;0,("N/A"),(IF(COUNTIF(H649:H653,"Critical")&gt;0,("Critical"),(IF(COUNTIF(H649:H653,"High")&gt;0,("High"),(IF(COUNTIF(H649:H653,"Medium")&gt;0,("Medium"),(IF(COUNTIF(H649:H653,"Low")&gt;0,("Low"),("Normal"))))))))))))))</f>
        <v>STD BY</v>
      </c>
      <c r="J649" s="7" t="str">
        <f t="shared" si="94"/>
        <v>STD BY</v>
      </c>
      <c r="K649" s="7">
        <v>60</v>
      </c>
      <c r="L649" s="4"/>
      <c r="M649" s="3" t="s">
        <v>376</v>
      </c>
      <c r="N649" s="197" t="s">
        <v>371</v>
      </c>
    </row>
    <row r="650" spans="1:14" x14ac:dyDescent="0.35">
      <c r="A650" s="19"/>
      <c r="B650" s="158"/>
      <c r="C650" s="158"/>
      <c r="D650" s="10" t="s">
        <v>17</v>
      </c>
      <c r="E650" s="7">
        <f t="shared" si="104"/>
        <v>56</v>
      </c>
      <c r="F650" s="7">
        <f t="shared" si="105"/>
        <v>66</v>
      </c>
      <c r="G650" s="9" t="s">
        <v>16</v>
      </c>
      <c r="H650" s="27" t="str">
        <f t="shared" si="106"/>
        <v>STD BY</v>
      </c>
      <c r="I650" s="160"/>
      <c r="J650" s="7" t="str">
        <f t="shared" si="94"/>
        <v>STD BY</v>
      </c>
      <c r="K650" s="7">
        <v>45</v>
      </c>
      <c r="L650" s="4"/>
      <c r="M650" s="3" t="s">
        <v>376</v>
      </c>
      <c r="N650" s="191"/>
    </row>
    <row r="651" spans="1:14" x14ac:dyDescent="0.35">
      <c r="A651" s="19"/>
      <c r="B651" s="158"/>
      <c r="C651" s="158"/>
      <c r="D651" s="10" t="s">
        <v>18</v>
      </c>
      <c r="E651" s="7">
        <f t="shared" si="104"/>
        <v>66</v>
      </c>
      <c r="F651" s="7">
        <f t="shared" si="105"/>
        <v>76</v>
      </c>
      <c r="G651" s="9" t="s">
        <v>16</v>
      </c>
      <c r="H651" s="27" t="str">
        <f>IF(J651="",("-"),(IF(J651="STD BY",("STD BY"),(IF(J651="N/A",("N/A"),(IF(J651&lt;5,("Normal"),(IF(J651&lt;11,("Low"),(IF(J651&lt;21,("Medium"),(IF(J651&lt;41,("High"),("Critical"))))))))))))))</f>
        <v>STD BY</v>
      </c>
      <c r="I651" s="160"/>
      <c r="J651" s="7" t="str">
        <f t="shared" si="94"/>
        <v>STD BY</v>
      </c>
      <c r="K651" s="7">
        <v>55</v>
      </c>
      <c r="L651" s="4"/>
      <c r="M651" s="3" t="s">
        <v>376</v>
      </c>
      <c r="N651" s="191"/>
    </row>
    <row r="652" spans="1:14" x14ac:dyDescent="0.35">
      <c r="A652" s="19"/>
      <c r="B652" s="158"/>
      <c r="C652" s="158"/>
      <c r="D652" s="10" t="s">
        <v>19</v>
      </c>
      <c r="E652" s="7">
        <f t="shared" si="104"/>
        <v>71</v>
      </c>
      <c r="F652" s="7">
        <f t="shared" si="105"/>
        <v>81</v>
      </c>
      <c r="G652" s="9" t="s">
        <v>16</v>
      </c>
      <c r="H652" s="27" t="str">
        <f t="shared" ref="H652:H653" si="107">IF(J652="",("-"),(IF(J652="STD BY",("STD BY"),(IF(J652="N/A",("N/A"),(IF(J652&lt;5,("Normal"),(IF(J652&lt;11,("Low"),(IF(J652&lt;21,("Medium"),(IF(J652&lt;41,("High"),("Critical"))))))))))))))</f>
        <v>STD BY</v>
      </c>
      <c r="I652" s="160"/>
      <c r="J652" s="7" t="str">
        <f t="shared" si="94"/>
        <v>STD BY</v>
      </c>
      <c r="K652" s="7">
        <v>60</v>
      </c>
      <c r="L652" s="4"/>
      <c r="M652" s="3" t="s">
        <v>376</v>
      </c>
      <c r="N652" s="191"/>
    </row>
    <row r="653" spans="1:14" x14ac:dyDescent="0.35">
      <c r="A653" s="19"/>
      <c r="B653" s="158"/>
      <c r="C653" s="158"/>
      <c r="D653" s="10" t="s">
        <v>22</v>
      </c>
      <c r="E653" s="7">
        <f t="shared" si="104"/>
        <v>71</v>
      </c>
      <c r="F653" s="7">
        <f t="shared" si="105"/>
        <v>81</v>
      </c>
      <c r="G653" s="9" t="s">
        <v>16</v>
      </c>
      <c r="H653" s="27" t="str">
        <f t="shared" si="107"/>
        <v>STD BY</v>
      </c>
      <c r="I653" s="160"/>
      <c r="J653" s="7" t="str">
        <f t="shared" si="94"/>
        <v>STD BY</v>
      </c>
      <c r="K653" s="7">
        <v>60</v>
      </c>
      <c r="L653" s="4"/>
      <c r="M653" s="3" t="s">
        <v>376</v>
      </c>
      <c r="N653" s="191"/>
    </row>
    <row r="654" spans="1:14" ht="14.5" customHeight="1" x14ac:dyDescent="0.35">
      <c r="A654" s="42">
        <v>3</v>
      </c>
      <c r="B654" s="158" t="s">
        <v>364</v>
      </c>
      <c r="C654" s="158" t="s">
        <v>362</v>
      </c>
      <c r="D654" s="8" t="s">
        <v>15</v>
      </c>
      <c r="E654" s="7">
        <f t="shared" si="104"/>
        <v>71</v>
      </c>
      <c r="F654" s="7">
        <f t="shared" ref="F654:F658" si="108">(E654+10)</f>
        <v>81</v>
      </c>
      <c r="G654" s="9" t="s">
        <v>16</v>
      </c>
      <c r="H654" s="27" t="str">
        <f t="shared" ref="H654:H655" si="109">IF(J654="",("-"),(IF(J654="STD BY",("STD BY"),(IF(J654="N/A",("N/A"),(IF(J654&lt;5,("Normal"),(IF(J654&lt;11,("Low"),(IF(J654&lt;21,("Medium"),(IF(J654&lt;41,("High"),("Critical"))))))))))))))</f>
        <v>STD BY</v>
      </c>
      <c r="I654" s="160" t="str">
        <f>IF(COUNTIF(H654:H658,"-")&gt;0,("-"),(IF(COUNTIF(H654:H658,"STD BY")&gt;0,("STD BY"),(IF(COUNTIF(H654:H658,"N/A")&gt;0,("N/A"),(IF(COUNTIF(H654:H658,"Critical")&gt;0,("Critical"),(IF(COUNTIF(H654:H658,"High")&gt;0,("High"),(IF(COUNTIF(H654:H658,"Medium")&gt;0,("Medium"),(IF(COUNTIF(H654:H658,"Low")&gt;0,("Low"),("Normal"))))))))))))))</f>
        <v>STD BY</v>
      </c>
      <c r="J654" s="7" t="str">
        <f t="shared" si="94"/>
        <v>STD BY</v>
      </c>
      <c r="K654" s="7">
        <v>60</v>
      </c>
      <c r="L654" s="4"/>
      <c r="M654" s="3" t="s">
        <v>376</v>
      </c>
      <c r="N654" s="197" t="s">
        <v>371</v>
      </c>
    </row>
    <row r="655" spans="1:14" x14ac:dyDescent="0.35">
      <c r="A655" s="19"/>
      <c r="B655" s="158"/>
      <c r="C655" s="158"/>
      <c r="D655" s="10" t="s">
        <v>17</v>
      </c>
      <c r="E655" s="7">
        <f t="shared" si="104"/>
        <v>56</v>
      </c>
      <c r="F655" s="7">
        <f t="shared" si="108"/>
        <v>66</v>
      </c>
      <c r="G655" s="9" t="s">
        <v>16</v>
      </c>
      <c r="H655" s="27" t="str">
        <f t="shared" si="109"/>
        <v>STD BY</v>
      </c>
      <c r="I655" s="160"/>
      <c r="J655" s="7" t="str">
        <f t="shared" si="94"/>
        <v>STD BY</v>
      </c>
      <c r="K655" s="7">
        <v>45</v>
      </c>
      <c r="L655" s="4"/>
      <c r="M655" s="3" t="s">
        <v>376</v>
      </c>
      <c r="N655" s="191"/>
    </row>
    <row r="656" spans="1:14" x14ac:dyDescent="0.35">
      <c r="A656" s="19"/>
      <c r="B656" s="158"/>
      <c r="C656" s="158"/>
      <c r="D656" s="10" t="s">
        <v>18</v>
      </c>
      <c r="E656" s="7">
        <f t="shared" si="104"/>
        <v>66</v>
      </c>
      <c r="F656" s="7">
        <f t="shared" si="108"/>
        <v>76</v>
      </c>
      <c r="G656" s="9" t="s">
        <v>16</v>
      </c>
      <c r="H656" s="27" t="str">
        <f>IF(J656="",("-"),(IF(J656="STD BY",("STD BY"),(IF(J656="N/A",("N/A"),(IF(J656&lt;5,("Normal"),(IF(J656&lt;11,("Low"),(IF(J656&lt;21,("Medium"),(IF(J656&lt;41,("High"),("Critical"))))))))))))))</f>
        <v>STD BY</v>
      </c>
      <c r="I656" s="160"/>
      <c r="J656" s="7" t="str">
        <f t="shared" si="94"/>
        <v>STD BY</v>
      </c>
      <c r="K656" s="7">
        <v>55</v>
      </c>
      <c r="L656" s="4"/>
      <c r="M656" s="3" t="s">
        <v>376</v>
      </c>
      <c r="N656" s="191"/>
    </row>
    <row r="657" spans="1:14" x14ac:dyDescent="0.35">
      <c r="A657" s="19"/>
      <c r="B657" s="158"/>
      <c r="C657" s="158"/>
      <c r="D657" s="10" t="s">
        <v>19</v>
      </c>
      <c r="E657" s="7">
        <f t="shared" si="104"/>
        <v>71</v>
      </c>
      <c r="F657" s="7">
        <f t="shared" si="108"/>
        <v>81</v>
      </c>
      <c r="G657" s="9" t="s">
        <v>16</v>
      </c>
      <c r="H657" s="27" t="str">
        <f t="shared" ref="H657:H658" si="110">IF(J657="",("-"),(IF(J657="STD BY",("STD BY"),(IF(J657="N/A",("N/A"),(IF(J657&lt;5,("Normal"),(IF(J657&lt;11,("Low"),(IF(J657&lt;21,("Medium"),(IF(J657&lt;41,("High"),("Critical"))))))))))))))</f>
        <v>STD BY</v>
      </c>
      <c r="I657" s="160"/>
      <c r="J657" s="7" t="str">
        <f t="shared" si="94"/>
        <v>STD BY</v>
      </c>
      <c r="K657" s="7">
        <v>60</v>
      </c>
      <c r="L657" s="4"/>
      <c r="M657" s="3" t="s">
        <v>376</v>
      </c>
      <c r="N657" s="191"/>
    </row>
    <row r="658" spans="1:14" x14ac:dyDescent="0.35">
      <c r="A658" s="19"/>
      <c r="B658" s="158"/>
      <c r="C658" s="158"/>
      <c r="D658" s="10" t="s">
        <v>22</v>
      </c>
      <c r="E658" s="7">
        <f t="shared" si="104"/>
        <v>71</v>
      </c>
      <c r="F658" s="7">
        <f t="shared" si="108"/>
        <v>81</v>
      </c>
      <c r="G658" s="9" t="s">
        <v>16</v>
      </c>
      <c r="H658" s="27" t="str">
        <f t="shared" si="110"/>
        <v>STD BY</v>
      </c>
      <c r="I658" s="160"/>
      <c r="J658" s="7" t="str">
        <f t="shared" si="94"/>
        <v>STD BY</v>
      </c>
      <c r="K658" s="7">
        <v>60</v>
      </c>
      <c r="L658" s="4"/>
      <c r="M658" s="3" t="s">
        <v>376</v>
      </c>
      <c r="N658" s="191"/>
    </row>
    <row r="659" spans="1:14" ht="15" customHeight="1" x14ac:dyDescent="0.35">
      <c r="A659" s="23">
        <v>0</v>
      </c>
      <c r="B659" s="152" t="s">
        <v>84</v>
      </c>
      <c r="C659" s="152" t="s">
        <v>85</v>
      </c>
      <c r="D659" s="8" t="s">
        <v>15</v>
      </c>
      <c r="E659" s="7">
        <f t="shared" si="79"/>
        <v>61</v>
      </c>
      <c r="F659" s="7">
        <f t="shared" si="86"/>
        <v>71</v>
      </c>
      <c r="G659" s="9" t="s">
        <v>16</v>
      </c>
      <c r="H659" s="27" t="str">
        <f t="shared" ref="H659:H668" si="111">IF(J659="",("-"),(IF(J659="STD BY",("STD BY"),(IF(J659="N/A",("N/A"),(IF(J659&lt;5,("Normal"),(IF(J659&lt;11,("Low"),(IF(J659&lt;21,("Medium"),(IF(J659&lt;41,("High"),("Critical"))))))))))))))</f>
        <v>Normal</v>
      </c>
      <c r="I659" s="155" t="str">
        <f>IF(COUNTIF(H659:H668,"-")&gt;0,("-"),(IF(COUNTIF(H659:H668,"STD BY")&gt;0,("STD BY"),(IF(COUNTIF(H659:H668,"N/A")&gt;0,("N/A"),(IF(COUNTIF(H659:H668,"Critical")&gt;0,("Critical"),(IF(COUNTIF(H659:H668,"High")&gt;0,("High"),(IF(COUNTIF(H659:H668,"Medium")&gt;0,("Medium"),(IF(COUNTIF(H659:H668,"Low")&gt;0,("Low"),("Normal"))))))))))))))</f>
        <v>Normal</v>
      </c>
      <c r="J659" s="7">
        <f t="shared" ref="J659:J668" si="112">IF(M659="",(""),(IF(M659="STD BY",("STD BY"),(IF(M659="N/A",("N/A"),(IF(M659-K659&gt;0,(M659-K659),(0))))))))</f>
        <v>0</v>
      </c>
      <c r="K659" s="30">
        <v>50</v>
      </c>
      <c r="L659" s="4">
        <v>46226</v>
      </c>
      <c r="M659" s="3">
        <v>45.5</v>
      </c>
      <c r="N659" s="196" t="s">
        <v>372</v>
      </c>
    </row>
    <row r="660" spans="1:14" x14ac:dyDescent="0.35">
      <c r="A660" s="24"/>
      <c r="B660" s="153"/>
      <c r="C660" s="153"/>
      <c r="D660" s="10" t="s">
        <v>17</v>
      </c>
      <c r="E660" s="7">
        <f t="shared" si="79"/>
        <v>51</v>
      </c>
      <c r="F660" s="7">
        <f t="shared" si="86"/>
        <v>61</v>
      </c>
      <c r="G660" s="9" t="s">
        <v>16</v>
      </c>
      <c r="H660" s="27" t="str">
        <f t="shared" si="111"/>
        <v>Normal</v>
      </c>
      <c r="I660" s="156"/>
      <c r="J660" s="7">
        <f t="shared" si="112"/>
        <v>0</v>
      </c>
      <c r="K660" s="30">
        <v>40</v>
      </c>
      <c r="L660" s="4">
        <v>46226</v>
      </c>
      <c r="M660" s="3">
        <v>37.9</v>
      </c>
      <c r="N660" s="148"/>
    </row>
    <row r="661" spans="1:14" x14ac:dyDescent="0.35">
      <c r="A661" s="24"/>
      <c r="B661" s="153"/>
      <c r="C661" s="153"/>
      <c r="D661" s="10" t="s">
        <v>18</v>
      </c>
      <c r="E661" s="7">
        <f t="shared" si="79"/>
        <v>51</v>
      </c>
      <c r="F661" s="7">
        <f>(E661+10)</f>
        <v>61</v>
      </c>
      <c r="G661" s="9" t="s">
        <v>16</v>
      </c>
      <c r="H661" s="27" t="str">
        <f t="shared" si="111"/>
        <v>Normal</v>
      </c>
      <c r="I661" s="156"/>
      <c r="J661" s="7">
        <f t="shared" si="112"/>
        <v>4.2999999999999972</v>
      </c>
      <c r="K661" s="30">
        <v>40</v>
      </c>
      <c r="L661" s="4">
        <v>46226</v>
      </c>
      <c r="M661" s="3">
        <v>44.3</v>
      </c>
      <c r="N661" s="148"/>
    </row>
    <row r="662" spans="1:14" x14ac:dyDescent="0.35">
      <c r="A662" s="24"/>
      <c r="B662" s="153"/>
      <c r="C662" s="153"/>
      <c r="D662" s="10" t="s">
        <v>86</v>
      </c>
      <c r="E662" s="7">
        <f t="shared" si="79"/>
        <v>51</v>
      </c>
      <c r="F662" s="7">
        <f>(E662+10)</f>
        <v>61</v>
      </c>
      <c r="G662" s="9" t="s">
        <v>16</v>
      </c>
      <c r="H662" s="27" t="str">
        <f t="shared" si="111"/>
        <v>Normal</v>
      </c>
      <c r="I662" s="156"/>
      <c r="J662" s="7">
        <f t="shared" si="112"/>
        <v>3</v>
      </c>
      <c r="K662" s="30">
        <v>40</v>
      </c>
      <c r="L662" s="4">
        <v>46226</v>
      </c>
      <c r="M662" s="3">
        <v>43</v>
      </c>
      <c r="N662" s="148"/>
    </row>
    <row r="663" spans="1:14" x14ac:dyDescent="0.35">
      <c r="A663" s="24"/>
      <c r="B663" s="153"/>
      <c r="C663" s="153"/>
      <c r="D663" s="10" t="s">
        <v>87</v>
      </c>
      <c r="E663" s="7">
        <f t="shared" si="79"/>
        <v>41</v>
      </c>
      <c r="F663" s="7">
        <f>(E663+10)</f>
        <v>51</v>
      </c>
      <c r="G663" s="9" t="s">
        <v>16</v>
      </c>
      <c r="H663" s="27" t="str">
        <f t="shared" si="111"/>
        <v>Normal</v>
      </c>
      <c r="I663" s="156"/>
      <c r="J663" s="7">
        <f t="shared" si="112"/>
        <v>4.1000000000000014</v>
      </c>
      <c r="K663" s="30">
        <v>30</v>
      </c>
      <c r="L663" s="4">
        <v>46226</v>
      </c>
      <c r="M663" s="3">
        <v>34.1</v>
      </c>
      <c r="N663" s="148"/>
    </row>
    <row r="664" spans="1:14" x14ac:dyDescent="0.35">
      <c r="A664" s="24"/>
      <c r="B664" s="153"/>
      <c r="C664" s="153"/>
      <c r="D664" s="10" t="s">
        <v>88</v>
      </c>
      <c r="E664" s="7">
        <f t="shared" si="79"/>
        <v>41</v>
      </c>
      <c r="F664" s="7">
        <f>(E664+10)</f>
        <v>51</v>
      </c>
      <c r="G664" s="9" t="s">
        <v>16</v>
      </c>
      <c r="H664" s="27" t="str">
        <f t="shared" si="111"/>
        <v>Normal</v>
      </c>
      <c r="I664" s="156"/>
      <c r="J664" s="7">
        <f t="shared" si="112"/>
        <v>1</v>
      </c>
      <c r="K664" s="30">
        <v>30</v>
      </c>
      <c r="L664" s="4">
        <v>46226</v>
      </c>
      <c r="M664" s="3">
        <v>31</v>
      </c>
      <c r="N664" s="148"/>
    </row>
    <row r="665" spans="1:14" x14ac:dyDescent="0.35">
      <c r="A665" s="24"/>
      <c r="B665" s="153"/>
      <c r="C665" s="153"/>
      <c r="D665" s="10" t="s">
        <v>88</v>
      </c>
      <c r="E665" s="7">
        <f>(K665+11)</f>
        <v>41</v>
      </c>
      <c r="F665" s="7">
        <f t="shared" si="86"/>
        <v>51</v>
      </c>
      <c r="G665" s="9" t="s">
        <v>16</v>
      </c>
      <c r="H665" s="27" t="str">
        <f t="shared" si="111"/>
        <v>Normal</v>
      </c>
      <c r="I665" s="156"/>
      <c r="J665" s="7">
        <f t="shared" si="112"/>
        <v>0.19999999999999929</v>
      </c>
      <c r="K665" s="30">
        <v>30</v>
      </c>
      <c r="L665" s="4">
        <v>46226</v>
      </c>
      <c r="M665" s="3">
        <v>30.2</v>
      </c>
      <c r="N665" s="148"/>
    </row>
    <row r="666" spans="1:14" x14ac:dyDescent="0.35">
      <c r="A666" s="24"/>
      <c r="B666" s="153"/>
      <c r="C666" s="153"/>
      <c r="D666" s="10" t="s">
        <v>89</v>
      </c>
      <c r="E666" s="7">
        <f t="shared" si="79"/>
        <v>41</v>
      </c>
      <c r="F666" s="7">
        <f t="shared" si="86"/>
        <v>51</v>
      </c>
      <c r="G666" s="9" t="s">
        <v>16</v>
      </c>
      <c r="H666" s="27" t="str">
        <f t="shared" si="111"/>
        <v>Normal</v>
      </c>
      <c r="I666" s="156"/>
      <c r="J666" s="7">
        <f t="shared" si="112"/>
        <v>1.1000000000000014</v>
      </c>
      <c r="K666" s="30">
        <v>30</v>
      </c>
      <c r="L666" s="4">
        <v>46226</v>
      </c>
      <c r="M666" s="3">
        <v>31.1</v>
      </c>
      <c r="N666" s="148"/>
    </row>
    <row r="667" spans="1:14" x14ac:dyDescent="0.35">
      <c r="A667" s="24"/>
      <c r="B667" s="153"/>
      <c r="C667" s="153"/>
      <c r="D667" s="10" t="s">
        <v>90</v>
      </c>
      <c r="E667" s="7">
        <f t="shared" si="79"/>
        <v>41</v>
      </c>
      <c r="F667" s="7">
        <f t="shared" si="86"/>
        <v>51</v>
      </c>
      <c r="G667" s="9" t="s">
        <v>16</v>
      </c>
      <c r="H667" s="27" t="str">
        <f t="shared" si="111"/>
        <v>Normal</v>
      </c>
      <c r="I667" s="156"/>
      <c r="J667" s="7">
        <f t="shared" si="112"/>
        <v>1.1000000000000014</v>
      </c>
      <c r="K667" s="30">
        <v>30</v>
      </c>
      <c r="L667" s="4">
        <v>46226</v>
      </c>
      <c r="M667" s="3">
        <v>31.1</v>
      </c>
      <c r="N667" s="148"/>
    </row>
    <row r="668" spans="1:14" x14ac:dyDescent="0.35">
      <c r="A668" s="25"/>
      <c r="B668" s="154"/>
      <c r="C668" s="154"/>
      <c r="D668" s="10" t="s">
        <v>91</v>
      </c>
      <c r="E668" s="7">
        <f t="shared" si="79"/>
        <v>81</v>
      </c>
      <c r="F668" s="7">
        <f t="shared" si="86"/>
        <v>91</v>
      </c>
      <c r="G668" s="9" t="s">
        <v>16</v>
      </c>
      <c r="H668" s="27" t="str">
        <f t="shared" si="111"/>
        <v>Normal</v>
      </c>
      <c r="I668" s="157"/>
      <c r="J668" s="7">
        <f t="shared" si="112"/>
        <v>0</v>
      </c>
      <c r="K668" s="30">
        <v>70</v>
      </c>
      <c r="L668" s="4">
        <v>46226</v>
      </c>
      <c r="M668" s="3">
        <v>68.900000000000006</v>
      </c>
      <c r="N668" s="149"/>
    </row>
    <row r="669" spans="1:14" ht="15" customHeight="1" x14ac:dyDescent="0.35">
      <c r="A669" s="18">
        <v>0</v>
      </c>
      <c r="B669" s="152" t="s">
        <v>92</v>
      </c>
      <c r="C669" s="152" t="s">
        <v>93</v>
      </c>
      <c r="D669" s="8" t="s">
        <v>15</v>
      </c>
      <c r="E669" s="7">
        <f t="shared" si="79"/>
        <v>61</v>
      </c>
      <c r="F669" s="7">
        <f t="shared" si="86"/>
        <v>71</v>
      </c>
      <c r="G669" s="9" t="s">
        <v>16</v>
      </c>
      <c r="H669" s="27" t="str">
        <f t="shared" si="82"/>
        <v>Normal</v>
      </c>
      <c r="I669" s="155" t="str">
        <f>IF(COUNTIF(H669:H678,"-")&gt;0,("-"),(IF(COUNTIF(H669:H678,"STD BY")&gt;0,("STD BY"),(IF(COUNTIF(H669:H678,"N/A")&gt;0,("N/A"),(IF(COUNTIF(H669:H678,"Critical")&gt;0,("Critical"),(IF(COUNTIF(H669:H678,"High")&gt;0,("High"),(IF(COUNTIF(H669:H678,"Medium")&gt;0,("Medium"),(IF(COUNTIF(H669:H678,"Low")&gt;0,("Low"),("Normal"))))))))))))))</f>
        <v>Normal</v>
      </c>
      <c r="J669" s="7">
        <f t="shared" si="81"/>
        <v>0</v>
      </c>
      <c r="K669" s="30">
        <v>50</v>
      </c>
      <c r="L669" s="4">
        <v>46226</v>
      </c>
      <c r="M669" s="3">
        <v>46.3</v>
      </c>
      <c r="N669" s="196" t="s">
        <v>372</v>
      </c>
    </row>
    <row r="670" spans="1:14" x14ac:dyDescent="0.35">
      <c r="A670" s="19"/>
      <c r="B670" s="153"/>
      <c r="C670" s="153"/>
      <c r="D670" s="10" t="s">
        <v>17</v>
      </c>
      <c r="E670" s="7">
        <f t="shared" si="79"/>
        <v>51</v>
      </c>
      <c r="F670" s="7">
        <f t="shared" si="86"/>
        <v>61</v>
      </c>
      <c r="G670" s="9" t="s">
        <v>16</v>
      </c>
      <c r="H670" s="27" t="str">
        <f t="shared" si="82"/>
        <v>Normal</v>
      </c>
      <c r="I670" s="156"/>
      <c r="J670" s="7">
        <f t="shared" si="81"/>
        <v>0</v>
      </c>
      <c r="K670" s="30">
        <v>40</v>
      </c>
      <c r="L670" s="4">
        <v>46226</v>
      </c>
      <c r="M670" s="3">
        <v>37.6</v>
      </c>
      <c r="N670" s="148"/>
    </row>
    <row r="671" spans="1:14" x14ac:dyDescent="0.35">
      <c r="A671" s="19"/>
      <c r="B671" s="153"/>
      <c r="C671" s="153"/>
      <c r="D671" s="10" t="s">
        <v>18</v>
      </c>
      <c r="E671" s="7">
        <f t="shared" si="79"/>
        <v>51</v>
      </c>
      <c r="F671" s="7">
        <f t="shared" si="86"/>
        <v>61</v>
      </c>
      <c r="G671" s="9" t="s">
        <v>16</v>
      </c>
      <c r="H671" s="27" t="str">
        <f t="shared" si="82"/>
        <v>Normal</v>
      </c>
      <c r="I671" s="156"/>
      <c r="J671" s="7">
        <f t="shared" si="81"/>
        <v>4.8999999999999986</v>
      </c>
      <c r="K671" s="30">
        <v>40</v>
      </c>
      <c r="L671" s="4">
        <v>46226</v>
      </c>
      <c r="M671" s="3">
        <v>44.9</v>
      </c>
      <c r="N671" s="148"/>
    </row>
    <row r="672" spans="1:14" x14ac:dyDescent="0.35">
      <c r="A672" s="19"/>
      <c r="B672" s="153"/>
      <c r="C672" s="153"/>
      <c r="D672" s="10" t="s">
        <v>86</v>
      </c>
      <c r="E672" s="7">
        <f t="shared" si="79"/>
        <v>51</v>
      </c>
      <c r="F672" s="7">
        <f t="shared" si="86"/>
        <v>61</v>
      </c>
      <c r="G672" s="9" t="s">
        <v>16</v>
      </c>
      <c r="H672" s="27" t="str">
        <f t="shared" si="82"/>
        <v>Normal</v>
      </c>
      <c r="I672" s="156"/>
      <c r="J672" s="7">
        <f t="shared" si="81"/>
        <v>4.3999999999999986</v>
      </c>
      <c r="K672" s="30">
        <v>40</v>
      </c>
      <c r="L672" s="4">
        <v>46226</v>
      </c>
      <c r="M672" s="3">
        <v>44.4</v>
      </c>
      <c r="N672" s="148"/>
    </row>
    <row r="673" spans="1:14" x14ac:dyDescent="0.35">
      <c r="A673" s="19"/>
      <c r="B673" s="153"/>
      <c r="C673" s="153"/>
      <c r="D673" s="10" t="s">
        <v>87</v>
      </c>
      <c r="E673" s="7">
        <f t="shared" si="79"/>
        <v>41</v>
      </c>
      <c r="F673" s="7">
        <f t="shared" si="86"/>
        <v>51</v>
      </c>
      <c r="G673" s="9" t="s">
        <v>16</v>
      </c>
      <c r="H673" s="27" t="str">
        <f t="shared" si="82"/>
        <v>Normal</v>
      </c>
      <c r="I673" s="156"/>
      <c r="J673" s="7">
        <f t="shared" si="81"/>
        <v>4.7000000000000028</v>
      </c>
      <c r="K673" s="30">
        <v>30</v>
      </c>
      <c r="L673" s="4">
        <v>46226</v>
      </c>
      <c r="M673" s="3">
        <v>34.700000000000003</v>
      </c>
      <c r="N673" s="148"/>
    </row>
    <row r="674" spans="1:14" x14ac:dyDescent="0.35">
      <c r="A674" s="19"/>
      <c r="B674" s="153"/>
      <c r="C674" s="153"/>
      <c r="D674" s="10" t="s">
        <v>88</v>
      </c>
      <c r="E674" s="7">
        <f t="shared" ref="E674:E737" si="113">(K674+11)</f>
        <v>41</v>
      </c>
      <c r="F674" s="7">
        <f t="shared" si="86"/>
        <v>51</v>
      </c>
      <c r="G674" s="9" t="s">
        <v>16</v>
      </c>
      <c r="H674" s="27" t="str">
        <f t="shared" si="82"/>
        <v>Normal</v>
      </c>
      <c r="I674" s="156"/>
      <c r="J674" s="7">
        <f t="shared" si="81"/>
        <v>2.3999999999999986</v>
      </c>
      <c r="K674" s="30">
        <v>30</v>
      </c>
      <c r="L674" s="4">
        <v>46226</v>
      </c>
      <c r="M674" s="3">
        <v>32.4</v>
      </c>
      <c r="N674" s="148"/>
    </row>
    <row r="675" spans="1:14" x14ac:dyDescent="0.35">
      <c r="A675" s="19"/>
      <c r="B675" s="153"/>
      <c r="C675" s="153"/>
      <c r="D675" s="10" t="s">
        <v>88</v>
      </c>
      <c r="E675" s="7">
        <f t="shared" si="113"/>
        <v>41</v>
      </c>
      <c r="F675" s="7">
        <f t="shared" si="86"/>
        <v>51</v>
      </c>
      <c r="G675" s="9" t="s">
        <v>16</v>
      </c>
      <c r="H675" s="27" t="str">
        <f t="shared" si="82"/>
        <v>Normal</v>
      </c>
      <c r="I675" s="156"/>
      <c r="J675" s="7">
        <f t="shared" si="81"/>
        <v>0.89999999999999858</v>
      </c>
      <c r="K675" s="30">
        <v>30</v>
      </c>
      <c r="L675" s="4">
        <v>46226</v>
      </c>
      <c r="M675" s="3">
        <v>30.9</v>
      </c>
      <c r="N675" s="148"/>
    </row>
    <row r="676" spans="1:14" x14ac:dyDescent="0.35">
      <c r="A676" s="19"/>
      <c r="B676" s="153"/>
      <c r="C676" s="153"/>
      <c r="D676" s="10" t="s">
        <v>89</v>
      </c>
      <c r="E676" s="7">
        <f t="shared" si="113"/>
        <v>41</v>
      </c>
      <c r="F676" s="7">
        <f t="shared" si="86"/>
        <v>51</v>
      </c>
      <c r="G676" s="9" t="s">
        <v>16</v>
      </c>
      <c r="H676" s="27" t="str">
        <f t="shared" si="82"/>
        <v>Normal</v>
      </c>
      <c r="I676" s="156"/>
      <c r="J676" s="7">
        <f t="shared" si="81"/>
        <v>1.5</v>
      </c>
      <c r="K676" s="30">
        <v>30</v>
      </c>
      <c r="L676" s="4">
        <v>46226</v>
      </c>
      <c r="M676" s="3">
        <v>31.5</v>
      </c>
      <c r="N676" s="148"/>
    </row>
    <row r="677" spans="1:14" x14ac:dyDescent="0.35">
      <c r="A677" s="19"/>
      <c r="B677" s="153"/>
      <c r="C677" s="153"/>
      <c r="D677" s="10" t="s">
        <v>90</v>
      </c>
      <c r="E677" s="7">
        <f t="shared" si="113"/>
        <v>41</v>
      </c>
      <c r="F677" s="7">
        <f t="shared" si="86"/>
        <v>51</v>
      </c>
      <c r="G677" s="9" t="s">
        <v>16</v>
      </c>
      <c r="H677" s="27" t="str">
        <f t="shared" si="82"/>
        <v>Normal</v>
      </c>
      <c r="I677" s="156"/>
      <c r="J677" s="7">
        <f t="shared" si="81"/>
        <v>1.3999999999999986</v>
      </c>
      <c r="K677" s="30">
        <v>30</v>
      </c>
      <c r="L677" s="4">
        <v>46226</v>
      </c>
      <c r="M677" s="3">
        <v>31.4</v>
      </c>
      <c r="N677" s="148"/>
    </row>
    <row r="678" spans="1:14" x14ac:dyDescent="0.35">
      <c r="A678" s="19"/>
      <c r="B678" s="154"/>
      <c r="C678" s="154"/>
      <c r="D678" s="10" t="s">
        <v>91</v>
      </c>
      <c r="E678" s="7">
        <f t="shared" si="113"/>
        <v>81</v>
      </c>
      <c r="F678" s="7">
        <f t="shared" si="86"/>
        <v>91</v>
      </c>
      <c r="G678" s="9" t="s">
        <v>16</v>
      </c>
      <c r="H678" s="27" t="str">
        <f t="shared" si="82"/>
        <v>Normal</v>
      </c>
      <c r="I678" s="157"/>
      <c r="J678" s="7">
        <f t="shared" si="81"/>
        <v>0</v>
      </c>
      <c r="K678" s="30">
        <v>70</v>
      </c>
      <c r="L678" s="4">
        <v>46226</v>
      </c>
      <c r="M678" s="3">
        <v>69.2</v>
      </c>
      <c r="N678" s="149"/>
    </row>
    <row r="679" spans="1:14" ht="15" customHeight="1" x14ac:dyDescent="0.35">
      <c r="A679" s="23">
        <v>0</v>
      </c>
      <c r="B679" s="152" t="s">
        <v>94</v>
      </c>
      <c r="C679" s="152" t="s">
        <v>95</v>
      </c>
      <c r="D679" s="8" t="s">
        <v>15</v>
      </c>
      <c r="E679" s="7">
        <f t="shared" si="113"/>
        <v>61</v>
      </c>
      <c r="F679" s="7">
        <f t="shared" si="86"/>
        <v>71</v>
      </c>
      <c r="G679" s="9" t="s">
        <v>16</v>
      </c>
      <c r="H679" s="27" t="str">
        <f t="shared" ref="H679:H718" si="114">IF(J679="",("-"),(IF(J679="STD BY",("STD BY"),(IF(J679="N/A",("N/A"),(IF(J679&lt;5,("Normal"),(IF(J679&lt;11,("Low"),(IF(J679&lt;21,("Medium"),(IF(J679&lt;41,("High"),("Critical"))))))))))))))</f>
        <v>Normal</v>
      </c>
      <c r="I679" s="155" t="str">
        <f>IF(COUNTIF(H679:H688,"-")&gt;0,("-"),(IF(COUNTIF(H679:H688,"STD BY")&gt;0,("STD BY"),(IF(COUNTIF(H679:H688,"N/A")&gt;0,("N/A"),(IF(COUNTIF(H679:H688,"Critical")&gt;0,("Critical"),(IF(COUNTIF(H679:H688,"High")&gt;0,("High"),(IF(COUNTIF(H679:H688,"Medium")&gt;0,("Medium"),(IF(COUNTIF(H679:H688,"Low")&gt;0,("Low"),("Normal"))))))))))))))</f>
        <v>Normal</v>
      </c>
      <c r="J679" s="7">
        <f t="shared" ref="J679:J718" si="115">IF(M679="",(""),(IF(M679="STD BY",("STD BY"),(IF(M679="N/A",("N/A"),(IF(M679-K679&gt;0,(M679-K679),(0))))))))</f>
        <v>0</v>
      </c>
      <c r="K679" s="30">
        <v>50</v>
      </c>
      <c r="L679" s="4">
        <v>46227</v>
      </c>
      <c r="M679" s="3">
        <v>37</v>
      </c>
      <c r="N679" s="196" t="s">
        <v>372</v>
      </c>
    </row>
    <row r="680" spans="1:14" x14ac:dyDescent="0.35">
      <c r="A680" s="19"/>
      <c r="B680" s="153"/>
      <c r="C680" s="153"/>
      <c r="D680" s="10" t="s">
        <v>17</v>
      </c>
      <c r="E680" s="7">
        <f t="shared" si="113"/>
        <v>51</v>
      </c>
      <c r="F680" s="7">
        <f t="shared" si="86"/>
        <v>61</v>
      </c>
      <c r="G680" s="9" t="s">
        <v>16</v>
      </c>
      <c r="H680" s="27" t="str">
        <f t="shared" si="114"/>
        <v>Normal</v>
      </c>
      <c r="I680" s="156"/>
      <c r="J680" s="7">
        <f t="shared" si="115"/>
        <v>0</v>
      </c>
      <c r="K680" s="30">
        <v>40</v>
      </c>
      <c r="L680" s="4">
        <v>46227</v>
      </c>
      <c r="M680" s="3">
        <v>35.200000000000003</v>
      </c>
      <c r="N680" s="148"/>
    </row>
    <row r="681" spans="1:14" x14ac:dyDescent="0.35">
      <c r="A681" s="19"/>
      <c r="B681" s="153"/>
      <c r="C681" s="153"/>
      <c r="D681" s="10" t="s">
        <v>18</v>
      </c>
      <c r="E681" s="7">
        <f t="shared" si="113"/>
        <v>51</v>
      </c>
      <c r="F681" s="7">
        <f t="shared" si="86"/>
        <v>61</v>
      </c>
      <c r="G681" s="9" t="s">
        <v>16</v>
      </c>
      <c r="H681" s="27" t="str">
        <f t="shared" si="114"/>
        <v>Normal</v>
      </c>
      <c r="I681" s="156"/>
      <c r="J681" s="7">
        <f t="shared" si="115"/>
        <v>0</v>
      </c>
      <c r="K681" s="30">
        <v>40</v>
      </c>
      <c r="L681" s="4">
        <v>46227</v>
      </c>
      <c r="M681" s="3">
        <v>33.700000000000003</v>
      </c>
      <c r="N681" s="148"/>
    </row>
    <row r="682" spans="1:14" x14ac:dyDescent="0.35">
      <c r="A682" s="19"/>
      <c r="B682" s="153"/>
      <c r="C682" s="153"/>
      <c r="D682" s="10" t="s">
        <v>86</v>
      </c>
      <c r="E682" s="7">
        <f t="shared" si="113"/>
        <v>51</v>
      </c>
      <c r="F682" s="7">
        <f t="shared" si="86"/>
        <v>61</v>
      </c>
      <c r="G682" s="9" t="s">
        <v>16</v>
      </c>
      <c r="H682" s="27" t="str">
        <f t="shared" si="114"/>
        <v>Normal</v>
      </c>
      <c r="I682" s="156"/>
      <c r="J682" s="7">
        <f t="shared" si="115"/>
        <v>0</v>
      </c>
      <c r="K682" s="30">
        <v>40</v>
      </c>
      <c r="L682" s="4">
        <v>46227</v>
      </c>
      <c r="M682" s="3">
        <v>36.1</v>
      </c>
      <c r="N682" s="148"/>
    </row>
    <row r="683" spans="1:14" x14ac:dyDescent="0.35">
      <c r="A683" s="19"/>
      <c r="B683" s="153"/>
      <c r="C683" s="153"/>
      <c r="D683" s="10" t="s">
        <v>87</v>
      </c>
      <c r="E683" s="7">
        <f t="shared" si="113"/>
        <v>41</v>
      </c>
      <c r="F683" s="7">
        <f t="shared" si="86"/>
        <v>51</v>
      </c>
      <c r="G683" s="9" t="s">
        <v>16</v>
      </c>
      <c r="H683" s="27" t="str">
        <f t="shared" si="114"/>
        <v>Normal</v>
      </c>
      <c r="I683" s="156"/>
      <c r="J683" s="7">
        <f t="shared" si="115"/>
        <v>0.5</v>
      </c>
      <c r="K683" s="30">
        <v>30</v>
      </c>
      <c r="L683" s="4">
        <v>46227</v>
      </c>
      <c r="M683" s="3">
        <v>30.5</v>
      </c>
      <c r="N683" s="148"/>
    </row>
    <row r="684" spans="1:14" x14ac:dyDescent="0.35">
      <c r="A684" s="19"/>
      <c r="B684" s="153"/>
      <c r="C684" s="153"/>
      <c r="D684" s="10" t="s">
        <v>88</v>
      </c>
      <c r="E684" s="7">
        <f t="shared" si="113"/>
        <v>41</v>
      </c>
      <c r="F684" s="7">
        <f t="shared" si="86"/>
        <v>51</v>
      </c>
      <c r="G684" s="9" t="s">
        <v>16</v>
      </c>
      <c r="H684" s="27" t="str">
        <f t="shared" si="114"/>
        <v>Normal</v>
      </c>
      <c r="I684" s="156"/>
      <c r="J684" s="7">
        <f t="shared" si="115"/>
        <v>0</v>
      </c>
      <c r="K684" s="30">
        <v>30</v>
      </c>
      <c r="L684" s="4">
        <v>46227</v>
      </c>
      <c r="M684" s="3">
        <v>29.2</v>
      </c>
      <c r="N684" s="148"/>
    </row>
    <row r="685" spans="1:14" x14ac:dyDescent="0.35">
      <c r="A685" s="19"/>
      <c r="B685" s="153"/>
      <c r="C685" s="153"/>
      <c r="D685" s="10" t="s">
        <v>88</v>
      </c>
      <c r="E685" s="7">
        <f t="shared" si="113"/>
        <v>41</v>
      </c>
      <c r="F685" s="7">
        <f t="shared" si="86"/>
        <v>51</v>
      </c>
      <c r="G685" s="9" t="s">
        <v>16</v>
      </c>
      <c r="H685" s="27" t="str">
        <f t="shared" si="114"/>
        <v>Normal</v>
      </c>
      <c r="I685" s="156"/>
      <c r="J685" s="7">
        <f t="shared" si="115"/>
        <v>0.60000000000000142</v>
      </c>
      <c r="K685" s="30">
        <v>30</v>
      </c>
      <c r="L685" s="4">
        <v>46227</v>
      </c>
      <c r="M685" s="3">
        <v>30.6</v>
      </c>
      <c r="N685" s="148"/>
    </row>
    <row r="686" spans="1:14" x14ac:dyDescent="0.35">
      <c r="A686" s="19"/>
      <c r="B686" s="153"/>
      <c r="C686" s="153"/>
      <c r="D686" s="10" t="s">
        <v>89</v>
      </c>
      <c r="E686" s="7">
        <f t="shared" si="113"/>
        <v>41</v>
      </c>
      <c r="F686" s="7">
        <f t="shared" si="86"/>
        <v>51</v>
      </c>
      <c r="G686" s="9" t="s">
        <v>16</v>
      </c>
      <c r="H686" s="27" t="str">
        <f t="shared" si="114"/>
        <v>Normal</v>
      </c>
      <c r="I686" s="156"/>
      <c r="J686" s="7">
        <f t="shared" si="115"/>
        <v>0</v>
      </c>
      <c r="K686" s="30">
        <v>30</v>
      </c>
      <c r="L686" s="4">
        <v>46227</v>
      </c>
      <c r="M686" s="3">
        <v>29.9</v>
      </c>
      <c r="N686" s="148"/>
    </row>
    <row r="687" spans="1:14" x14ac:dyDescent="0.35">
      <c r="A687" s="19"/>
      <c r="B687" s="153"/>
      <c r="C687" s="153"/>
      <c r="D687" s="10" t="s">
        <v>90</v>
      </c>
      <c r="E687" s="7">
        <f t="shared" si="113"/>
        <v>41</v>
      </c>
      <c r="F687" s="7">
        <f t="shared" si="86"/>
        <v>51</v>
      </c>
      <c r="G687" s="9" t="s">
        <v>16</v>
      </c>
      <c r="H687" s="27" t="str">
        <f t="shared" si="114"/>
        <v>Normal</v>
      </c>
      <c r="I687" s="156"/>
      <c r="J687" s="7">
        <f t="shared" si="115"/>
        <v>0.89999999999999858</v>
      </c>
      <c r="K687" s="30">
        <v>30</v>
      </c>
      <c r="L687" s="4">
        <v>46227</v>
      </c>
      <c r="M687" s="3">
        <v>30.9</v>
      </c>
      <c r="N687" s="148"/>
    </row>
    <row r="688" spans="1:14" x14ac:dyDescent="0.35">
      <c r="A688" s="20"/>
      <c r="B688" s="154"/>
      <c r="C688" s="154"/>
      <c r="D688" s="10" t="s">
        <v>91</v>
      </c>
      <c r="E688" s="7">
        <f t="shared" si="113"/>
        <v>81</v>
      </c>
      <c r="F688" s="7">
        <f t="shared" si="86"/>
        <v>91</v>
      </c>
      <c r="G688" s="9" t="s">
        <v>16</v>
      </c>
      <c r="H688" s="27" t="str">
        <f t="shared" si="114"/>
        <v>Normal</v>
      </c>
      <c r="I688" s="157"/>
      <c r="J688" s="7">
        <f t="shared" si="115"/>
        <v>0</v>
      </c>
      <c r="K688" s="30">
        <v>70</v>
      </c>
      <c r="L688" s="4">
        <v>46227</v>
      </c>
      <c r="M688" s="3">
        <v>0</v>
      </c>
      <c r="N688" s="149"/>
    </row>
    <row r="689" spans="1:14" ht="15" customHeight="1" x14ac:dyDescent="0.35">
      <c r="A689" s="18">
        <v>0</v>
      </c>
      <c r="B689" s="152" t="s">
        <v>96</v>
      </c>
      <c r="C689" s="152" t="s">
        <v>97</v>
      </c>
      <c r="D689" s="8" t="s">
        <v>15</v>
      </c>
      <c r="E689" s="7">
        <f t="shared" si="113"/>
        <v>61</v>
      </c>
      <c r="F689" s="7">
        <f t="shared" si="86"/>
        <v>71</v>
      </c>
      <c r="G689" s="9" t="s">
        <v>16</v>
      </c>
      <c r="H689" s="27" t="str">
        <f t="shared" si="114"/>
        <v>Normal</v>
      </c>
      <c r="I689" s="155" t="str">
        <f>IF(COUNTIF(H689:H698,"-")&gt;0,("-"),(IF(COUNTIF(H689:H698,"STD BY")&gt;0,("STD BY"),(IF(COUNTIF(H689:H698,"N/A")&gt;0,("N/A"),(IF(COUNTIF(H689:H698,"Critical")&gt;0,("Critical"),(IF(COUNTIF(H689:H698,"High")&gt;0,("High"),(IF(COUNTIF(H689:H698,"Medium")&gt;0,("Medium"),(IF(COUNTIF(H689:H698,"Low")&gt;0,("Low"),("Normal"))))))))))))))</f>
        <v>Normal</v>
      </c>
      <c r="J689" s="7">
        <f t="shared" si="115"/>
        <v>0</v>
      </c>
      <c r="K689" s="30">
        <v>50</v>
      </c>
      <c r="L689" s="4" t="s">
        <v>135</v>
      </c>
      <c r="M689" s="3">
        <v>42.6</v>
      </c>
      <c r="N689" s="196" t="s">
        <v>372</v>
      </c>
    </row>
    <row r="690" spans="1:14" x14ac:dyDescent="0.35">
      <c r="A690" s="19"/>
      <c r="B690" s="153"/>
      <c r="C690" s="153"/>
      <c r="D690" s="10" t="s">
        <v>17</v>
      </c>
      <c r="E690" s="7">
        <f t="shared" si="113"/>
        <v>51</v>
      </c>
      <c r="F690" s="7">
        <f t="shared" si="86"/>
        <v>61</v>
      </c>
      <c r="G690" s="9" t="s">
        <v>16</v>
      </c>
      <c r="H690" s="27" t="str">
        <f t="shared" si="114"/>
        <v>Normal</v>
      </c>
      <c r="I690" s="156"/>
      <c r="J690" s="7">
        <f t="shared" si="115"/>
        <v>0</v>
      </c>
      <c r="K690" s="30">
        <v>40</v>
      </c>
      <c r="L690" s="4">
        <v>46226</v>
      </c>
      <c r="M690" s="3">
        <v>33.9</v>
      </c>
      <c r="N690" s="148"/>
    </row>
    <row r="691" spans="1:14" x14ac:dyDescent="0.35">
      <c r="A691" s="19"/>
      <c r="B691" s="153"/>
      <c r="C691" s="153"/>
      <c r="D691" s="10" t="s">
        <v>18</v>
      </c>
      <c r="E691" s="7">
        <f t="shared" si="113"/>
        <v>51</v>
      </c>
      <c r="F691" s="7">
        <f t="shared" si="86"/>
        <v>61</v>
      </c>
      <c r="G691" s="9" t="s">
        <v>16</v>
      </c>
      <c r="H691" s="27" t="str">
        <f t="shared" si="114"/>
        <v>Normal</v>
      </c>
      <c r="I691" s="156"/>
      <c r="J691" s="7">
        <f t="shared" si="115"/>
        <v>0</v>
      </c>
      <c r="K691" s="30">
        <v>40</v>
      </c>
      <c r="L691" s="4">
        <v>46226</v>
      </c>
      <c r="M691" s="3">
        <v>37</v>
      </c>
      <c r="N691" s="148"/>
    </row>
    <row r="692" spans="1:14" x14ac:dyDescent="0.35">
      <c r="A692" s="19"/>
      <c r="B692" s="153"/>
      <c r="C692" s="153"/>
      <c r="D692" s="10" t="s">
        <v>86</v>
      </c>
      <c r="E692" s="7">
        <f t="shared" si="113"/>
        <v>51</v>
      </c>
      <c r="F692" s="7">
        <f t="shared" si="86"/>
        <v>61</v>
      </c>
      <c r="G692" s="9" t="s">
        <v>16</v>
      </c>
      <c r="H692" s="27" t="str">
        <f t="shared" si="114"/>
        <v>Normal</v>
      </c>
      <c r="I692" s="156"/>
      <c r="J692" s="7">
        <f t="shared" si="115"/>
        <v>0</v>
      </c>
      <c r="K692" s="30">
        <v>40</v>
      </c>
      <c r="L692" s="4">
        <v>46226</v>
      </c>
      <c r="M692" s="3">
        <v>33.5</v>
      </c>
      <c r="N692" s="148"/>
    </row>
    <row r="693" spans="1:14" x14ac:dyDescent="0.35">
      <c r="A693" s="19"/>
      <c r="B693" s="153"/>
      <c r="C693" s="153"/>
      <c r="D693" s="10" t="s">
        <v>87</v>
      </c>
      <c r="E693" s="7">
        <f t="shared" si="113"/>
        <v>41</v>
      </c>
      <c r="F693" s="7">
        <f t="shared" si="86"/>
        <v>51</v>
      </c>
      <c r="G693" s="9" t="s">
        <v>16</v>
      </c>
      <c r="H693" s="27" t="str">
        <f t="shared" si="114"/>
        <v>Normal</v>
      </c>
      <c r="I693" s="156"/>
      <c r="J693" s="7">
        <f t="shared" si="115"/>
        <v>2.2000000000000028</v>
      </c>
      <c r="K693" s="30">
        <v>30</v>
      </c>
      <c r="L693" s="4">
        <v>46226</v>
      </c>
      <c r="M693" s="3">
        <v>32.200000000000003</v>
      </c>
      <c r="N693" s="148"/>
    </row>
    <row r="694" spans="1:14" x14ac:dyDescent="0.35">
      <c r="A694" s="19"/>
      <c r="B694" s="153"/>
      <c r="C694" s="153"/>
      <c r="D694" s="10" t="s">
        <v>88</v>
      </c>
      <c r="E694" s="7">
        <f t="shared" si="113"/>
        <v>41</v>
      </c>
      <c r="F694" s="7">
        <f t="shared" si="86"/>
        <v>51</v>
      </c>
      <c r="G694" s="9" t="s">
        <v>16</v>
      </c>
      <c r="H694" s="27" t="str">
        <f t="shared" si="114"/>
        <v>Normal</v>
      </c>
      <c r="I694" s="156"/>
      <c r="J694" s="7">
        <f t="shared" si="115"/>
        <v>1.3000000000000007</v>
      </c>
      <c r="K694" s="30">
        <v>30</v>
      </c>
      <c r="L694" s="4">
        <v>46226</v>
      </c>
      <c r="M694" s="3">
        <v>31.3</v>
      </c>
      <c r="N694" s="148"/>
    </row>
    <row r="695" spans="1:14" x14ac:dyDescent="0.35">
      <c r="A695" s="19"/>
      <c r="B695" s="153"/>
      <c r="C695" s="153"/>
      <c r="D695" s="10" t="s">
        <v>88</v>
      </c>
      <c r="E695" s="7">
        <f t="shared" si="113"/>
        <v>41</v>
      </c>
      <c r="F695" s="7">
        <f t="shared" si="86"/>
        <v>51</v>
      </c>
      <c r="G695" s="9" t="s">
        <v>16</v>
      </c>
      <c r="H695" s="27" t="str">
        <f t="shared" si="114"/>
        <v>Normal</v>
      </c>
      <c r="I695" s="156"/>
      <c r="J695" s="7">
        <f t="shared" si="115"/>
        <v>0.39999999999999858</v>
      </c>
      <c r="K695" s="30">
        <v>30</v>
      </c>
      <c r="L695" s="4">
        <v>46226</v>
      </c>
      <c r="M695" s="3">
        <v>30.4</v>
      </c>
      <c r="N695" s="148"/>
    </row>
    <row r="696" spans="1:14" x14ac:dyDescent="0.35">
      <c r="A696" s="19"/>
      <c r="B696" s="153"/>
      <c r="C696" s="153"/>
      <c r="D696" s="10" t="s">
        <v>89</v>
      </c>
      <c r="E696" s="7">
        <f t="shared" si="113"/>
        <v>41</v>
      </c>
      <c r="F696" s="7">
        <f t="shared" si="86"/>
        <v>51</v>
      </c>
      <c r="G696" s="9" t="s">
        <v>16</v>
      </c>
      <c r="H696" s="27" t="str">
        <f t="shared" si="114"/>
        <v>Normal</v>
      </c>
      <c r="I696" s="156"/>
      <c r="J696" s="7">
        <f t="shared" si="115"/>
        <v>1.5</v>
      </c>
      <c r="K696" s="30">
        <v>30</v>
      </c>
      <c r="L696" s="4">
        <v>46226</v>
      </c>
      <c r="M696" s="3">
        <v>31.5</v>
      </c>
      <c r="N696" s="148"/>
    </row>
    <row r="697" spans="1:14" x14ac:dyDescent="0.35">
      <c r="A697" s="19"/>
      <c r="B697" s="153"/>
      <c r="C697" s="153"/>
      <c r="D697" s="10" t="s">
        <v>90</v>
      </c>
      <c r="E697" s="7">
        <f t="shared" si="113"/>
        <v>41</v>
      </c>
      <c r="F697" s="7">
        <f t="shared" si="86"/>
        <v>51</v>
      </c>
      <c r="G697" s="9" t="s">
        <v>16</v>
      </c>
      <c r="H697" s="27" t="str">
        <f t="shared" si="114"/>
        <v>Normal</v>
      </c>
      <c r="I697" s="156"/>
      <c r="J697" s="7">
        <f t="shared" si="115"/>
        <v>1.5</v>
      </c>
      <c r="K697" s="30">
        <v>30</v>
      </c>
      <c r="L697" s="4">
        <v>46226</v>
      </c>
      <c r="M697" s="3">
        <v>31.5</v>
      </c>
      <c r="N697" s="148"/>
    </row>
    <row r="698" spans="1:14" x14ac:dyDescent="0.35">
      <c r="A698" s="19"/>
      <c r="B698" s="154"/>
      <c r="C698" s="154"/>
      <c r="D698" s="10" t="s">
        <v>91</v>
      </c>
      <c r="E698" s="7">
        <f t="shared" si="113"/>
        <v>81</v>
      </c>
      <c r="F698" s="7">
        <f t="shared" si="86"/>
        <v>91</v>
      </c>
      <c r="G698" s="9" t="s">
        <v>16</v>
      </c>
      <c r="H698" s="27" t="str">
        <f t="shared" si="114"/>
        <v>Normal</v>
      </c>
      <c r="I698" s="157"/>
      <c r="J698" s="7">
        <f t="shared" si="115"/>
        <v>0</v>
      </c>
      <c r="K698" s="30">
        <v>70</v>
      </c>
      <c r="L698" s="4">
        <v>46226</v>
      </c>
      <c r="M698" s="3">
        <v>0</v>
      </c>
      <c r="N698" s="149"/>
    </row>
    <row r="699" spans="1:14" ht="15" customHeight="1" x14ac:dyDescent="0.35">
      <c r="A699" s="23">
        <v>0</v>
      </c>
      <c r="B699" s="152" t="s">
        <v>98</v>
      </c>
      <c r="C699" s="152" t="s">
        <v>99</v>
      </c>
      <c r="D699" s="8" t="s">
        <v>15</v>
      </c>
      <c r="E699" s="7">
        <f t="shared" si="113"/>
        <v>61</v>
      </c>
      <c r="F699" s="7">
        <f t="shared" si="86"/>
        <v>71</v>
      </c>
      <c r="G699" s="9" t="s">
        <v>16</v>
      </c>
      <c r="H699" s="27" t="str">
        <f t="shared" si="114"/>
        <v>Normal</v>
      </c>
      <c r="I699" s="155" t="str">
        <f>IF(COUNTIF(H699:H708,"-")&gt;0,("-"),(IF(COUNTIF(H699:H708,"STD BY")&gt;0,("STD BY"),(IF(COUNTIF(H699:H708,"N/A")&gt;0,("N/A"),(IF(COUNTIF(H699:H708,"Critical")&gt;0,("Critical"),(IF(COUNTIF(H699:H708,"High")&gt;0,("High"),(IF(COUNTIF(H699:H708,"Medium")&gt;0,("Medium"),(IF(COUNTIF(H699:H708,"Low")&gt;0,("Low"),("Normal"))))))))))))))</f>
        <v>Normal</v>
      </c>
      <c r="J699" s="7">
        <f t="shared" si="115"/>
        <v>0</v>
      </c>
      <c r="K699" s="14">
        <v>50</v>
      </c>
      <c r="L699" s="4">
        <v>46227</v>
      </c>
      <c r="M699" s="3">
        <v>40.5</v>
      </c>
      <c r="N699" s="196" t="s">
        <v>372</v>
      </c>
    </row>
    <row r="700" spans="1:14" x14ac:dyDescent="0.35">
      <c r="A700" s="24"/>
      <c r="B700" s="153"/>
      <c r="C700" s="153"/>
      <c r="D700" s="10" t="s">
        <v>17</v>
      </c>
      <c r="E700" s="7">
        <f t="shared" si="113"/>
        <v>51</v>
      </c>
      <c r="F700" s="7">
        <f t="shared" si="86"/>
        <v>61</v>
      </c>
      <c r="G700" s="9" t="s">
        <v>16</v>
      </c>
      <c r="H700" s="27" t="str">
        <f t="shared" si="114"/>
        <v>Normal</v>
      </c>
      <c r="I700" s="156"/>
      <c r="J700" s="7">
        <f t="shared" si="115"/>
        <v>0</v>
      </c>
      <c r="K700" s="14">
        <v>40</v>
      </c>
      <c r="L700" s="4">
        <v>46227</v>
      </c>
      <c r="M700" s="3">
        <v>33.200000000000003</v>
      </c>
      <c r="N700" s="148"/>
    </row>
    <row r="701" spans="1:14" x14ac:dyDescent="0.35">
      <c r="A701" s="24"/>
      <c r="B701" s="153"/>
      <c r="C701" s="153"/>
      <c r="D701" s="10" t="s">
        <v>18</v>
      </c>
      <c r="E701" s="7">
        <f t="shared" si="113"/>
        <v>61</v>
      </c>
      <c r="F701" s="7">
        <f t="shared" si="86"/>
        <v>71</v>
      </c>
      <c r="G701" s="9" t="s">
        <v>16</v>
      </c>
      <c r="H701" s="27" t="str">
        <f t="shared" si="114"/>
        <v>Normal</v>
      </c>
      <c r="I701" s="156"/>
      <c r="J701" s="7">
        <f t="shared" si="115"/>
        <v>0</v>
      </c>
      <c r="K701" s="14">
        <v>50</v>
      </c>
      <c r="L701" s="4">
        <v>46227</v>
      </c>
      <c r="M701" s="3">
        <v>38.9</v>
      </c>
      <c r="N701" s="148"/>
    </row>
    <row r="702" spans="1:14" x14ac:dyDescent="0.35">
      <c r="A702" s="24"/>
      <c r="B702" s="153"/>
      <c r="C702" s="153"/>
      <c r="D702" s="10" t="s">
        <v>86</v>
      </c>
      <c r="E702" s="7">
        <f t="shared" si="113"/>
        <v>51</v>
      </c>
      <c r="F702" s="7">
        <f t="shared" si="86"/>
        <v>61</v>
      </c>
      <c r="G702" s="9" t="s">
        <v>16</v>
      </c>
      <c r="H702" s="27" t="str">
        <f t="shared" si="114"/>
        <v>Normal</v>
      </c>
      <c r="I702" s="156"/>
      <c r="J702" s="7">
        <f t="shared" si="115"/>
        <v>0</v>
      </c>
      <c r="K702" s="14">
        <v>40</v>
      </c>
      <c r="L702" s="4">
        <v>46227</v>
      </c>
      <c r="M702" s="3">
        <v>37.9</v>
      </c>
      <c r="N702" s="148"/>
    </row>
    <row r="703" spans="1:14" x14ac:dyDescent="0.35">
      <c r="A703" s="24"/>
      <c r="B703" s="153"/>
      <c r="C703" s="153"/>
      <c r="D703" s="10" t="s">
        <v>87</v>
      </c>
      <c r="E703" s="7">
        <f t="shared" si="113"/>
        <v>41</v>
      </c>
      <c r="F703" s="7">
        <f t="shared" si="86"/>
        <v>51</v>
      </c>
      <c r="G703" s="9" t="s">
        <v>16</v>
      </c>
      <c r="H703" s="27" t="str">
        <f t="shared" si="114"/>
        <v>Normal</v>
      </c>
      <c r="I703" s="156"/>
      <c r="J703" s="7">
        <f t="shared" si="115"/>
        <v>0</v>
      </c>
      <c r="K703" s="14">
        <v>30</v>
      </c>
      <c r="L703" s="4">
        <v>46227</v>
      </c>
      <c r="M703" s="3">
        <v>29.8</v>
      </c>
      <c r="N703" s="148"/>
    </row>
    <row r="704" spans="1:14" x14ac:dyDescent="0.35">
      <c r="A704" s="24"/>
      <c r="B704" s="153"/>
      <c r="C704" s="153"/>
      <c r="D704" s="10" t="s">
        <v>88</v>
      </c>
      <c r="E704" s="7">
        <f t="shared" si="113"/>
        <v>41</v>
      </c>
      <c r="F704" s="7">
        <f t="shared" si="86"/>
        <v>51</v>
      </c>
      <c r="G704" s="9" t="s">
        <v>16</v>
      </c>
      <c r="H704" s="27" t="str">
        <f t="shared" si="114"/>
        <v>Normal</v>
      </c>
      <c r="I704" s="156"/>
      <c r="J704" s="7">
        <f t="shared" si="115"/>
        <v>0.60000000000000142</v>
      </c>
      <c r="K704" s="14">
        <v>30</v>
      </c>
      <c r="L704" s="4">
        <v>46227</v>
      </c>
      <c r="M704" s="3">
        <v>30.6</v>
      </c>
      <c r="N704" s="148"/>
    </row>
    <row r="705" spans="1:14" x14ac:dyDescent="0.35">
      <c r="A705" s="24"/>
      <c r="B705" s="153"/>
      <c r="C705" s="153"/>
      <c r="D705" s="10" t="s">
        <v>88</v>
      </c>
      <c r="E705" s="7">
        <f t="shared" si="113"/>
        <v>41</v>
      </c>
      <c r="F705" s="7">
        <f t="shared" si="86"/>
        <v>51</v>
      </c>
      <c r="G705" s="9" t="s">
        <v>16</v>
      </c>
      <c r="H705" s="27" t="str">
        <f t="shared" si="114"/>
        <v>Normal</v>
      </c>
      <c r="I705" s="156"/>
      <c r="J705" s="7">
        <f t="shared" si="115"/>
        <v>0.5</v>
      </c>
      <c r="K705" s="14">
        <v>30</v>
      </c>
      <c r="L705" s="4">
        <v>46227</v>
      </c>
      <c r="M705" s="3">
        <v>30.5</v>
      </c>
      <c r="N705" s="148"/>
    </row>
    <row r="706" spans="1:14" x14ac:dyDescent="0.35">
      <c r="A706" s="24"/>
      <c r="B706" s="153"/>
      <c r="C706" s="153"/>
      <c r="D706" s="10" t="s">
        <v>89</v>
      </c>
      <c r="E706" s="7">
        <f t="shared" si="113"/>
        <v>41</v>
      </c>
      <c r="F706" s="7">
        <f t="shared" si="86"/>
        <v>51</v>
      </c>
      <c r="G706" s="9" t="s">
        <v>16</v>
      </c>
      <c r="H706" s="27" t="str">
        <f t="shared" si="114"/>
        <v>Normal</v>
      </c>
      <c r="I706" s="156"/>
      <c r="J706" s="7">
        <f t="shared" si="115"/>
        <v>0</v>
      </c>
      <c r="K706" s="14">
        <v>30</v>
      </c>
      <c r="L706" s="4">
        <v>46227</v>
      </c>
      <c r="M706" s="3">
        <v>29.3</v>
      </c>
      <c r="N706" s="148"/>
    </row>
    <row r="707" spans="1:14" x14ac:dyDescent="0.35">
      <c r="A707" s="24"/>
      <c r="B707" s="153"/>
      <c r="C707" s="153"/>
      <c r="D707" s="10" t="s">
        <v>90</v>
      </c>
      <c r="E707" s="7">
        <f t="shared" si="113"/>
        <v>41</v>
      </c>
      <c r="F707" s="7">
        <f t="shared" ref="F707:F768" si="116">(E707+10)</f>
        <v>51</v>
      </c>
      <c r="G707" s="9" t="s">
        <v>16</v>
      </c>
      <c r="H707" s="27" t="str">
        <f t="shared" si="114"/>
        <v>Normal</v>
      </c>
      <c r="I707" s="156"/>
      <c r="J707" s="7">
        <f t="shared" si="115"/>
        <v>0</v>
      </c>
      <c r="K707" s="14">
        <v>30</v>
      </c>
      <c r="L707" s="4">
        <v>46227</v>
      </c>
      <c r="M707" s="3">
        <v>29.9</v>
      </c>
      <c r="N707" s="148"/>
    </row>
    <row r="708" spans="1:14" x14ac:dyDescent="0.35">
      <c r="A708" s="25"/>
      <c r="B708" s="154"/>
      <c r="C708" s="154"/>
      <c r="D708" s="10" t="s">
        <v>91</v>
      </c>
      <c r="E708" s="7">
        <f t="shared" si="113"/>
        <v>81</v>
      </c>
      <c r="F708" s="7">
        <f t="shared" si="116"/>
        <v>91</v>
      </c>
      <c r="G708" s="9" t="s">
        <v>16</v>
      </c>
      <c r="H708" s="27" t="str">
        <f t="shared" si="114"/>
        <v>Normal</v>
      </c>
      <c r="I708" s="157"/>
      <c r="J708" s="7">
        <f t="shared" si="115"/>
        <v>0</v>
      </c>
      <c r="K708" s="14">
        <v>70</v>
      </c>
      <c r="L708" s="4">
        <v>46227</v>
      </c>
      <c r="M708" s="3">
        <v>69.7</v>
      </c>
      <c r="N708" s="149"/>
    </row>
    <row r="709" spans="1:14" ht="15" customHeight="1" x14ac:dyDescent="0.35">
      <c r="A709" s="18">
        <v>0</v>
      </c>
      <c r="B709" s="152" t="s">
        <v>100</v>
      </c>
      <c r="C709" s="152" t="s">
        <v>101</v>
      </c>
      <c r="D709" s="8" t="s">
        <v>15</v>
      </c>
      <c r="E709" s="7">
        <f t="shared" si="113"/>
        <v>61</v>
      </c>
      <c r="F709" s="7">
        <f t="shared" si="116"/>
        <v>71</v>
      </c>
      <c r="G709" s="9" t="s">
        <v>16</v>
      </c>
      <c r="H709" s="27" t="str">
        <f t="shared" si="114"/>
        <v>Normal</v>
      </c>
      <c r="I709" s="155" t="str">
        <f>IF(COUNTIF(H709:H718,"-")&gt;0,("-"),(IF(COUNTIF(H709:H718,"STD BY")&gt;0,("STD BY"),(IF(COUNTIF(H709:H718,"N/A")&gt;0,("N/A"),(IF(COUNTIF(H709:H718,"Critical")&gt;0,("Critical"),(IF(COUNTIF(H709:H718,"High")&gt;0,("High"),(IF(COUNTIF(H709:H718,"Medium")&gt;0,("Medium"),(IF(COUNTIF(H709:H718,"Low")&gt;0,("Low"),("Normal"))))))))))))))</f>
        <v>Normal</v>
      </c>
      <c r="J709" s="7">
        <f t="shared" si="115"/>
        <v>0</v>
      </c>
      <c r="K709" s="14">
        <v>50</v>
      </c>
      <c r="L709" s="4">
        <v>46226</v>
      </c>
      <c r="M709" s="3">
        <v>34</v>
      </c>
      <c r="N709" s="196" t="s">
        <v>372</v>
      </c>
    </row>
    <row r="710" spans="1:14" x14ac:dyDescent="0.35">
      <c r="A710" s="19"/>
      <c r="B710" s="153"/>
      <c r="C710" s="153"/>
      <c r="D710" s="10" t="s">
        <v>17</v>
      </c>
      <c r="E710" s="7">
        <f t="shared" si="113"/>
        <v>51</v>
      </c>
      <c r="F710" s="7">
        <f t="shared" si="116"/>
        <v>61</v>
      </c>
      <c r="G710" s="9" t="s">
        <v>16</v>
      </c>
      <c r="H710" s="27" t="str">
        <f t="shared" si="114"/>
        <v>Normal</v>
      </c>
      <c r="I710" s="156"/>
      <c r="J710" s="7">
        <f t="shared" si="115"/>
        <v>0</v>
      </c>
      <c r="K710" s="14">
        <v>40</v>
      </c>
      <c r="L710" s="4">
        <v>46226</v>
      </c>
      <c r="M710" s="3">
        <v>31.4</v>
      </c>
      <c r="N710" s="148"/>
    </row>
    <row r="711" spans="1:14" x14ac:dyDescent="0.35">
      <c r="A711" s="19"/>
      <c r="B711" s="153"/>
      <c r="C711" s="153"/>
      <c r="D711" s="10" t="s">
        <v>18</v>
      </c>
      <c r="E711" s="7">
        <f t="shared" si="113"/>
        <v>61</v>
      </c>
      <c r="F711" s="7">
        <f t="shared" si="116"/>
        <v>71</v>
      </c>
      <c r="G711" s="9" t="s">
        <v>16</v>
      </c>
      <c r="H711" s="27" t="str">
        <f t="shared" si="114"/>
        <v>Normal</v>
      </c>
      <c r="I711" s="156"/>
      <c r="J711" s="7">
        <f t="shared" si="115"/>
        <v>0</v>
      </c>
      <c r="K711" s="14">
        <v>50</v>
      </c>
      <c r="L711" s="4">
        <v>46226</v>
      </c>
      <c r="M711" s="3">
        <v>31.8</v>
      </c>
      <c r="N711" s="148"/>
    </row>
    <row r="712" spans="1:14" x14ac:dyDescent="0.35">
      <c r="A712" s="19"/>
      <c r="B712" s="153"/>
      <c r="C712" s="153"/>
      <c r="D712" s="10" t="s">
        <v>86</v>
      </c>
      <c r="E712" s="7">
        <f t="shared" si="113"/>
        <v>51</v>
      </c>
      <c r="F712" s="7">
        <f t="shared" si="116"/>
        <v>61</v>
      </c>
      <c r="G712" s="9" t="s">
        <v>16</v>
      </c>
      <c r="H712" s="27" t="str">
        <f t="shared" si="114"/>
        <v>Normal</v>
      </c>
      <c r="I712" s="156"/>
      <c r="J712" s="7">
        <f t="shared" si="115"/>
        <v>0</v>
      </c>
      <c r="K712" s="14">
        <v>40</v>
      </c>
      <c r="L712" s="4">
        <v>46226</v>
      </c>
      <c r="M712" s="3">
        <v>33.799999999999997</v>
      </c>
      <c r="N712" s="148"/>
    </row>
    <row r="713" spans="1:14" x14ac:dyDescent="0.35">
      <c r="A713" s="19"/>
      <c r="B713" s="153"/>
      <c r="C713" s="153"/>
      <c r="D713" s="10" t="s">
        <v>87</v>
      </c>
      <c r="E713" s="7">
        <f t="shared" si="113"/>
        <v>41</v>
      </c>
      <c r="F713" s="7">
        <f t="shared" si="116"/>
        <v>51</v>
      </c>
      <c r="G713" s="9" t="s">
        <v>16</v>
      </c>
      <c r="H713" s="27" t="str">
        <f t="shared" si="114"/>
        <v>Normal</v>
      </c>
      <c r="I713" s="156"/>
      <c r="J713" s="7">
        <f t="shared" si="115"/>
        <v>3.5</v>
      </c>
      <c r="K713" s="14">
        <v>30</v>
      </c>
      <c r="L713" s="4">
        <v>46226</v>
      </c>
      <c r="M713" s="3">
        <v>33.5</v>
      </c>
      <c r="N713" s="148"/>
    </row>
    <row r="714" spans="1:14" x14ac:dyDescent="0.35">
      <c r="A714" s="19"/>
      <c r="B714" s="153"/>
      <c r="C714" s="153"/>
      <c r="D714" s="10" t="s">
        <v>88</v>
      </c>
      <c r="E714" s="7">
        <f t="shared" si="113"/>
        <v>41</v>
      </c>
      <c r="F714" s="7">
        <f t="shared" si="116"/>
        <v>51</v>
      </c>
      <c r="G714" s="9" t="s">
        <v>16</v>
      </c>
      <c r="H714" s="27" t="str">
        <f t="shared" si="114"/>
        <v>Normal</v>
      </c>
      <c r="I714" s="156"/>
      <c r="J714" s="7">
        <f t="shared" si="115"/>
        <v>2.2999999999999972</v>
      </c>
      <c r="K714" s="14">
        <v>30</v>
      </c>
      <c r="L714" s="4">
        <v>46226</v>
      </c>
      <c r="M714" s="3">
        <v>32.299999999999997</v>
      </c>
      <c r="N714" s="148"/>
    </row>
    <row r="715" spans="1:14" x14ac:dyDescent="0.35">
      <c r="A715" s="19"/>
      <c r="B715" s="153"/>
      <c r="C715" s="153"/>
      <c r="D715" s="10" t="s">
        <v>88</v>
      </c>
      <c r="E715" s="7">
        <f t="shared" si="113"/>
        <v>41</v>
      </c>
      <c r="F715" s="7">
        <f t="shared" si="116"/>
        <v>51</v>
      </c>
      <c r="G715" s="9" t="s">
        <v>16</v>
      </c>
      <c r="H715" s="27" t="str">
        <f t="shared" si="114"/>
        <v>Normal</v>
      </c>
      <c r="I715" s="156"/>
      <c r="J715" s="7">
        <f t="shared" si="115"/>
        <v>3.1000000000000014</v>
      </c>
      <c r="K715" s="14">
        <v>30</v>
      </c>
      <c r="L715" s="4">
        <v>46226</v>
      </c>
      <c r="M715" s="3">
        <v>33.1</v>
      </c>
      <c r="N715" s="148"/>
    </row>
    <row r="716" spans="1:14" x14ac:dyDescent="0.35">
      <c r="A716" s="19"/>
      <c r="B716" s="153"/>
      <c r="C716" s="153"/>
      <c r="D716" s="10" t="s">
        <v>89</v>
      </c>
      <c r="E716" s="7">
        <f t="shared" si="113"/>
        <v>41</v>
      </c>
      <c r="F716" s="7">
        <f t="shared" si="116"/>
        <v>51</v>
      </c>
      <c r="G716" s="9" t="s">
        <v>16</v>
      </c>
      <c r="H716" s="27" t="str">
        <f t="shared" si="114"/>
        <v>Normal</v>
      </c>
      <c r="I716" s="156"/>
      <c r="J716" s="7">
        <f t="shared" si="115"/>
        <v>0</v>
      </c>
      <c r="K716" s="14">
        <v>30</v>
      </c>
      <c r="L716" s="4">
        <v>46226</v>
      </c>
      <c r="M716" s="3">
        <v>29.8</v>
      </c>
      <c r="N716" s="148"/>
    </row>
    <row r="717" spans="1:14" x14ac:dyDescent="0.35">
      <c r="A717" s="19"/>
      <c r="B717" s="153"/>
      <c r="C717" s="153"/>
      <c r="D717" s="10" t="s">
        <v>90</v>
      </c>
      <c r="E717" s="7">
        <f t="shared" si="113"/>
        <v>41</v>
      </c>
      <c r="F717" s="7">
        <f t="shared" si="116"/>
        <v>51</v>
      </c>
      <c r="G717" s="9" t="s">
        <v>16</v>
      </c>
      <c r="H717" s="27" t="str">
        <f t="shared" si="114"/>
        <v>Normal</v>
      </c>
      <c r="I717" s="156"/>
      <c r="J717" s="7">
        <f t="shared" si="115"/>
        <v>0.39999999999999858</v>
      </c>
      <c r="K717" s="14">
        <v>30</v>
      </c>
      <c r="L717" s="4">
        <v>46226</v>
      </c>
      <c r="M717" s="3">
        <v>30.4</v>
      </c>
      <c r="N717" s="148"/>
    </row>
    <row r="718" spans="1:14" x14ac:dyDescent="0.35">
      <c r="A718" s="19"/>
      <c r="B718" s="154"/>
      <c r="C718" s="154"/>
      <c r="D718" s="10" t="s">
        <v>91</v>
      </c>
      <c r="E718" s="7">
        <f t="shared" si="113"/>
        <v>81</v>
      </c>
      <c r="F718" s="7">
        <f t="shared" si="116"/>
        <v>91</v>
      </c>
      <c r="G718" s="9" t="s">
        <v>16</v>
      </c>
      <c r="H718" s="27" t="str">
        <f t="shared" si="114"/>
        <v>Normal</v>
      </c>
      <c r="I718" s="157"/>
      <c r="J718" s="7">
        <f t="shared" si="115"/>
        <v>0</v>
      </c>
      <c r="K718" s="14">
        <v>70</v>
      </c>
      <c r="L718" s="4">
        <v>46226</v>
      </c>
      <c r="M718" s="3">
        <v>69.7</v>
      </c>
      <c r="N718" s="149"/>
    </row>
    <row r="719" spans="1:14" ht="15" customHeight="1" x14ac:dyDescent="0.35">
      <c r="A719" s="23">
        <v>0</v>
      </c>
      <c r="B719" s="152" t="s">
        <v>102</v>
      </c>
      <c r="C719" s="152" t="s">
        <v>103</v>
      </c>
      <c r="D719" s="8" t="s">
        <v>15</v>
      </c>
      <c r="E719" s="7">
        <f t="shared" si="113"/>
        <v>61</v>
      </c>
      <c r="F719" s="7">
        <f t="shared" si="116"/>
        <v>71</v>
      </c>
      <c r="G719" s="9" t="s">
        <v>16</v>
      </c>
      <c r="H719" s="27" t="str">
        <f t="shared" ref="H719:H760" si="117">IF(J719="",("-"),(IF(J719="STD BY",("STD BY"),(IF(J719="N/A",("N/A"),(IF(J719&lt;5,("Normal"),(IF(J719&lt;11,("Low"),(IF(J719&lt;21,("Medium"),(IF(J719&lt;41,("High"),("Critical"))))))))))))))</f>
        <v>Normal</v>
      </c>
      <c r="I719" s="155" t="str">
        <f>IF(COUNTIF(H719:H728,"-")&gt;0,("-"),(IF(COUNTIF(H719:H728,"STD BY")&gt;0,("STD BY"),(IF(COUNTIF(H719:H728,"N/A")&gt;0,("N/A"),(IF(COUNTIF(H719:H728,"Critical")&gt;0,("Critical"),(IF(COUNTIF(H719:H728,"High")&gt;0,("High"),(IF(COUNTIF(H719:H728,"Medium")&gt;0,("Medium"),(IF(COUNTIF(H719:H728,"Low")&gt;0,("Low"),("Normal"))))))))))))))</f>
        <v>Normal</v>
      </c>
      <c r="J719" s="7">
        <f t="shared" ref="J719:J747" si="118">IF(M719="",(""),(IF(M719="STD BY",("STD BY"),(IF(M719="N/A",("N/A"),(IF(M719-K719&gt;0,(M719-K719),(0))))))))</f>
        <v>0</v>
      </c>
      <c r="K719" s="14">
        <v>50</v>
      </c>
      <c r="L719" s="4">
        <v>46227</v>
      </c>
      <c r="M719" s="3">
        <v>41.4</v>
      </c>
      <c r="N719" s="196" t="s">
        <v>372</v>
      </c>
    </row>
    <row r="720" spans="1:14" x14ac:dyDescent="0.35">
      <c r="A720" s="19"/>
      <c r="B720" s="153"/>
      <c r="C720" s="153"/>
      <c r="D720" s="10" t="s">
        <v>17</v>
      </c>
      <c r="E720" s="7">
        <f t="shared" si="113"/>
        <v>51</v>
      </c>
      <c r="F720" s="7">
        <f t="shared" si="116"/>
        <v>61</v>
      </c>
      <c r="G720" s="9" t="s">
        <v>16</v>
      </c>
      <c r="H720" s="27" t="str">
        <f t="shared" si="117"/>
        <v>Normal</v>
      </c>
      <c r="I720" s="156"/>
      <c r="J720" s="7">
        <f t="shared" si="118"/>
        <v>1.2999999999999972</v>
      </c>
      <c r="K720" s="14">
        <v>40</v>
      </c>
      <c r="L720" s="4">
        <v>46227</v>
      </c>
      <c r="M720" s="3">
        <v>41.3</v>
      </c>
      <c r="N720" s="148"/>
    </row>
    <row r="721" spans="1:14" x14ac:dyDescent="0.35">
      <c r="A721" s="19"/>
      <c r="B721" s="153"/>
      <c r="C721" s="153"/>
      <c r="D721" s="10" t="s">
        <v>18</v>
      </c>
      <c r="E721" s="7">
        <f t="shared" si="113"/>
        <v>51</v>
      </c>
      <c r="F721" s="7">
        <f t="shared" si="116"/>
        <v>61</v>
      </c>
      <c r="G721" s="9" t="s">
        <v>16</v>
      </c>
      <c r="H721" s="27" t="str">
        <f t="shared" si="117"/>
        <v>Normal</v>
      </c>
      <c r="I721" s="156"/>
      <c r="J721" s="7">
        <f t="shared" si="118"/>
        <v>0</v>
      </c>
      <c r="K721" s="14">
        <v>40</v>
      </c>
      <c r="L721" s="4">
        <v>46227</v>
      </c>
      <c r="M721" s="3">
        <v>38.200000000000003</v>
      </c>
      <c r="N721" s="148"/>
    </row>
    <row r="722" spans="1:14" x14ac:dyDescent="0.35">
      <c r="A722" s="19"/>
      <c r="B722" s="153"/>
      <c r="C722" s="153"/>
      <c r="D722" s="10" t="s">
        <v>86</v>
      </c>
      <c r="E722" s="7">
        <f t="shared" si="113"/>
        <v>51</v>
      </c>
      <c r="F722" s="7">
        <f t="shared" si="116"/>
        <v>61</v>
      </c>
      <c r="G722" s="9" t="s">
        <v>16</v>
      </c>
      <c r="H722" s="27" t="str">
        <f t="shared" si="117"/>
        <v>Normal</v>
      </c>
      <c r="I722" s="156"/>
      <c r="J722" s="7">
        <f t="shared" si="118"/>
        <v>0</v>
      </c>
      <c r="K722" s="14">
        <v>40</v>
      </c>
      <c r="L722" s="4">
        <v>46227</v>
      </c>
      <c r="M722" s="3">
        <v>35.799999999999997</v>
      </c>
      <c r="N722" s="148"/>
    </row>
    <row r="723" spans="1:14" x14ac:dyDescent="0.35">
      <c r="A723" s="19"/>
      <c r="B723" s="153"/>
      <c r="C723" s="153"/>
      <c r="D723" s="10" t="s">
        <v>87</v>
      </c>
      <c r="E723" s="7">
        <f t="shared" si="113"/>
        <v>51</v>
      </c>
      <c r="F723" s="7">
        <f t="shared" si="116"/>
        <v>61</v>
      </c>
      <c r="G723" s="9" t="s">
        <v>16</v>
      </c>
      <c r="H723" s="27" t="str">
        <f t="shared" si="117"/>
        <v>Normal</v>
      </c>
      <c r="I723" s="156"/>
      <c r="J723" s="7">
        <f t="shared" si="118"/>
        <v>0</v>
      </c>
      <c r="K723" s="14">
        <v>40</v>
      </c>
      <c r="L723" s="4">
        <v>46227</v>
      </c>
      <c r="M723" s="3">
        <v>38.700000000000003</v>
      </c>
      <c r="N723" s="148"/>
    </row>
    <row r="724" spans="1:14" x14ac:dyDescent="0.35">
      <c r="A724" s="19"/>
      <c r="B724" s="153"/>
      <c r="C724" s="153"/>
      <c r="D724" s="10" t="s">
        <v>88</v>
      </c>
      <c r="E724" s="7">
        <f t="shared" si="113"/>
        <v>51</v>
      </c>
      <c r="F724" s="7">
        <f t="shared" si="116"/>
        <v>61</v>
      </c>
      <c r="G724" s="9" t="s">
        <v>16</v>
      </c>
      <c r="H724" s="27" t="str">
        <f t="shared" si="117"/>
        <v>Normal</v>
      </c>
      <c r="I724" s="156"/>
      <c r="J724" s="7">
        <f t="shared" si="118"/>
        <v>0</v>
      </c>
      <c r="K724" s="14">
        <v>40</v>
      </c>
      <c r="L724" s="4">
        <v>46227</v>
      </c>
      <c r="M724" s="3">
        <v>37.299999999999997</v>
      </c>
      <c r="N724" s="148"/>
    </row>
    <row r="725" spans="1:14" x14ac:dyDescent="0.35">
      <c r="A725" s="19"/>
      <c r="B725" s="153"/>
      <c r="C725" s="153"/>
      <c r="D725" s="10" t="s">
        <v>88</v>
      </c>
      <c r="E725" s="7">
        <f t="shared" si="113"/>
        <v>51</v>
      </c>
      <c r="F725" s="7">
        <f t="shared" si="116"/>
        <v>61</v>
      </c>
      <c r="G725" s="9" t="s">
        <v>16</v>
      </c>
      <c r="H725" s="27" t="str">
        <f t="shared" si="117"/>
        <v>Normal</v>
      </c>
      <c r="I725" s="156"/>
      <c r="J725" s="7">
        <f t="shared" si="118"/>
        <v>0</v>
      </c>
      <c r="K725" s="14">
        <v>40</v>
      </c>
      <c r="L725" s="4">
        <v>46227</v>
      </c>
      <c r="M725" s="3">
        <v>38.299999999999997</v>
      </c>
      <c r="N725" s="148"/>
    </row>
    <row r="726" spans="1:14" x14ac:dyDescent="0.35">
      <c r="A726" s="19"/>
      <c r="B726" s="153"/>
      <c r="C726" s="153"/>
      <c r="D726" s="10" t="s">
        <v>89</v>
      </c>
      <c r="E726" s="7">
        <f t="shared" si="113"/>
        <v>41</v>
      </c>
      <c r="F726" s="7">
        <f t="shared" si="116"/>
        <v>51</v>
      </c>
      <c r="G726" s="9" t="s">
        <v>16</v>
      </c>
      <c r="H726" s="27" t="str">
        <f t="shared" si="117"/>
        <v>Normal</v>
      </c>
      <c r="I726" s="156"/>
      <c r="J726" s="7">
        <f t="shared" si="118"/>
        <v>0</v>
      </c>
      <c r="K726" s="14">
        <v>30</v>
      </c>
      <c r="L726" s="4">
        <v>46227</v>
      </c>
      <c r="M726" s="3">
        <v>28.2</v>
      </c>
      <c r="N726" s="148"/>
    </row>
    <row r="727" spans="1:14" x14ac:dyDescent="0.35">
      <c r="A727" s="19"/>
      <c r="B727" s="153"/>
      <c r="C727" s="153"/>
      <c r="D727" s="10" t="s">
        <v>90</v>
      </c>
      <c r="E727" s="7">
        <f t="shared" si="113"/>
        <v>41</v>
      </c>
      <c r="F727" s="7">
        <f t="shared" si="116"/>
        <v>51</v>
      </c>
      <c r="G727" s="9" t="s">
        <v>16</v>
      </c>
      <c r="H727" s="27" t="str">
        <f t="shared" si="117"/>
        <v>Normal</v>
      </c>
      <c r="I727" s="156"/>
      <c r="J727" s="7">
        <f t="shared" si="118"/>
        <v>0</v>
      </c>
      <c r="K727" s="14">
        <v>30</v>
      </c>
      <c r="L727" s="4">
        <v>46227</v>
      </c>
      <c r="M727" s="3">
        <v>27.7</v>
      </c>
      <c r="N727" s="148"/>
    </row>
    <row r="728" spans="1:14" x14ac:dyDescent="0.35">
      <c r="A728" s="20"/>
      <c r="B728" s="154"/>
      <c r="C728" s="154"/>
      <c r="D728" s="10" t="s">
        <v>91</v>
      </c>
      <c r="E728" s="7">
        <f t="shared" si="113"/>
        <v>81</v>
      </c>
      <c r="F728" s="7">
        <f t="shared" si="116"/>
        <v>91</v>
      </c>
      <c r="G728" s="9" t="s">
        <v>16</v>
      </c>
      <c r="H728" s="27" t="str">
        <f t="shared" si="117"/>
        <v>Normal</v>
      </c>
      <c r="I728" s="157"/>
      <c r="J728" s="7">
        <f t="shared" si="118"/>
        <v>9.9999999999994316E-2</v>
      </c>
      <c r="K728" s="14">
        <v>70</v>
      </c>
      <c r="L728" s="4">
        <v>46227</v>
      </c>
      <c r="M728" s="3">
        <v>70.099999999999994</v>
      </c>
      <c r="N728" s="149"/>
    </row>
    <row r="729" spans="1:14" ht="15" customHeight="1" x14ac:dyDescent="0.35">
      <c r="A729" s="18">
        <v>0</v>
      </c>
      <c r="B729" s="152" t="s">
        <v>104</v>
      </c>
      <c r="C729" s="152" t="s">
        <v>105</v>
      </c>
      <c r="D729" s="8" t="s">
        <v>15</v>
      </c>
      <c r="E729" s="7">
        <f t="shared" si="113"/>
        <v>61</v>
      </c>
      <c r="F729" s="7">
        <f t="shared" si="116"/>
        <v>71</v>
      </c>
      <c r="G729" s="9" t="s">
        <v>16</v>
      </c>
      <c r="H729" s="27" t="str">
        <f t="shared" ref="H729:H738" si="119">IF(J729="",("-"),(IF(J729="STD BY",("STD BY"),(IF(J729="N/A",("N/A"),(IF(J729&lt;5,("Normal"),(IF(J729&lt;11,("Low"),(IF(J729&lt;21,("Medium"),(IF(J729&lt;41,("High"),("Critical"))))))))))))))</f>
        <v>Normal</v>
      </c>
      <c r="I729" s="155" t="str">
        <f>IF(COUNTIF(H729:H738,"-")&gt;0,("-"),(IF(COUNTIF(H729:H738,"STD BY")&gt;0,("STD BY"),(IF(COUNTIF(H729:H738,"N/A")&gt;0,("N/A"),(IF(COUNTIF(H729:H738,"Critical")&gt;0,("Critical"),(IF(COUNTIF(H729:H738,"High")&gt;0,("High"),(IF(COUNTIF(H729:H738,"Medium")&gt;0,("Medium"),(IF(COUNTIF(H729:H738,"Low")&gt;0,("Low"),("Normal"))))))))))))))</f>
        <v>Medium</v>
      </c>
      <c r="J729" s="7">
        <f t="shared" ref="J729:J738" si="120">IF(M729="",(""),(IF(M729="STD BY",("STD BY"),(IF(M729="N/A",("N/A"),(IF(M729-K729&gt;0,(M729-K729),(0))))))))</f>
        <v>4.6000000000000014</v>
      </c>
      <c r="K729" s="14">
        <v>50</v>
      </c>
      <c r="L729" s="4">
        <v>46226</v>
      </c>
      <c r="M729" s="3">
        <v>54.6</v>
      </c>
      <c r="N729" s="196" t="s">
        <v>372</v>
      </c>
    </row>
    <row r="730" spans="1:14" x14ac:dyDescent="0.35">
      <c r="A730" s="19"/>
      <c r="B730" s="153"/>
      <c r="C730" s="153"/>
      <c r="D730" s="10" t="s">
        <v>17</v>
      </c>
      <c r="E730" s="7">
        <f t="shared" si="113"/>
        <v>51</v>
      </c>
      <c r="F730" s="7">
        <f t="shared" si="116"/>
        <v>61</v>
      </c>
      <c r="G730" s="9" t="s">
        <v>16</v>
      </c>
      <c r="H730" s="27" t="str">
        <f t="shared" si="119"/>
        <v>Low</v>
      </c>
      <c r="I730" s="156"/>
      <c r="J730" s="7">
        <f t="shared" si="120"/>
        <v>7.7000000000000028</v>
      </c>
      <c r="K730" s="14">
        <v>40</v>
      </c>
      <c r="L730" s="4">
        <v>46226</v>
      </c>
      <c r="M730" s="3">
        <v>47.7</v>
      </c>
      <c r="N730" s="148"/>
    </row>
    <row r="731" spans="1:14" x14ac:dyDescent="0.35">
      <c r="A731" s="19"/>
      <c r="B731" s="153"/>
      <c r="C731" s="153"/>
      <c r="D731" s="10" t="s">
        <v>18</v>
      </c>
      <c r="E731" s="7">
        <f t="shared" si="113"/>
        <v>51</v>
      </c>
      <c r="F731" s="7">
        <f t="shared" si="116"/>
        <v>61</v>
      </c>
      <c r="G731" s="9" t="s">
        <v>16</v>
      </c>
      <c r="H731" s="27" t="str">
        <f t="shared" si="119"/>
        <v>Medium</v>
      </c>
      <c r="I731" s="156"/>
      <c r="J731" s="7">
        <f t="shared" si="120"/>
        <v>11</v>
      </c>
      <c r="K731" s="14">
        <v>40</v>
      </c>
      <c r="L731" s="4">
        <v>46226</v>
      </c>
      <c r="M731" s="3">
        <v>51</v>
      </c>
      <c r="N731" s="148"/>
    </row>
    <row r="732" spans="1:14" x14ac:dyDescent="0.35">
      <c r="A732" s="19"/>
      <c r="B732" s="153"/>
      <c r="C732" s="153"/>
      <c r="D732" s="10" t="s">
        <v>86</v>
      </c>
      <c r="E732" s="7">
        <f t="shared" si="113"/>
        <v>51</v>
      </c>
      <c r="F732" s="7">
        <f t="shared" si="116"/>
        <v>61</v>
      </c>
      <c r="G732" s="9" t="s">
        <v>16</v>
      </c>
      <c r="H732" s="27" t="str">
        <f t="shared" si="119"/>
        <v>Normal</v>
      </c>
      <c r="I732" s="156"/>
      <c r="J732" s="7">
        <f t="shared" si="120"/>
        <v>3</v>
      </c>
      <c r="K732" s="14">
        <v>40</v>
      </c>
      <c r="L732" s="4">
        <v>46226</v>
      </c>
      <c r="M732" s="3">
        <v>43</v>
      </c>
      <c r="N732" s="148"/>
    </row>
    <row r="733" spans="1:14" x14ac:dyDescent="0.35">
      <c r="A733" s="19"/>
      <c r="B733" s="153"/>
      <c r="C733" s="153"/>
      <c r="D733" s="10" t="s">
        <v>87</v>
      </c>
      <c r="E733" s="7">
        <f t="shared" si="113"/>
        <v>51</v>
      </c>
      <c r="F733" s="7">
        <f t="shared" si="116"/>
        <v>61</v>
      </c>
      <c r="G733" s="9" t="s">
        <v>16</v>
      </c>
      <c r="H733" s="27" t="str">
        <f t="shared" si="119"/>
        <v>Normal</v>
      </c>
      <c r="I733" s="156"/>
      <c r="J733" s="7">
        <f t="shared" si="120"/>
        <v>0</v>
      </c>
      <c r="K733" s="14">
        <v>40</v>
      </c>
      <c r="L733" s="4">
        <v>46226</v>
      </c>
      <c r="M733" s="3">
        <v>35.1</v>
      </c>
      <c r="N733" s="148"/>
    </row>
    <row r="734" spans="1:14" x14ac:dyDescent="0.35">
      <c r="A734" s="19"/>
      <c r="B734" s="153"/>
      <c r="C734" s="153"/>
      <c r="D734" s="10" t="s">
        <v>88</v>
      </c>
      <c r="E734" s="7">
        <f t="shared" si="113"/>
        <v>51</v>
      </c>
      <c r="F734" s="7">
        <f t="shared" si="116"/>
        <v>61</v>
      </c>
      <c r="G734" s="9" t="s">
        <v>16</v>
      </c>
      <c r="H734" s="27" t="str">
        <f t="shared" si="119"/>
        <v>Normal</v>
      </c>
      <c r="I734" s="156"/>
      <c r="J734" s="7">
        <f t="shared" si="120"/>
        <v>0</v>
      </c>
      <c r="K734" s="14">
        <v>40</v>
      </c>
      <c r="L734" s="4">
        <v>46226</v>
      </c>
      <c r="M734" s="3">
        <v>35.1</v>
      </c>
      <c r="N734" s="148"/>
    </row>
    <row r="735" spans="1:14" x14ac:dyDescent="0.35">
      <c r="A735" s="19"/>
      <c r="B735" s="153"/>
      <c r="C735" s="153"/>
      <c r="D735" s="10" t="s">
        <v>88</v>
      </c>
      <c r="E735" s="7">
        <f t="shared" si="113"/>
        <v>51</v>
      </c>
      <c r="F735" s="7">
        <f t="shared" si="116"/>
        <v>61</v>
      </c>
      <c r="G735" s="9" t="s">
        <v>16</v>
      </c>
      <c r="H735" s="27" t="str">
        <f t="shared" si="119"/>
        <v>Normal</v>
      </c>
      <c r="I735" s="156"/>
      <c r="J735" s="7">
        <f t="shared" si="120"/>
        <v>0</v>
      </c>
      <c r="K735" s="14">
        <v>40</v>
      </c>
      <c r="L735" s="4">
        <v>46226</v>
      </c>
      <c r="M735" s="3">
        <v>33.799999999999997</v>
      </c>
      <c r="N735" s="148"/>
    </row>
    <row r="736" spans="1:14" x14ac:dyDescent="0.35">
      <c r="A736" s="19"/>
      <c r="B736" s="153"/>
      <c r="C736" s="153"/>
      <c r="D736" s="10" t="s">
        <v>89</v>
      </c>
      <c r="E736" s="7">
        <f t="shared" si="113"/>
        <v>41</v>
      </c>
      <c r="F736" s="7">
        <f t="shared" si="116"/>
        <v>51</v>
      </c>
      <c r="G736" s="9" t="s">
        <v>16</v>
      </c>
      <c r="H736" s="27" t="str">
        <f t="shared" si="119"/>
        <v>Normal</v>
      </c>
      <c r="I736" s="156"/>
      <c r="J736" s="7">
        <f t="shared" si="120"/>
        <v>0</v>
      </c>
      <c r="K736" s="14">
        <v>30</v>
      </c>
      <c r="L736" s="4">
        <v>46226</v>
      </c>
      <c r="M736" s="3">
        <v>26.7</v>
      </c>
      <c r="N736" s="148"/>
    </row>
    <row r="737" spans="1:14" x14ac:dyDescent="0.35">
      <c r="A737" s="19"/>
      <c r="B737" s="153"/>
      <c r="C737" s="153"/>
      <c r="D737" s="10" t="s">
        <v>90</v>
      </c>
      <c r="E737" s="7">
        <f t="shared" si="113"/>
        <v>41</v>
      </c>
      <c r="F737" s="7">
        <f t="shared" si="116"/>
        <v>51</v>
      </c>
      <c r="G737" s="9" t="s">
        <v>16</v>
      </c>
      <c r="H737" s="27" t="str">
        <f t="shared" si="119"/>
        <v>Normal</v>
      </c>
      <c r="I737" s="156"/>
      <c r="J737" s="7">
        <f t="shared" si="120"/>
        <v>0</v>
      </c>
      <c r="K737" s="14">
        <v>30</v>
      </c>
      <c r="L737" s="4">
        <v>46226</v>
      </c>
      <c r="M737" s="3">
        <v>26.6</v>
      </c>
      <c r="N737" s="148"/>
    </row>
    <row r="738" spans="1:14" x14ac:dyDescent="0.35">
      <c r="A738" s="19"/>
      <c r="B738" s="154"/>
      <c r="C738" s="154"/>
      <c r="D738" s="10" t="s">
        <v>91</v>
      </c>
      <c r="E738" s="7">
        <f t="shared" ref="E738:E757" si="121">(K738+11)</f>
        <v>81</v>
      </c>
      <c r="F738" s="7">
        <f t="shared" si="116"/>
        <v>91</v>
      </c>
      <c r="G738" s="9" t="s">
        <v>16</v>
      </c>
      <c r="H738" s="27" t="str">
        <f t="shared" si="119"/>
        <v>Normal</v>
      </c>
      <c r="I738" s="157"/>
      <c r="J738" s="7">
        <f t="shared" si="120"/>
        <v>4</v>
      </c>
      <c r="K738" s="14">
        <v>70</v>
      </c>
      <c r="L738" s="4">
        <v>46226</v>
      </c>
      <c r="M738" s="3">
        <v>74</v>
      </c>
      <c r="N738" s="149"/>
    </row>
    <row r="739" spans="1:14" ht="15" customHeight="1" x14ac:dyDescent="0.35">
      <c r="A739" s="23">
        <v>0</v>
      </c>
      <c r="B739" s="152" t="s">
        <v>106</v>
      </c>
      <c r="C739" s="152" t="s">
        <v>107</v>
      </c>
      <c r="D739" s="8" t="s">
        <v>15</v>
      </c>
      <c r="E739" s="7">
        <f t="shared" si="121"/>
        <v>56</v>
      </c>
      <c r="F739" s="7">
        <f t="shared" si="116"/>
        <v>66</v>
      </c>
      <c r="G739" s="9" t="s">
        <v>16</v>
      </c>
      <c r="H739" s="27" t="str">
        <f t="shared" si="117"/>
        <v>Normal</v>
      </c>
      <c r="I739" s="155" t="str">
        <f>IF(COUNTIF(H739:H747,"-")&gt;0,("-"),(IF(COUNTIF(H739:H747,"STD BY")&gt;0,("STD BY"),(IF(COUNTIF(H739:H747,"N/A")&gt;0,("N/A"),(IF(COUNTIF(H739:H747,"Critical")&gt;0,("Critical"),(IF(COUNTIF(H739:H747,"High")&gt;0,("High"),(IF(COUNTIF(H739:H747,"Medium")&gt;0,("Medium"),(IF(COUNTIF(H739:H747,"Low")&gt;0,("Low"),("Normal"))))))))))))))</f>
        <v>Normal</v>
      </c>
      <c r="J739" s="7">
        <f t="shared" si="118"/>
        <v>0</v>
      </c>
      <c r="K739" s="14">
        <v>45</v>
      </c>
      <c r="L739" s="117">
        <v>46227</v>
      </c>
      <c r="M739" s="118">
        <v>34.6</v>
      </c>
      <c r="N739" s="187" t="s">
        <v>372</v>
      </c>
    </row>
    <row r="740" spans="1:14" x14ac:dyDescent="0.35">
      <c r="A740" s="24"/>
      <c r="B740" s="153"/>
      <c r="C740" s="153"/>
      <c r="D740" s="10" t="s">
        <v>17</v>
      </c>
      <c r="E740" s="7">
        <f t="shared" si="121"/>
        <v>51</v>
      </c>
      <c r="F740" s="7">
        <f t="shared" si="116"/>
        <v>61</v>
      </c>
      <c r="G740" s="9" t="s">
        <v>16</v>
      </c>
      <c r="H740" s="27" t="str">
        <f t="shared" si="117"/>
        <v>Normal</v>
      </c>
      <c r="I740" s="156"/>
      <c r="J740" s="7">
        <f t="shared" si="118"/>
        <v>0</v>
      </c>
      <c r="K740" s="14">
        <v>40</v>
      </c>
      <c r="L740" s="117">
        <v>46227</v>
      </c>
      <c r="M740" s="118">
        <v>33.9</v>
      </c>
      <c r="N740" s="187"/>
    </row>
    <row r="741" spans="1:14" x14ac:dyDescent="0.35">
      <c r="A741" s="24"/>
      <c r="B741" s="153"/>
      <c r="C741" s="153"/>
      <c r="D741" s="10" t="s">
        <v>18</v>
      </c>
      <c r="E741" s="7">
        <f t="shared" si="121"/>
        <v>56</v>
      </c>
      <c r="F741" s="7">
        <f t="shared" si="116"/>
        <v>66</v>
      </c>
      <c r="G741" s="9" t="s">
        <v>16</v>
      </c>
      <c r="H741" s="27" t="str">
        <f t="shared" si="117"/>
        <v>Normal</v>
      </c>
      <c r="I741" s="156"/>
      <c r="J741" s="7">
        <f t="shared" si="118"/>
        <v>0</v>
      </c>
      <c r="K741" s="14">
        <v>45</v>
      </c>
      <c r="L741" s="117">
        <v>46227</v>
      </c>
      <c r="M741" s="118">
        <v>32.9</v>
      </c>
      <c r="N741" s="187"/>
    </row>
    <row r="742" spans="1:14" x14ac:dyDescent="0.35">
      <c r="A742" s="24"/>
      <c r="B742" s="153"/>
      <c r="C742" s="153"/>
      <c r="D742" s="10" t="s">
        <v>86</v>
      </c>
      <c r="E742" s="7">
        <f t="shared" si="121"/>
        <v>56</v>
      </c>
      <c r="F742" s="7">
        <f t="shared" si="116"/>
        <v>66</v>
      </c>
      <c r="G742" s="9" t="s">
        <v>16</v>
      </c>
      <c r="H742" s="27" t="str">
        <f t="shared" si="117"/>
        <v>Normal</v>
      </c>
      <c r="I742" s="156"/>
      <c r="J742" s="7">
        <f t="shared" si="118"/>
        <v>0</v>
      </c>
      <c r="K742" s="14">
        <v>45</v>
      </c>
      <c r="L742" s="117">
        <v>46227</v>
      </c>
      <c r="M742" s="118">
        <v>32.700000000000003</v>
      </c>
      <c r="N742" s="187"/>
    </row>
    <row r="743" spans="1:14" x14ac:dyDescent="0.35">
      <c r="A743" s="24"/>
      <c r="B743" s="153"/>
      <c r="C743" s="153"/>
      <c r="D743" s="10" t="s">
        <v>87</v>
      </c>
      <c r="E743" s="7">
        <f t="shared" si="121"/>
        <v>56</v>
      </c>
      <c r="F743" s="7">
        <f t="shared" si="116"/>
        <v>66</v>
      </c>
      <c r="G743" s="9" t="s">
        <v>16</v>
      </c>
      <c r="H743" s="27" t="str">
        <f t="shared" si="117"/>
        <v>Normal</v>
      </c>
      <c r="I743" s="156"/>
      <c r="J743" s="7">
        <f t="shared" si="118"/>
        <v>0</v>
      </c>
      <c r="K743" s="14">
        <v>45</v>
      </c>
      <c r="L743" s="117">
        <v>46227</v>
      </c>
      <c r="M743" s="118">
        <v>31.4</v>
      </c>
      <c r="N743" s="187"/>
    </row>
    <row r="744" spans="1:14" x14ac:dyDescent="0.35">
      <c r="A744" s="24"/>
      <c r="B744" s="153"/>
      <c r="C744" s="153"/>
      <c r="D744" s="10" t="s">
        <v>88</v>
      </c>
      <c r="E744" s="7">
        <f t="shared" si="121"/>
        <v>41</v>
      </c>
      <c r="F744" s="7">
        <f t="shared" si="116"/>
        <v>51</v>
      </c>
      <c r="G744" s="9" t="s">
        <v>16</v>
      </c>
      <c r="H744" s="27" t="str">
        <f t="shared" si="117"/>
        <v>Normal</v>
      </c>
      <c r="I744" s="156"/>
      <c r="J744" s="7">
        <f t="shared" si="118"/>
        <v>0</v>
      </c>
      <c r="K744" s="14">
        <v>30</v>
      </c>
      <c r="L744" s="117">
        <v>46227</v>
      </c>
      <c r="M744" s="118">
        <v>29.2</v>
      </c>
      <c r="N744" s="187"/>
    </row>
    <row r="745" spans="1:14" x14ac:dyDescent="0.35">
      <c r="A745" s="24"/>
      <c r="B745" s="153"/>
      <c r="C745" s="153"/>
      <c r="D745" s="10" t="s">
        <v>88</v>
      </c>
      <c r="E745" s="7">
        <f t="shared" si="121"/>
        <v>41</v>
      </c>
      <c r="F745" s="7">
        <f t="shared" si="116"/>
        <v>51</v>
      </c>
      <c r="G745" s="9" t="s">
        <v>16</v>
      </c>
      <c r="H745" s="27" t="str">
        <f t="shared" si="117"/>
        <v>Normal</v>
      </c>
      <c r="I745" s="156"/>
      <c r="J745" s="7">
        <f t="shared" si="118"/>
        <v>0</v>
      </c>
      <c r="K745" s="14">
        <v>30</v>
      </c>
      <c r="L745" s="117">
        <v>46227</v>
      </c>
      <c r="M745" s="118">
        <v>28.9</v>
      </c>
      <c r="N745" s="187"/>
    </row>
    <row r="746" spans="1:14" x14ac:dyDescent="0.35">
      <c r="A746" s="24"/>
      <c r="B746" s="153"/>
      <c r="C746" s="153"/>
      <c r="D746" s="10" t="s">
        <v>89</v>
      </c>
      <c r="E746" s="7">
        <f t="shared" si="121"/>
        <v>41</v>
      </c>
      <c r="F746" s="7">
        <f t="shared" si="116"/>
        <v>51</v>
      </c>
      <c r="G746" s="9" t="s">
        <v>16</v>
      </c>
      <c r="H746" s="27" t="str">
        <f t="shared" si="117"/>
        <v>Normal</v>
      </c>
      <c r="I746" s="156"/>
      <c r="J746" s="7">
        <f t="shared" si="118"/>
        <v>0</v>
      </c>
      <c r="K746" s="14">
        <v>30</v>
      </c>
      <c r="L746" s="117">
        <v>46227</v>
      </c>
      <c r="M746" s="118">
        <v>27.6</v>
      </c>
      <c r="N746" s="187"/>
    </row>
    <row r="747" spans="1:14" x14ac:dyDescent="0.35">
      <c r="A747" s="25"/>
      <c r="B747" s="154"/>
      <c r="C747" s="154"/>
      <c r="D747" s="10" t="s">
        <v>90</v>
      </c>
      <c r="E747" s="7">
        <f t="shared" si="121"/>
        <v>41</v>
      </c>
      <c r="F747" s="7">
        <f t="shared" si="116"/>
        <v>51</v>
      </c>
      <c r="G747" s="9" t="s">
        <v>16</v>
      </c>
      <c r="H747" s="27" t="str">
        <f t="shared" si="117"/>
        <v>Normal</v>
      </c>
      <c r="I747" s="157"/>
      <c r="J747" s="7">
        <f t="shared" si="118"/>
        <v>0</v>
      </c>
      <c r="K747" s="14">
        <v>30</v>
      </c>
      <c r="L747" s="117">
        <v>46227</v>
      </c>
      <c r="M747" s="118">
        <v>28</v>
      </c>
      <c r="N747" s="187"/>
    </row>
    <row r="748" spans="1:14" ht="15" customHeight="1" x14ac:dyDescent="0.35">
      <c r="A748" s="18">
        <v>0</v>
      </c>
      <c r="B748" s="152" t="s">
        <v>108</v>
      </c>
      <c r="C748" s="152" t="s">
        <v>109</v>
      </c>
      <c r="D748" s="8" t="s">
        <v>15</v>
      </c>
      <c r="E748" s="7">
        <f t="shared" si="121"/>
        <v>56</v>
      </c>
      <c r="F748" s="7">
        <f t="shared" si="116"/>
        <v>66</v>
      </c>
      <c r="G748" s="9" t="s">
        <v>16</v>
      </c>
      <c r="H748" s="27" t="str">
        <f t="shared" ref="H748:H756" si="122">IF(J748="",("-"),(IF(J748="STD BY",("STD BY"),(IF(J748="N/A",("N/A"),(IF(J748&lt;5,("Normal"),(IF(J748&lt;11,("Low"),(IF(J748&lt;21,("Medium"),(IF(J748&lt;41,("High"),("Critical"))))))))))))))</f>
        <v>Normal</v>
      </c>
      <c r="I748" s="155" t="str">
        <f>IF(COUNTIF(H748:H756,"-")&gt;0,("-"),(IF(COUNTIF(H748:H756,"STD BY")&gt;0,("STD BY"),(IF(COUNTIF(H748:H756,"N/A")&gt;0,("N/A"),(IF(COUNTIF(H748:H756,"Critical")&gt;0,("Critical"),(IF(COUNTIF(H748:H756,"High")&gt;0,("High"),(IF(COUNTIF(H748:H756,"Medium")&gt;0,("Medium"),(IF(COUNTIF(H748:H756,"Low")&gt;0,("Low"),("Normal"))))))))))))))</f>
        <v>Normal</v>
      </c>
      <c r="J748" s="7">
        <f t="shared" ref="J748:J756" si="123">IF(M748="",(""),(IF(M748="STD BY",("STD BY"),(IF(M748="N/A",("N/A"),(IF(M748-K748&gt;0,(M748-K748),(0))))))))</f>
        <v>0</v>
      </c>
      <c r="K748" s="14">
        <v>45</v>
      </c>
      <c r="L748" s="4">
        <v>46226</v>
      </c>
      <c r="M748" s="3">
        <v>39.799999999999997</v>
      </c>
      <c r="N748" s="187" t="s">
        <v>372</v>
      </c>
    </row>
    <row r="749" spans="1:14" x14ac:dyDescent="0.35">
      <c r="A749" s="19"/>
      <c r="B749" s="153"/>
      <c r="C749" s="153"/>
      <c r="D749" s="10" t="s">
        <v>17</v>
      </c>
      <c r="E749" s="7">
        <f t="shared" si="121"/>
        <v>51</v>
      </c>
      <c r="F749" s="7">
        <f t="shared" si="116"/>
        <v>61</v>
      </c>
      <c r="G749" s="9" t="s">
        <v>16</v>
      </c>
      <c r="H749" s="27" t="str">
        <f t="shared" si="122"/>
        <v>Normal</v>
      </c>
      <c r="I749" s="156"/>
      <c r="J749" s="7">
        <f t="shared" si="123"/>
        <v>0</v>
      </c>
      <c r="K749" s="14">
        <v>40</v>
      </c>
      <c r="L749" s="4">
        <v>46226</v>
      </c>
      <c r="M749" s="3">
        <v>37.9</v>
      </c>
      <c r="N749" s="187"/>
    </row>
    <row r="750" spans="1:14" x14ac:dyDescent="0.35">
      <c r="A750" s="19"/>
      <c r="B750" s="153"/>
      <c r="C750" s="153"/>
      <c r="D750" s="10" t="s">
        <v>18</v>
      </c>
      <c r="E750" s="7">
        <f t="shared" si="121"/>
        <v>56</v>
      </c>
      <c r="F750" s="7">
        <f t="shared" si="116"/>
        <v>66</v>
      </c>
      <c r="G750" s="9" t="s">
        <v>16</v>
      </c>
      <c r="H750" s="27" t="str">
        <f t="shared" si="122"/>
        <v>Normal</v>
      </c>
      <c r="I750" s="156"/>
      <c r="J750" s="7">
        <f t="shared" si="123"/>
        <v>0</v>
      </c>
      <c r="K750" s="14">
        <v>45</v>
      </c>
      <c r="L750" s="4">
        <v>46226</v>
      </c>
      <c r="M750" s="3">
        <v>36.799999999999997</v>
      </c>
      <c r="N750" s="187"/>
    </row>
    <row r="751" spans="1:14" x14ac:dyDescent="0.35">
      <c r="A751" s="19"/>
      <c r="B751" s="153"/>
      <c r="C751" s="153"/>
      <c r="D751" s="10" t="s">
        <v>86</v>
      </c>
      <c r="E751" s="7">
        <f t="shared" si="121"/>
        <v>56</v>
      </c>
      <c r="F751" s="7">
        <f t="shared" si="116"/>
        <v>66</v>
      </c>
      <c r="G751" s="9" t="s">
        <v>16</v>
      </c>
      <c r="H751" s="27" t="str">
        <f t="shared" si="122"/>
        <v>Normal</v>
      </c>
      <c r="I751" s="156"/>
      <c r="J751" s="7">
        <f t="shared" si="123"/>
        <v>0</v>
      </c>
      <c r="K751" s="14">
        <v>45</v>
      </c>
      <c r="L751" s="4">
        <v>46226</v>
      </c>
      <c r="M751" s="3">
        <v>35.799999999999997</v>
      </c>
      <c r="N751" s="187"/>
    </row>
    <row r="752" spans="1:14" x14ac:dyDescent="0.35">
      <c r="A752" s="19"/>
      <c r="B752" s="153"/>
      <c r="C752" s="153"/>
      <c r="D752" s="10" t="s">
        <v>87</v>
      </c>
      <c r="E752" s="7">
        <f t="shared" si="121"/>
        <v>56</v>
      </c>
      <c r="F752" s="7">
        <f t="shared" si="116"/>
        <v>66</v>
      </c>
      <c r="G752" s="9" t="s">
        <v>16</v>
      </c>
      <c r="H752" s="27" t="str">
        <f t="shared" si="122"/>
        <v>Normal</v>
      </c>
      <c r="I752" s="156"/>
      <c r="J752" s="7">
        <f t="shared" si="123"/>
        <v>0</v>
      </c>
      <c r="K752" s="14">
        <v>45</v>
      </c>
      <c r="L752" s="4">
        <v>46226</v>
      </c>
      <c r="M752" s="3">
        <v>39.9</v>
      </c>
      <c r="N752" s="187"/>
    </row>
    <row r="753" spans="1:14" x14ac:dyDescent="0.35">
      <c r="A753" s="19"/>
      <c r="B753" s="153"/>
      <c r="C753" s="153"/>
      <c r="D753" s="10" t="s">
        <v>88</v>
      </c>
      <c r="E753" s="7">
        <f t="shared" si="121"/>
        <v>41</v>
      </c>
      <c r="F753" s="7">
        <f t="shared" si="116"/>
        <v>51</v>
      </c>
      <c r="G753" s="9" t="s">
        <v>16</v>
      </c>
      <c r="H753" s="27" t="str">
        <f t="shared" si="122"/>
        <v>Normal</v>
      </c>
      <c r="I753" s="156"/>
      <c r="J753" s="7">
        <f t="shared" si="123"/>
        <v>0</v>
      </c>
      <c r="K753" s="14">
        <v>30</v>
      </c>
      <c r="L753" s="4">
        <v>46226</v>
      </c>
      <c r="M753" s="3">
        <v>29.6</v>
      </c>
      <c r="N753" s="187"/>
    </row>
    <row r="754" spans="1:14" x14ac:dyDescent="0.35">
      <c r="A754" s="19"/>
      <c r="B754" s="153"/>
      <c r="C754" s="153"/>
      <c r="D754" s="10" t="s">
        <v>88</v>
      </c>
      <c r="E754" s="7">
        <f t="shared" si="121"/>
        <v>41</v>
      </c>
      <c r="F754" s="7">
        <f t="shared" si="116"/>
        <v>51</v>
      </c>
      <c r="G754" s="9" t="s">
        <v>16</v>
      </c>
      <c r="H754" s="27" t="str">
        <f t="shared" si="122"/>
        <v>Normal</v>
      </c>
      <c r="I754" s="156"/>
      <c r="J754" s="7">
        <f t="shared" si="123"/>
        <v>0</v>
      </c>
      <c r="K754" s="14">
        <v>30</v>
      </c>
      <c r="L754" s="4">
        <v>46226</v>
      </c>
      <c r="M754" s="3">
        <v>29.6</v>
      </c>
      <c r="N754" s="187"/>
    </row>
    <row r="755" spans="1:14" x14ac:dyDescent="0.35">
      <c r="A755" s="19"/>
      <c r="B755" s="153"/>
      <c r="C755" s="153"/>
      <c r="D755" s="10" t="s">
        <v>89</v>
      </c>
      <c r="E755" s="7">
        <f t="shared" si="121"/>
        <v>41</v>
      </c>
      <c r="F755" s="7">
        <f t="shared" si="116"/>
        <v>51</v>
      </c>
      <c r="G755" s="9" t="s">
        <v>16</v>
      </c>
      <c r="H755" s="27" t="str">
        <f t="shared" si="122"/>
        <v>Normal</v>
      </c>
      <c r="I755" s="156"/>
      <c r="J755" s="7">
        <f t="shared" si="123"/>
        <v>0</v>
      </c>
      <c r="K755" s="14">
        <v>30</v>
      </c>
      <c r="L755" s="4">
        <v>46226</v>
      </c>
      <c r="M755" s="3">
        <v>27</v>
      </c>
      <c r="N755" s="187"/>
    </row>
    <row r="756" spans="1:14" x14ac:dyDescent="0.35">
      <c r="A756" s="19"/>
      <c r="B756" s="154"/>
      <c r="C756" s="154"/>
      <c r="D756" s="10" t="s">
        <v>90</v>
      </c>
      <c r="E756" s="7">
        <f t="shared" si="121"/>
        <v>41</v>
      </c>
      <c r="F756" s="7">
        <f t="shared" si="116"/>
        <v>51</v>
      </c>
      <c r="G756" s="9" t="s">
        <v>16</v>
      </c>
      <c r="H756" s="27" t="str">
        <f t="shared" si="122"/>
        <v>Normal</v>
      </c>
      <c r="I756" s="157"/>
      <c r="J756" s="7">
        <f t="shared" si="123"/>
        <v>0</v>
      </c>
      <c r="K756" s="14">
        <v>30</v>
      </c>
      <c r="L756" s="4">
        <v>46226</v>
      </c>
      <c r="M756" s="3">
        <v>26.1</v>
      </c>
      <c r="N756" s="187"/>
    </row>
    <row r="757" spans="1:14" ht="15" customHeight="1" x14ac:dyDescent="0.35">
      <c r="A757" s="23">
        <v>0</v>
      </c>
      <c r="B757" s="152" t="s">
        <v>110</v>
      </c>
      <c r="C757" s="152" t="s">
        <v>111</v>
      </c>
      <c r="D757" s="8" t="s">
        <v>15</v>
      </c>
      <c r="E757" s="7">
        <f t="shared" si="121"/>
        <v>61</v>
      </c>
      <c r="F757" s="7">
        <f t="shared" si="116"/>
        <v>71</v>
      </c>
      <c r="G757" s="9" t="s">
        <v>16</v>
      </c>
      <c r="H757" s="27" t="str">
        <f t="shared" si="117"/>
        <v>Normal</v>
      </c>
      <c r="I757" s="155" t="str">
        <f>IF(COUNTIF(H757:H764,"-")&gt;0,("-"),(IF(COUNTIF(H757:H764,"STD BY")&gt;0,("STD BY"),(IF(COUNTIF(H757:H764,"N/A")&gt;0,("N/A"),(IF(COUNTIF(H757:H764,"Critical")&gt;0,("Critical"),(IF(COUNTIF(H757:H764,"High")&gt;0,("High"),(IF(COUNTIF(H757:H764,"Medium")&gt;0,("Medium"),(IF(COUNTIF(H757:H764,"Low")&gt;0,("Low"),("Normal"))))))))))))))</f>
        <v>Normal</v>
      </c>
      <c r="J757" s="7">
        <f t="shared" ref="J757:J776" si="124">IF(M757="",(""),(IF(M757="STD BY",("STD BY"),(IF(M757="N/A",("N/A"),(IF(M757-K757&gt;0,(M757-K757),(0))))))))</f>
        <v>0</v>
      </c>
      <c r="K757" s="14">
        <v>50</v>
      </c>
      <c r="L757" s="4">
        <v>46226</v>
      </c>
      <c r="M757" s="3">
        <v>39.4</v>
      </c>
      <c r="N757" s="187" t="s">
        <v>372</v>
      </c>
    </row>
    <row r="758" spans="1:14" x14ac:dyDescent="0.35">
      <c r="A758" s="19"/>
      <c r="B758" s="153"/>
      <c r="C758" s="153"/>
      <c r="D758" s="10" t="s">
        <v>17</v>
      </c>
      <c r="E758" s="7">
        <f t="shared" ref="E758:E763" si="125">(K759+11)</f>
        <v>61</v>
      </c>
      <c r="F758" s="7">
        <f t="shared" si="116"/>
        <v>71</v>
      </c>
      <c r="G758" s="9" t="s">
        <v>16</v>
      </c>
      <c r="H758" s="27" t="str">
        <f t="shared" si="117"/>
        <v>Normal</v>
      </c>
      <c r="I758" s="156"/>
      <c r="J758" s="7">
        <f t="shared" si="124"/>
        <v>0</v>
      </c>
      <c r="K758" s="14">
        <v>40</v>
      </c>
      <c r="L758" s="4">
        <v>46226</v>
      </c>
      <c r="M758" s="3">
        <v>34.200000000000003</v>
      </c>
      <c r="N758" s="187"/>
    </row>
    <row r="759" spans="1:14" x14ac:dyDescent="0.35">
      <c r="A759" s="19"/>
      <c r="B759" s="153"/>
      <c r="C759" s="153"/>
      <c r="D759" s="10" t="s">
        <v>18</v>
      </c>
      <c r="E759" s="7">
        <f t="shared" si="125"/>
        <v>71</v>
      </c>
      <c r="F759" s="7">
        <f t="shared" si="116"/>
        <v>81</v>
      </c>
      <c r="G759" s="9" t="s">
        <v>16</v>
      </c>
      <c r="H759" s="27" t="str">
        <f t="shared" si="117"/>
        <v>Normal</v>
      </c>
      <c r="I759" s="156"/>
      <c r="J759" s="7">
        <f t="shared" si="124"/>
        <v>0</v>
      </c>
      <c r="K759" s="14">
        <v>50</v>
      </c>
      <c r="L759" s="4">
        <v>46226</v>
      </c>
      <c r="M759" s="3">
        <v>33.9</v>
      </c>
      <c r="N759" s="187"/>
    </row>
    <row r="760" spans="1:14" x14ac:dyDescent="0.35">
      <c r="A760" s="19"/>
      <c r="B760" s="153"/>
      <c r="C760" s="153"/>
      <c r="D760" s="10" t="s">
        <v>112</v>
      </c>
      <c r="E760" s="7">
        <f t="shared" si="125"/>
        <v>71</v>
      </c>
      <c r="F760" s="7">
        <f t="shared" si="116"/>
        <v>81</v>
      </c>
      <c r="G760" s="9" t="s">
        <v>16</v>
      </c>
      <c r="H760" s="27" t="str">
        <f t="shared" si="117"/>
        <v>Normal</v>
      </c>
      <c r="I760" s="156"/>
      <c r="J760" s="7">
        <f t="shared" si="124"/>
        <v>0</v>
      </c>
      <c r="K760" s="14">
        <v>60</v>
      </c>
      <c r="L760" s="4">
        <v>46226</v>
      </c>
      <c r="M760" s="3">
        <v>36</v>
      </c>
      <c r="N760" s="187"/>
    </row>
    <row r="761" spans="1:14" x14ac:dyDescent="0.35">
      <c r="A761" s="19"/>
      <c r="B761" s="153"/>
      <c r="C761" s="153"/>
      <c r="D761" s="10" t="s">
        <v>113</v>
      </c>
      <c r="E761" s="7">
        <f t="shared" si="125"/>
        <v>51</v>
      </c>
      <c r="F761" s="7">
        <f t="shared" si="116"/>
        <v>61</v>
      </c>
      <c r="G761" s="9" t="s">
        <v>16</v>
      </c>
      <c r="H761" s="27" t="str">
        <f t="shared" ref="H761:H776" si="126">IF(J761="",("-"),(IF(J761="STD BY",("STD BY"),(IF(J761="N/A",("N/A"),(IF(J761&lt;5,("Normal"),(IF(J761&lt;11,("Low"),(IF(J761&lt;21,("Medium"),(IF(J761&lt;41,("High"),("Critical"))))))))))))))</f>
        <v>Normal</v>
      </c>
      <c r="I761" s="156"/>
      <c r="J761" s="7">
        <f t="shared" si="124"/>
        <v>0</v>
      </c>
      <c r="K761" s="14">
        <v>60</v>
      </c>
      <c r="L761" s="4">
        <v>46226</v>
      </c>
      <c r="M761" s="3">
        <v>43.1</v>
      </c>
      <c r="N761" s="187"/>
    </row>
    <row r="762" spans="1:14" x14ac:dyDescent="0.35">
      <c r="A762" s="19"/>
      <c r="B762" s="153"/>
      <c r="C762" s="153"/>
      <c r="D762" s="10" t="s">
        <v>33</v>
      </c>
      <c r="E762" s="7">
        <f t="shared" si="125"/>
        <v>46</v>
      </c>
      <c r="F762" s="7">
        <f t="shared" si="116"/>
        <v>56</v>
      </c>
      <c r="G762" s="9" t="s">
        <v>16</v>
      </c>
      <c r="H762" s="27" t="str">
        <f t="shared" si="126"/>
        <v>Normal</v>
      </c>
      <c r="I762" s="156"/>
      <c r="J762" s="7">
        <f t="shared" si="124"/>
        <v>0</v>
      </c>
      <c r="K762" s="14">
        <v>40</v>
      </c>
      <c r="L762" s="4">
        <v>46226</v>
      </c>
      <c r="M762" s="3">
        <v>32</v>
      </c>
      <c r="N762" s="187"/>
    </row>
    <row r="763" spans="1:14" x14ac:dyDescent="0.35">
      <c r="A763" s="19"/>
      <c r="B763" s="153"/>
      <c r="C763" s="153"/>
      <c r="D763" s="10" t="s">
        <v>34</v>
      </c>
      <c r="E763" s="7">
        <f t="shared" si="125"/>
        <v>46</v>
      </c>
      <c r="F763" s="7">
        <f t="shared" si="116"/>
        <v>56</v>
      </c>
      <c r="G763" s="9" t="s">
        <v>16</v>
      </c>
      <c r="H763" s="27" t="str">
        <f t="shared" si="126"/>
        <v>Normal</v>
      </c>
      <c r="I763" s="156"/>
      <c r="J763" s="7">
        <f t="shared" si="124"/>
        <v>0</v>
      </c>
      <c r="K763" s="14">
        <v>35</v>
      </c>
      <c r="L763" s="4">
        <v>46226</v>
      </c>
      <c r="M763" s="3">
        <v>32.4</v>
      </c>
      <c r="N763" s="187"/>
    </row>
    <row r="764" spans="1:14" x14ac:dyDescent="0.35">
      <c r="A764" s="20"/>
      <c r="B764" s="154"/>
      <c r="C764" s="154"/>
      <c r="D764" s="10" t="s">
        <v>35</v>
      </c>
      <c r="E764" s="7">
        <f>(K764+11)</f>
        <v>46</v>
      </c>
      <c r="F764" s="7">
        <f t="shared" si="116"/>
        <v>56</v>
      </c>
      <c r="G764" s="9" t="s">
        <v>16</v>
      </c>
      <c r="H764" s="27" t="str">
        <f t="shared" si="126"/>
        <v>Normal</v>
      </c>
      <c r="I764" s="157"/>
      <c r="J764" s="7">
        <f t="shared" si="124"/>
        <v>0</v>
      </c>
      <c r="K764" s="14">
        <v>35</v>
      </c>
      <c r="L764" s="4">
        <v>46226</v>
      </c>
      <c r="M764" s="3">
        <v>33.700000000000003</v>
      </c>
      <c r="N764" s="187"/>
    </row>
    <row r="765" spans="1:14" ht="14.5" customHeight="1" x14ac:dyDescent="0.35">
      <c r="A765" s="18">
        <v>0</v>
      </c>
      <c r="B765" s="152" t="s">
        <v>114</v>
      </c>
      <c r="C765" s="152" t="s">
        <v>115</v>
      </c>
      <c r="D765" s="8" t="s">
        <v>15</v>
      </c>
      <c r="E765" s="7">
        <f t="shared" ref="E765:E771" si="127">(K765+11)</f>
        <v>61</v>
      </c>
      <c r="F765" s="7">
        <f t="shared" si="116"/>
        <v>71</v>
      </c>
      <c r="G765" s="9" t="s">
        <v>16</v>
      </c>
      <c r="H765" s="27" t="str">
        <f t="shared" ref="H765:H772" si="128">IF(J765="",("-"),(IF(J765="STD BY",("STD BY"),(IF(J765="N/A",("N/A"),(IF(J765&lt;5,("Normal"),(IF(J765&lt;11,("Low"),(IF(J765&lt;21,("Medium"),(IF(J765&lt;41,("High"),("Critical"))))))))))))))</f>
        <v>Normal</v>
      </c>
      <c r="I765" s="155" t="str">
        <f>IF(COUNTIF(H765:H772,"-")&gt;0,("-"),(IF(COUNTIF(H765:H772,"STD BY")&gt;0,("STD BY"),(IF(COUNTIF(H765:H772,"N/A")&gt;0,("N/A"),(IF(COUNTIF(H765:H772,"Critical")&gt;0,("Critical"),(IF(COUNTIF(H765:H772,"High")&gt;0,("High"),(IF(COUNTIF(H765:H772,"Medium")&gt;0,("Medium"),(IF(COUNTIF(H765:H772,"Low")&gt;0,("Low"),("Normal"))))))))))))))</f>
        <v>Normal</v>
      </c>
      <c r="J765" s="7">
        <f t="shared" ref="J765:J772" si="129">IF(M765="",(""),(IF(M765="STD BY",("STD BY"),(IF(M765="N/A",("N/A"),(IF(M765-K765&gt;0,(M765-K765),(0))))))))</f>
        <v>0</v>
      </c>
      <c r="K765" s="14">
        <v>50</v>
      </c>
      <c r="L765" s="4">
        <v>46226</v>
      </c>
      <c r="M765" s="3">
        <v>40.5</v>
      </c>
      <c r="N765" s="187" t="s">
        <v>372</v>
      </c>
    </row>
    <row r="766" spans="1:14" x14ac:dyDescent="0.35">
      <c r="A766" s="19"/>
      <c r="B766" s="153"/>
      <c r="C766" s="153"/>
      <c r="D766" s="10" t="s">
        <v>17</v>
      </c>
      <c r="E766" s="7">
        <f t="shared" si="127"/>
        <v>51</v>
      </c>
      <c r="F766" s="7">
        <f t="shared" si="116"/>
        <v>61</v>
      </c>
      <c r="G766" s="9" t="s">
        <v>16</v>
      </c>
      <c r="H766" s="27" t="str">
        <f t="shared" si="128"/>
        <v>Normal</v>
      </c>
      <c r="I766" s="156"/>
      <c r="J766" s="7">
        <f t="shared" si="129"/>
        <v>0</v>
      </c>
      <c r="K766" s="14">
        <v>40</v>
      </c>
      <c r="L766" s="4">
        <v>46226</v>
      </c>
      <c r="M766" s="3">
        <v>35.9</v>
      </c>
      <c r="N766" s="187"/>
    </row>
    <row r="767" spans="1:14" x14ac:dyDescent="0.35">
      <c r="A767" s="19"/>
      <c r="B767" s="153"/>
      <c r="C767" s="153"/>
      <c r="D767" s="10" t="s">
        <v>18</v>
      </c>
      <c r="E767" s="7">
        <f t="shared" si="127"/>
        <v>61</v>
      </c>
      <c r="F767" s="7">
        <f t="shared" si="116"/>
        <v>71</v>
      </c>
      <c r="G767" s="9" t="s">
        <v>16</v>
      </c>
      <c r="H767" s="27" t="str">
        <f t="shared" si="128"/>
        <v>Normal</v>
      </c>
      <c r="I767" s="156"/>
      <c r="J767" s="7">
        <f t="shared" si="129"/>
        <v>0</v>
      </c>
      <c r="K767" s="14">
        <v>50</v>
      </c>
      <c r="L767" s="4">
        <v>46226</v>
      </c>
      <c r="M767" s="3">
        <v>38</v>
      </c>
      <c r="N767" s="187"/>
    </row>
    <row r="768" spans="1:14" x14ac:dyDescent="0.35">
      <c r="A768" s="19"/>
      <c r="B768" s="153"/>
      <c r="C768" s="153"/>
      <c r="D768" s="10" t="s">
        <v>112</v>
      </c>
      <c r="E768" s="7">
        <f t="shared" si="127"/>
        <v>71</v>
      </c>
      <c r="F768" s="7">
        <f t="shared" si="116"/>
        <v>81</v>
      </c>
      <c r="G768" s="9" t="s">
        <v>16</v>
      </c>
      <c r="H768" s="27" t="str">
        <f t="shared" si="128"/>
        <v>Normal</v>
      </c>
      <c r="I768" s="156"/>
      <c r="J768" s="7">
        <f t="shared" si="129"/>
        <v>0</v>
      </c>
      <c r="K768" s="14">
        <v>60</v>
      </c>
      <c r="L768" s="4">
        <v>46226</v>
      </c>
      <c r="M768" s="3">
        <v>34.799999999999997</v>
      </c>
      <c r="N768" s="187"/>
    </row>
    <row r="769" spans="1:14" x14ac:dyDescent="0.35">
      <c r="A769" s="19"/>
      <c r="B769" s="153"/>
      <c r="C769" s="153"/>
      <c r="D769" s="10" t="s">
        <v>113</v>
      </c>
      <c r="E769" s="7">
        <f t="shared" si="127"/>
        <v>71</v>
      </c>
      <c r="F769" s="7">
        <f t="shared" ref="F769:F801" si="130">(E769+10)</f>
        <v>81</v>
      </c>
      <c r="G769" s="9" t="s">
        <v>16</v>
      </c>
      <c r="H769" s="27" t="str">
        <f t="shared" si="128"/>
        <v>Normal</v>
      </c>
      <c r="I769" s="156"/>
      <c r="J769" s="7">
        <f t="shared" si="129"/>
        <v>0</v>
      </c>
      <c r="K769" s="14">
        <v>60</v>
      </c>
      <c r="L769" s="4">
        <v>46226</v>
      </c>
      <c r="M769" s="3">
        <v>37.9</v>
      </c>
      <c r="N769" s="187"/>
    </row>
    <row r="770" spans="1:14" x14ac:dyDescent="0.35">
      <c r="A770" s="19"/>
      <c r="B770" s="153"/>
      <c r="C770" s="153"/>
      <c r="D770" s="10" t="s">
        <v>33</v>
      </c>
      <c r="E770" s="7">
        <f t="shared" si="127"/>
        <v>46</v>
      </c>
      <c r="F770" s="7">
        <f t="shared" si="130"/>
        <v>56</v>
      </c>
      <c r="G770" s="9" t="s">
        <v>16</v>
      </c>
      <c r="H770" s="27" t="str">
        <f t="shared" si="128"/>
        <v>Normal</v>
      </c>
      <c r="I770" s="156"/>
      <c r="J770" s="7">
        <f t="shared" si="129"/>
        <v>0</v>
      </c>
      <c r="K770" s="14">
        <v>35</v>
      </c>
      <c r="L770" s="4">
        <v>46226</v>
      </c>
      <c r="M770" s="3">
        <v>32.4</v>
      </c>
      <c r="N770" s="187"/>
    </row>
    <row r="771" spans="1:14" x14ac:dyDescent="0.35">
      <c r="A771" s="19"/>
      <c r="B771" s="153"/>
      <c r="C771" s="153"/>
      <c r="D771" s="10" t="s">
        <v>34</v>
      </c>
      <c r="E771" s="7">
        <f t="shared" si="127"/>
        <v>46</v>
      </c>
      <c r="F771" s="7">
        <f t="shared" si="130"/>
        <v>56</v>
      </c>
      <c r="G771" s="9" t="s">
        <v>16</v>
      </c>
      <c r="H771" s="27" t="str">
        <f t="shared" si="128"/>
        <v>Normal</v>
      </c>
      <c r="I771" s="156"/>
      <c r="J771" s="7">
        <f t="shared" si="129"/>
        <v>0</v>
      </c>
      <c r="K771" s="14">
        <v>35</v>
      </c>
      <c r="L771" s="4">
        <v>46226</v>
      </c>
      <c r="M771" s="3">
        <v>32.799999999999997</v>
      </c>
      <c r="N771" s="187"/>
    </row>
    <row r="772" spans="1:14" x14ac:dyDescent="0.35">
      <c r="A772" s="19"/>
      <c r="B772" s="154"/>
      <c r="C772" s="154"/>
      <c r="D772" s="10" t="s">
        <v>35</v>
      </c>
      <c r="E772" s="7">
        <f>(K772+11)</f>
        <v>46</v>
      </c>
      <c r="F772" s="7">
        <f t="shared" si="130"/>
        <v>56</v>
      </c>
      <c r="G772" s="9" t="s">
        <v>16</v>
      </c>
      <c r="H772" s="27" t="str">
        <f t="shared" si="128"/>
        <v>Normal</v>
      </c>
      <c r="I772" s="157"/>
      <c r="J772" s="7">
        <f t="shared" si="129"/>
        <v>0</v>
      </c>
      <c r="K772" s="14">
        <v>35</v>
      </c>
      <c r="L772" s="4">
        <v>46226</v>
      </c>
      <c r="M772" s="3">
        <v>32.799999999999997</v>
      </c>
      <c r="N772" s="187"/>
    </row>
    <row r="773" spans="1:14" ht="15" customHeight="1" x14ac:dyDescent="0.35">
      <c r="A773" s="23">
        <v>0</v>
      </c>
      <c r="B773" s="152" t="s">
        <v>116</v>
      </c>
      <c r="C773" s="152" t="s">
        <v>117</v>
      </c>
      <c r="D773" s="8" t="s">
        <v>15</v>
      </c>
      <c r="E773" s="7">
        <f t="shared" ref="E773:E780" si="131">(K773+11)</f>
        <v>51</v>
      </c>
      <c r="F773" s="7">
        <f t="shared" si="130"/>
        <v>61</v>
      </c>
      <c r="G773" s="9" t="s">
        <v>16</v>
      </c>
      <c r="H773" s="27" t="str">
        <f t="shared" si="126"/>
        <v>Normal</v>
      </c>
      <c r="I773" s="155" t="str">
        <f>IF(COUNTIF(H773:H776,"-")&gt;0,("-"),(IF(COUNTIF(H773:H776,"STD BY")&gt;0,("STD BY"),(IF(COUNTIF(H773:H776,"N/A")&gt;0,("N/A"),(IF(COUNTIF(H773:H776,"Critical")&gt;0,("Critical"),(IF(COUNTIF(H773:H776,"High")&gt;0,("High"),(IF(COUNTIF(H773:H776,"Medium")&gt;0,("Medium"),(IF(COUNTIF(H773:H776,"Low")&gt;0,("Low"),("Normal"))))))))))))))</f>
        <v>Normal</v>
      </c>
      <c r="J773" s="7">
        <f t="shared" si="124"/>
        <v>0</v>
      </c>
      <c r="K773" s="14">
        <v>40</v>
      </c>
      <c r="L773" s="4">
        <v>46226</v>
      </c>
      <c r="M773" s="3">
        <v>37.299999999999997</v>
      </c>
      <c r="N773" s="195" t="s">
        <v>372</v>
      </c>
    </row>
    <row r="774" spans="1:14" x14ac:dyDescent="0.35">
      <c r="A774" s="19"/>
      <c r="B774" s="153"/>
      <c r="C774" s="153"/>
      <c r="D774" s="10" t="s">
        <v>17</v>
      </c>
      <c r="E774" s="7">
        <f t="shared" si="131"/>
        <v>51</v>
      </c>
      <c r="F774" s="7">
        <f t="shared" si="130"/>
        <v>61</v>
      </c>
      <c r="G774" s="9" t="s">
        <v>16</v>
      </c>
      <c r="H774" s="27" t="str">
        <f t="shared" si="126"/>
        <v>Normal</v>
      </c>
      <c r="I774" s="156"/>
      <c r="J774" s="7">
        <f t="shared" si="124"/>
        <v>0</v>
      </c>
      <c r="K774" s="14">
        <v>40</v>
      </c>
      <c r="L774" s="4">
        <v>46226</v>
      </c>
      <c r="M774" s="3">
        <v>32.5</v>
      </c>
      <c r="N774" s="195"/>
    </row>
    <row r="775" spans="1:14" x14ac:dyDescent="0.35">
      <c r="A775" s="19"/>
      <c r="B775" s="153"/>
      <c r="C775" s="153"/>
      <c r="D775" s="10" t="s">
        <v>18</v>
      </c>
      <c r="E775" s="7">
        <f t="shared" si="131"/>
        <v>51</v>
      </c>
      <c r="F775" s="7">
        <f t="shared" si="130"/>
        <v>61</v>
      </c>
      <c r="G775" s="9" t="s">
        <v>16</v>
      </c>
      <c r="H775" s="27" t="str">
        <f t="shared" si="126"/>
        <v>Normal</v>
      </c>
      <c r="I775" s="156"/>
      <c r="J775" s="7">
        <f t="shared" si="124"/>
        <v>0</v>
      </c>
      <c r="K775" s="14">
        <v>40</v>
      </c>
      <c r="L775" s="4">
        <v>46226</v>
      </c>
      <c r="M775" s="3">
        <v>34.5</v>
      </c>
      <c r="N775" s="195"/>
    </row>
    <row r="776" spans="1:14" x14ac:dyDescent="0.35">
      <c r="A776" s="19"/>
      <c r="B776" s="154"/>
      <c r="C776" s="154"/>
      <c r="D776" s="10" t="s">
        <v>118</v>
      </c>
      <c r="E776" s="7">
        <f t="shared" si="131"/>
        <v>61</v>
      </c>
      <c r="F776" s="7">
        <f t="shared" si="130"/>
        <v>71</v>
      </c>
      <c r="G776" s="9" t="s">
        <v>16</v>
      </c>
      <c r="H776" s="27" t="str">
        <f t="shared" si="126"/>
        <v>Normal</v>
      </c>
      <c r="I776" s="157"/>
      <c r="J776" s="7">
        <f t="shared" si="124"/>
        <v>0</v>
      </c>
      <c r="K776" s="14">
        <v>50</v>
      </c>
      <c r="L776" s="4">
        <v>46226</v>
      </c>
      <c r="M776" s="3">
        <v>44.3</v>
      </c>
      <c r="N776" s="195"/>
    </row>
    <row r="777" spans="1:14" ht="15" customHeight="1" x14ac:dyDescent="0.35">
      <c r="A777" s="18">
        <v>0</v>
      </c>
      <c r="B777" s="152" t="s">
        <v>119</v>
      </c>
      <c r="C777" s="152" t="s">
        <v>120</v>
      </c>
      <c r="D777" s="8" t="s">
        <v>15</v>
      </c>
      <c r="E777" s="7">
        <f t="shared" si="131"/>
        <v>51</v>
      </c>
      <c r="F777" s="7">
        <f t="shared" si="130"/>
        <v>61</v>
      </c>
      <c r="G777" s="9" t="s">
        <v>16</v>
      </c>
      <c r="H777" s="27" t="str">
        <f>IF(J777="",("-"),(IF(J777="STD BY",("STD BY"),(IF(J777="N/A",("N/A"),(IF(J777&lt;5,("Normal"),(IF(J777&lt;11,("Low"),(IF(J777&lt;21,("Medium"),(IF(J777&lt;41,("High"),("Critical"))))))))))))))</f>
        <v>Normal</v>
      </c>
      <c r="I777" s="155" t="str">
        <f>IF(COUNTIF(H777:H780,"-")&gt;0,("-"),(IF(COUNTIF(H777:H780,"STD BY")&gt;0,("STD BY"),(IF(COUNTIF(H777:H780,"N/A")&gt;0,("N/A"),(IF(COUNTIF(H777:H780,"Critical")&gt;0,("Critical"),(IF(COUNTIF(H777:H780,"High")&gt;0,("High"),(IF(COUNTIF(H777:H780,"Medium")&gt;0,("Medium"),(IF(COUNTIF(H777:H780,"Low")&gt;0,("Low"),("Normal"))))))))))))))</f>
        <v>Normal</v>
      </c>
      <c r="J777" s="7">
        <f>IF(M777="",(""),(IF(M777="STD BY",("STD BY"),(IF(M777="N/A",("N/A"),(IF(M777-K777&gt;0,(M777-K777),(0))))))))</f>
        <v>0</v>
      </c>
      <c r="K777" s="14">
        <v>40</v>
      </c>
      <c r="L777" s="4">
        <v>46226</v>
      </c>
      <c r="M777" s="3">
        <v>38.9</v>
      </c>
      <c r="N777" s="195" t="s">
        <v>372</v>
      </c>
    </row>
    <row r="778" spans="1:14" x14ac:dyDescent="0.35">
      <c r="A778" s="24"/>
      <c r="B778" s="153"/>
      <c r="C778" s="153"/>
      <c r="D778" s="10" t="s">
        <v>17</v>
      </c>
      <c r="E778" s="7">
        <f t="shared" si="131"/>
        <v>51</v>
      </c>
      <c r="F778" s="7">
        <f t="shared" si="130"/>
        <v>61</v>
      </c>
      <c r="G778" s="9" t="s">
        <v>16</v>
      </c>
      <c r="H778" s="27" t="str">
        <f>IF(J778="",("-"),(IF(J778="STD BY",("STD BY"),(IF(J778="N/A",("N/A"),(IF(J778&lt;5,("Normal"),(IF(J778&lt;11,("Low"),(IF(J778&lt;21,("Medium"),(IF(J778&lt;41,("High"),("Critical"))))))))))))))</f>
        <v>Normal</v>
      </c>
      <c r="I778" s="156"/>
      <c r="J778" s="7">
        <f>IF(M778="",(""),(IF(M778="STD BY",("STD BY"),(IF(M778="N/A",("N/A"),(IF(M778-K778&gt;0,(M778-K778),(0))))))))</f>
        <v>0</v>
      </c>
      <c r="K778" s="14">
        <v>40</v>
      </c>
      <c r="L778" s="4">
        <v>46226</v>
      </c>
      <c r="M778" s="3">
        <v>33</v>
      </c>
      <c r="N778" s="195"/>
    </row>
    <row r="779" spans="1:14" x14ac:dyDescent="0.35">
      <c r="A779" s="24"/>
      <c r="B779" s="153"/>
      <c r="C779" s="153"/>
      <c r="D779" s="10" t="s">
        <v>18</v>
      </c>
      <c r="E779" s="7">
        <f t="shared" si="131"/>
        <v>51</v>
      </c>
      <c r="F779" s="7">
        <f t="shared" si="130"/>
        <v>61</v>
      </c>
      <c r="G779" s="9" t="s">
        <v>16</v>
      </c>
      <c r="H779" s="27" t="str">
        <f>IF(J779="",("-"),(IF(J779="STD BY",("STD BY"),(IF(J779="N/A",("N/A"),(IF(J779&lt;5,("Normal"),(IF(J779&lt;11,("Low"),(IF(J779&lt;21,("Medium"),(IF(J779&lt;41,("High"),("Critical"))))))))))))))</f>
        <v>Normal</v>
      </c>
      <c r="I779" s="156"/>
      <c r="J779" s="7">
        <f>IF(M779="",(""),(IF(M779="STD BY",("STD BY"),(IF(M779="N/A",("N/A"),(IF(M779-K779&gt;0,(M779-K779),(0))))))))</f>
        <v>0</v>
      </c>
      <c r="K779" s="7">
        <v>40</v>
      </c>
      <c r="L779" s="4">
        <v>46226</v>
      </c>
      <c r="M779" s="3">
        <v>35.1</v>
      </c>
      <c r="N779" s="195"/>
    </row>
    <row r="780" spans="1:14" x14ac:dyDescent="0.35">
      <c r="A780" s="24"/>
      <c r="B780" s="154"/>
      <c r="C780" s="154"/>
      <c r="D780" s="15" t="s">
        <v>118</v>
      </c>
      <c r="E780" s="16">
        <f t="shared" si="131"/>
        <v>61</v>
      </c>
      <c r="F780" s="16">
        <f t="shared" si="130"/>
        <v>71</v>
      </c>
      <c r="G780" s="17" t="s">
        <v>16</v>
      </c>
      <c r="H780" s="28" t="str">
        <f>IF(J780="",("-"),(IF(J780="STD BY",("STD BY"),(IF(J780="N/A",("N/A"),(IF(J780&lt;5,("Normal"),(IF(J780&lt;11,("Low"),(IF(J780&lt;21,("Medium"),(IF(J780&lt;41,("High"),("Critical"))))))))))))))</f>
        <v>Normal</v>
      </c>
      <c r="I780" s="157"/>
      <c r="J780" s="16">
        <f>IF(M780="",(""),(IF(M780="STD BY",("STD BY"),(IF(M780="N/A",("N/A"),(IF(M780-K780&gt;0,(M780-K780),(0))))))))</f>
        <v>0</v>
      </c>
      <c r="K780" s="14">
        <v>50</v>
      </c>
      <c r="L780" s="4">
        <v>46226</v>
      </c>
      <c r="M780" s="3">
        <v>46.1</v>
      </c>
      <c r="N780" s="195"/>
    </row>
    <row r="781" spans="1:14" ht="15" customHeight="1" x14ac:dyDescent="0.35">
      <c r="A781" s="23">
        <v>0</v>
      </c>
      <c r="B781" s="152" t="s">
        <v>182</v>
      </c>
      <c r="C781" s="152" t="s">
        <v>152</v>
      </c>
      <c r="D781" s="8" t="s">
        <v>15</v>
      </c>
      <c r="E781" s="7">
        <f>(K781+11)</f>
        <v>61</v>
      </c>
      <c r="F781" s="7">
        <f>(E781+10)</f>
        <v>71</v>
      </c>
      <c r="G781" s="9" t="s">
        <v>16</v>
      </c>
      <c r="H781" s="27" t="str">
        <f t="shared" ref="H781:H801" si="132">IF(J781="",("-"),(IF(J781="STD BY",("STD BY"),(IF(J781="N/A",("N/A"),(IF(J781&lt;5,("Normal"),(IF(J781&lt;11,("Low"),(IF(J781&lt;21,("Medium"),(IF(J781&lt;41,("High"),("Critical"))))))))))))))</f>
        <v>Normal</v>
      </c>
      <c r="I781" s="155" t="str">
        <f>IF(COUNTIF(H781:H785,"-")&gt;0,("-"),(IF(COUNTIF(H781:H785,"STD BY")&gt;0,("STD BY"),(IF(COUNTIF(H781:H785,"N/A")&gt;0,("N/A"),(IF(COUNTIF(H781:H785,"Critical")&gt;0,("Critical"),(IF(COUNTIF(H781:H785,"High")&gt;0,("High"),(IF(COUNTIF(H781:H785,"Medium")&gt;0,("Medium"),(IF(COUNTIF(H781:H785,"Low")&gt;0,("Low"),("Normal"))))))))))))))</f>
        <v>Normal</v>
      </c>
      <c r="J781" s="7">
        <f t="shared" ref="J781:J801" si="133">IF(M781="",(""),(IF(M781="STD BY",("STD BY"),(IF(M781="N/A",("N/A"),(IF(M781-K781&gt;0,(M781-K781),(0))))))))</f>
        <v>0</v>
      </c>
      <c r="K781" s="14">
        <v>50</v>
      </c>
      <c r="L781" s="117">
        <v>46227</v>
      </c>
      <c r="M781" s="118">
        <v>46.6</v>
      </c>
      <c r="N781" s="161" t="s">
        <v>372</v>
      </c>
    </row>
    <row r="782" spans="1:14" x14ac:dyDescent="0.35">
      <c r="A782" s="24"/>
      <c r="B782" s="153"/>
      <c r="C782" s="153"/>
      <c r="D782" s="10" t="s">
        <v>17</v>
      </c>
      <c r="E782" s="7">
        <f t="shared" ref="E782:E790" si="134">(K782+11)</f>
        <v>61</v>
      </c>
      <c r="F782" s="7">
        <f t="shared" si="130"/>
        <v>71</v>
      </c>
      <c r="G782" s="9" t="s">
        <v>16</v>
      </c>
      <c r="H782" s="27" t="str">
        <f t="shared" si="132"/>
        <v>Normal</v>
      </c>
      <c r="I782" s="156"/>
      <c r="J782" s="7">
        <f t="shared" si="133"/>
        <v>0</v>
      </c>
      <c r="K782" s="14">
        <v>50</v>
      </c>
      <c r="L782" s="117">
        <v>46227</v>
      </c>
      <c r="M782" s="118">
        <v>37.6</v>
      </c>
      <c r="N782" s="162"/>
    </row>
    <row r="783" spans="1:14" x14ac:dyDescent="0.35">
      <c r="A783" s="24"/>
      <c r="B783" s="153"/>
      <c r="C783" s="153"/>
      <c r="D783" s="10" t="s">
        <v>18</v>
      </c>
      <c r="E783" s="7">
        <f t="shared" si="134"/>
        <v>61</v>
      </c>
      <c r="F783" s="7">
        <f t="shared" si="130"/>
        <v>71</v>
      </c>
      <c r="G783" s="9" t="s">
        <v>16</v>
      </c>
      <c r="H783" s="27" t="str">
        <f t="shared" si="132"/>
        <v>Normal</v>
      </c>
      <c r="I783" s="156"/>
      <c r="J783" s="7">
        <f t="shared" si="133"/>
        <v>0</v>
      </c>
      <c r="K783" s="14">
        <v>50</v>
      </c>
      <c r="L783" s="117">
        <v>46227</v>
      </c>
      <c r="M783" s="118">
        <v>32.5</v>
      </c>
      <c r="N783" s="162"/>
    </row>
    <row r="784" spans="1:14" x14ac:dyDescent="0.35">
      <c r="A784" s="24"/>
      <c r="B784" s="153"/>
      <c r="C784" s="153"/>
      <c r="D784" s="10" t="s">
        <v>153</v>
      </c>
      <c r="E784" s="7">
        <f t="shared" si="134"/>
        <v>61</v>
      </c>
      <c r="F784" s="7">
        <f t="shared" si="130"/>
        <v>71</v>
      </c>
      <c r="G784" s="9" t="s">
        <v>16</v>
      </c>
      <c r="H784" s="27" t="str">
        <f t="shared" si="132"/>
        <v>Normal</v>
      </c>
      <c r="I784" s="156"/>
      <c r="J784" s="7">
        <f t="shared" si="133"/>
        <v>0</v>
      </c>
      <c r="K784" s="14">
        <v>50</v>
      </c>
      <c r="L784" s="117">
        <v>46227</v>
      </c>
      <c r="M784" s="118">
        <v>36.299999999999997</v>
      </c>
      <c r="N784" s="162"/>
    </row>
    <row r="785" spans="1:14" x14ac:dyDescent="0.35">
      <c r="A785" s="24"/>
      <c r="B785" s="154"/>
      <c r="C785" s="154"/>
      <c r="D785" s="10" t="s">
        <v>154</v>
      </c>
      <c r="E785" s="7">
        <f t="shared" si="134"/>
        <v>61</v>
      </c>
      <c r="F785" s="7">
        <f t="shared" si="130"/>
        <v>71</v>
      </c>
      <c r="G785" s="9" t="s">
        <v>16</v>
      </c>
      <c r="H785" s="27" t="str">
        <f t="shared" si="132"/>
        <v>Normal</v>
      </c>
      <c r="I785" s="157"/>
      <c r="J785" s="7">
        <f t="shared" si="133"/>
        <v>0</v>
      </c>
      <c r="K785" s="14">
        <v>50</v>
      </c>
      <c r="L785" s="117">
        <v>46227</v>
      </c>
      <c r="M785" s="118">
        <v>35.700000000000003</v>
      </c>
      <c r="N785" s="162"/>
    </row>
    <row r="786" spans="1:14" ht="15" customHeight="1" x14ac:dyDescent="0.35">
      <c r="A786" s="18">
        <v>0</v>
      </c>
      <c r="B786" s="152" t="s">
        <v>183</v>
      </c>
      <c r="C786" s="152" t="s">
        <v>155</v>
      </c>
      <c r="D786" s="8" t="s">
        <v>15</v>
      </c>
      <c r="E786" s="7">
        <f t="shared" si="134"/>
        <v>61</v>
      </c>
      <c r="F786" s="7">
        <f t="shared" si="130"/>
        <v>71</v>
      </c>
      <c r="G786" s="9" t="s">
        <v>16</v>
      </c>
      <c r="H786" s="27" t="str">
        <f t="shared" si="132"/>
        <v>Normal</v>
      </c>
      <c r="I786" s="155" t="str">
        <f>IF(COUNTIF(H786:H790,"-")&gt;0,("-"),(IF(COUNTIF(H786:H790,"STD BY")&gt;0,("STD BY"),(IF(COUNTIF(H786:H790,"N/A")&gt;0,("N/A"),(IF(COUNTIF(H786:H790,"Critical")&gt;0,("Critical"),(IF(COUNTIF(H786:H790,"High")&gt;0,("High"),(IF(COUNTIF(H786:H790,"Medium")&gt;0,("Medium"),(IF(COUNTIF(H786:H790,"Low")&gt;0,("Low"),("Normal"))))))))))))))</f>
        <v>Normal</v>
      </c>
      <c r="J786" s="7">
        <f t="shared" si="133"/>
        <v>0</v>
      </c>
      <c r="K786" s="7">
        <v>50</v>
      </c>
      <c r="L786" s="4">
        <v>46226</v>
      </c>
      <c r="M786" s="3">
        <v>47.1</v>
      </c>
      <c r="N786" s="161" t="s">
        <v>372</v>
      </c>
    </row>
    <row r="787" spans="1:14" x14ac:dyDescent="0.35">
      <c r="A787" s="24"/>
      <c r="B787" s="153"/>
      <c r="C787" s="153"/>
      <c r="D787" s="10" t="s">
        <v>17</v>
      </c>
      <c r="E787" s="7">
        <f t="shared" si="134"/>
        <v>61</v>
      </c>
      <c r="F787" s="7">
        <f t="shared" si="130"/>
        <v>71</v>
      </c>
      <c r="G787" s="9" t="s">
        <v>16</v>
      </c>
      <c r="H787" s="27" t="str">
        <f t="shared" si="132"/>
        <v>Normal</v>
      </c>
      <c r="I787" s="156"/>
      <c r="J787" s="7">
        <f t="shared" si="133"/>
        <v>0</v>
      </c>
      <c r="K787" s="7">
        <v>50</v>
      </c>
      <c r="L787" s="4">
        <v>46226</v>
      </c>
      <c r="M787" s="3">
        <v>39.200000000000003</v>
      </c>
      <c r="N787" s="162"/>
    </row>
    <row r="788" spans="1:14" x14ac:dyDescent="0.35">
      <c r="A788" s="24"/>
      <c r="B788" s="153"/>
      <c r="C788" s="153"/>
      <c r="D788" s="10" t="s">
        <v>18</v>
      </c>
      <c r="E788" s="7">
        <f t="shared" si="134"/>
        <v>61</v>
      </c>
      <c r="F788" s="7">
        <f t="shared" si="130"/>
        <v>71</v>
      </c>
      <c r="G788" s="9" t="s">
        <v>16</v>
      </c>
      <c r="H788" s="27" t="str">
        <f t="shared" si="132"/>
        <v>Normal</v>
      </c>
      <c r="I788" s="156"/>
      <c r="J788" s="7">
        <f t="shared" si="133"/>
        <v>0</v>
      </c>
      <c r="K788" s="7">
        <v>50</v>
      </c>
      <c r="L788" s="4">
        <v>46226</v>
      </c>
      <c r="M788" s="3">
        <v>43.4</v>
      </c>
      <c r="N788" s="162"/>
    </row>
    <row r="789" spans="1:14" x14ac:dyDescent="0.35">
      <c r="A789" s="24"/>
      <c r="B789" s="153"/>
      <c r="C789" s="153"/>
      <c r="D789" s="10" t="s">
        <v>153</v>
      </c>
      <c r="E789" s="7">
        <f t="shared" si="134"/>
        <v>61</v>
      </c>
      <c r="F789" s="7">
        <f t="shared" si="130"/>
        <v>71</v>
      </c>
      <c r="G789" s="9" t="s">
        <v>16</v>
      </c>
      <c r="H789" s="27" t="str">
        <f t="shared" si="132"/>
        <v>Normal</v>
      </c>
      <c r="I789" s="156"/>
      <c r="J789" s="7">
        <f t="shared" si="133"/>
        <v>0</v>
      </c>
      <c r="K789" s="7">
        <v>50</v>
      </c>
      <c r="L789" s="4">
        <v>46226</v>
      </c>
      <c r="M789" s="3">
        <v>37</v>
      </c>
      <c r="N789" s="162"/>
    </row>
    <row r="790" spans="1:14" x14ac:dyDescent="0.35">
      <c r="A790" s="25"/>
      <c r="B790" s="154"/>
      <c r="C790" s="154"/>
      <c r="D790" s="10" t="s">
        <v>154</v>
      </c>
      <c r="E790" s="7">
        <f t="shared" si="134"/>
        <v>61</v>
      </c>
      <c r="F790" s="7">
        <f t="shared" si="130"/>
        <v>71</v>
      </c>
      <c r="G790" s="9" t="s">
        <v>16</v>
      </c>
      <c r="H790" s="27" t="str">
        <f t="shared" si="132"/>
        <v>Normal</v>
      </c>
      <c r="I790" s="157"/>
      <c r="J790" s="7">
        <f t="shared" si="133"/>
        <v>0</v>
      </c>
      <c r="K790" s="7">
        <v>50</v>
      </c>
      <c r="L790" s="4">
        <v>46226</v>
      </c>
      <c r="M790" s="3">
        <v>36</v>
      </c>
      <c r="N790" s="162"/>
    </row>
    <row r="791" spans="1:14" ht="15" customHeight="1" x14ac:dyDescent="0.35">
      <c r="A791" s="23">
        <v>0</v>
      </c>
      <c r="B791" s="152" t="s">
        <v>184</v>
      </c>
      <c r="C791" s="152" t="s">
        <v>190</v>
      </c>
      <c r="D791" s="11" t="s">
        <v>47</v>
      </c>
      <c r="E791" s="7">
        <f>(K791+11)</f>
        <v>71</v>
      </c>
      <c r="F791" s="7">
        <f>(E791+10)</f>
        <v>81</v>
      </c>
      <c r="G791" s="9" t="s">
        <v>16</v>
      </c>
      <c r="H791" s="27" t="str">
        <f t="shared" si="132"/>
        <v>STD BY</v>
      </c>
      <c r="I791" s="155" t="str">
        <f>IF(COUNTIF(H791:H801,"-")&gt;0,("-"),(IF(COUNTIF(H791:H801,"STD BY")&gt;0,("STD BY"),(IF(COUNTIF(H791:H801,"N/A")&gt;0,("N/A"),(IF(COUNTIF(H791:H801,"Critical")&gt;0,("Critical"),(IF(COUNTIF(H791:H801,"High")&gt;0,("High"),(IF(COUNTIF(H791:H801,"Medium")&gt;0,("Medium"),(IF(COUNTIF(H791:H801,"Low")&gt;0,("Low"),("Normal"))))))))))))))</f>
        <v>STD BY</v>
      </c>
      <c r="J791" s="7" t="str">
        <f t="shared" si="133"/>
        <v>STD BY</v>
      </c>
      <c r="K791" s="7">
        <v>60</v>
      </c>
      <c r="L791" s="4"/>
      <c r="M791" s="3" t="s">
        <v>376</v>
      </c>
      <c r="N791" s="150" t="s">
        <v>371</v>
      </c>
    </row>
    <row r="792" spans="1:14" x14ac:dyDescent="0.35">
      <c r="A792" s="24"/>
      <c r="B792" s="153"/>
      <c r="C792" s="153"/>
      <c r="D792" s="11" t="s">
        <v>48</v>
      </c>
      <c r="E792" s="7">
        <f t="shared" ref="E792:E801" si="135">(K792+11)</f>
        <v>71</v>
      </c>
      <c r="F792" s="7">
        <f t="shared" si="130"/>
        <v>81</v>
      </c>
      <c r="G792" s="9" t="s">
        <v>16</v>
      </c>
      <c r="H792" s="27" t="str">
        <f t="shared" si="132"/>
        <v>STD BY</v>
      </c>
      <c r="I792" s="156"/>
      <c r="J792" s="7" t="str">
        <f t="shared" si="133"/>
        <v>STD BY</v>
      </c>
      <c r="K792" s="7">
        <v>60</v>
      </c>
      <c r="L792" s="4"/>
      <c r="M792" s="3" t="s">
        <v>376</v>
      </c>
      <c r="N792" s="151"/>
    </row>
    <row r="793" spans="1:14" x14ac:dyDescent="0.35">
      <c r="A793" s="24"/>
      <c r="B793" s="153"/>
      <c r="C793" s="153"/>
      <c r="D793" s="11" t="s">
        <v>49</v>
      </c>
      <c r="E793" s="7">
        <f t="shared" si="135"/>
        <v>71</v>
      </c>
      <c r="F793" s="7">
        <f t="shared" si="130"/>
        <v>81</v>
      </c>
      <c r="G793" s="9" t="s">
        <v>16</v>
      </c>
      <c r="H793" s="27" t="str">
        <f t="shared" si="132"/>
        <v>STD BY</v>
      </c>
      <c r="I793" s="156"/>
      <c r="J793" s="7" t="str">
        <f t="shared" si="133"/>
        <v>STD BY</v>
      </c>
      <c r="K793" s="7">
        <v>60</v>
      </c>
      <c r="L793" s="4"/>
      <c r="M793" s="3" t="s">
        <v>376</v>
      </c>
      <c r="N793" s="151"/>
    </row>
    <row r="794" spans="1:14" x14ac:dyDescent="0.35">
      <c r="A794" s="24"/>
      <c r="B794" s="153"/>
      <c r="C794" s="153"/>
      <c r="D794" s="11" t="s">
        <v>50</v>
      </c>
      <c r="E794" s="7">
        <f t="shared" si="135"/>
        <v>71</v>
      </c>
      <c r="F794" s="7">
        <f t="shared" si="130"/>
        <v>81</v>
      </c>
      <c r="G794" s="9" t="s">
        <v>16</v>
      </c>
      <c r="H794" s="27" t="str">
        <f t="shared" si="132"/>
        <v>STD BY</v>
      </c>
      <c r="I794" s="156"/>
      <c r="J794" s="7" t="str">
        <f t="shared" si="133"/>
        <v>STD BY</v>
      </c>
      <c r="K794" s="7">
        <v>60</v>
      </c>
      <c r="L794" s="4"/>
      <c r="M794" s="3" t="s">
        <v>376</v>
      </c>
      <c r="N794" s="151"/>
    </row>
    <row r="795" spans="1:14" x14ac:dyDescent="0.35">
      <c r="A795" s="24"/>
      <c r="B795" s="153"/>
      <c r="C795" s="153"/>
      <c r="D795" s="11" t="s">
        <v>142</v>
      </c>
      <c r="E795" s="7">
        <f t="shared" si="135"/>
        <v>56</v>
      </c>
      <c r="F795" s="7">
        <f t="shared" si="130"/>
        <v>66</v>
      </c>
      <c r="G795" s="9" t="s">
        <v>16</v>
      </c>
      <c r="H795" s="27" t="str">
        <f t="shared" si="132"/>
        <v>STD BY</v>
      </c>
      <c r="I795" s="156"/>
      <c r="J795" s="7" t="str">
        <f t="shared" si="133"/>
        <v>STD BY</v>
      </c>
      <c r="K795" s="7">
        <v>45</v>
      </c>
      <c r="L795" s="4"/>
      <c r="M795" s="3" t="s">
        <v>376</v>
      </c>
      <c r="N795" s="151"/>
    </row>
    <row r="796" spans="1:14" x14ac:dyDescent="0.35">
      <c r="A796" s="24"/>
      <c r="B796" s="153"/>
      <c r="C796" s="153"/>
      <c r="D796" s="11" t="s">
        <v>143</v>
      </c>
      <c r="E796" s="7">
        <f t="shared" si="135"/>
        <v>56</v>
      </c>
      <c r="F796" s="7">
        <f t="shared" si="130"/>
        <v>66</v>
      </c>
      <c r="G796" s="9" t="s">
        <v>16</v>
      </c>
      <c r="H796" s="27" t="str">
        <f t="shared" si="132"/>
        <v>STD BY</v>
      </c>
      <c r="I796" s="156"/>
      <c r="J796" s="7" t="str">
        <f t="shared" si="133"/>
        <v>STD BY</v>
      </c>
      <c r="K796" s="7">
        <v>45</v>
      </c>
      <c r="L796" s="4"/>
      <c r="M796" s="3" t="s">
        <v>376</v>
      </c>
      <c r="N796" s="151"/>
    </row>
    <row r="797" spans="1:14" x14ac:dyDescent="0.35">
      <c r="A797" s="24"/>
      <c r="B797" s="153"/>
      <c r="C797" s="153"/>
      <c r="D797" s="11" t="s">
        <v>144</v>
      </c>
      <c r="E797" s="7">
        <f t="shared" si="135"/>
        <v>56</v>
      </c>
      <c r="F797" s="7">
        <f t="shared" si="130"/>
        <v>66</v>
      </c>
      <c r="G797" s="9" t="s">
        <v>16</v>
      </c>
      <c r="H797" s="27" t="str">
        <f t="shared" si="132"/>
        <v>STD BY</v>
      </c>
      <c r="I797" s="156"/>
      <c r="J797" s="7" t="str">
        <f t="shared" si="133"/>
        <v>STD BY</v>
      </c>
      <c r="K797" s="7">
        <v>45</v>
      </c>
      <c r="L797" s="4"/>
      <c r="M797" s="3" t="s">
        <v>376</v>
      </c>
      <c r="N797" s="151"/>
    </row>
    <row r="798" spans="1:14" x14ac:dyDescent="0.35">
      <c r="A798" s="24"/>
      <c r="B798" s="153"/>
      <c r="C798" s="153"/>
      <c r="D798" s="11" t="s">
        <v>185</v>
      </c>
      <c r="E798" s="7">
        <f t="shared" si="135"/>
        <v>56</v>
      </c>
      <c r="F798" s="7">
        <f t="shared" si="130"/>
        <v>66</v>
      </c>
      <c r="G798" s="9" t="s">
        <v>16</v>
      </c>
      <c r="H798" s="27" t="str">
        <f t="shared" si="132"/>
        <v>STD BY</v>
      </c>
      <c r="I798" s="156"/>
      <c r="J798" s="7" t="str">
        <f t="shared" si="133"/>
        <v>STD BY</v>
      </c>
      <c r="K798" s="7">
        <v>45</v>
      </c>
      <c r="L798" s="4"/>
      <c r="M798" s="3" t="s">
        <v>376</v>
      </c>
      <c r="N798" s="151"/>
    </row>
    <row r="799" spans="1:14" x14ac:dyDescent="0.35">
      <c r="A799" s="24"/>
      <c r="B799" s="153"/>
      <c r="C799" s="153"/>
      <c r="D799" s="11" t="s">
        <v>186</v>
      </c>
      <c r="E799" s="7">
        <f t="shared" si="135"/>
        <v>56</v>
      </c>
      <c r="F799" s="7">
        <f t="shared" si="130"/>
        <v>66</v>
      </c>
      <c r="G799" s="9" t="s">
        <v>16</v>
      </c>
      <c r="H799" s="27" t="str">
        <f t="shared" si="132"/>
        <v>STD BY</v>
      </c>
      <c r="I799" s="156"/>
      <c r="J799" s="7" t="str">
        <f t="shared" si="133"/>
        <v>STD BY</v>
      </c>
      <c r="K799" s="7">
        <v>45</v>
      </c>
      <c r="L799" s="4"/>
      <c r="M799" s="3" t="s">
        <v>376</v>
      </c>
      <c r="N799" s="151"/>
    </row>
    <row r="800" spans="1:14" x14ac:dyDescent="0.35">
      <c r="A800" s="24"/>
      <c r="B800" s="153"/>
      <c r="C800" s="153"/>
      <c r="D800" s="11" t="s">
        <v>187</v>
      </c>
      <c r="E800" s="7">
        <f t="shared" si="135"/>
        <v>56</v>
      </c>
      <c r="F800" s="7">
        <f t="shared" si="130"/>
        <v>66</v>
      </c>
      <c r="G800" s="9" t="s">
        <v>16</v>
      </c>
      <c r="H800" s="27" t="str">
        <f t="shared" si="132"/>
        <v>STD BY</v>
      </c>
      <c r="I800" s="156"/>
      <c r="J800" s="7" t="str">
        <f t="shared" si="133"/>
        <v>STD BY</v>
      </c>
      <c r="K800" s="7">
        <v>45</v>
      </c>
      <c r="L800" s="4"/>
      <c r="M800" s="3" t="s">
        <v>376</v>
      </c>
      <c r="N800" s="151"/>
    </row>
    <row r="801" spans="1:14" x14ac:dyDescent="0.35">
      <c r="A801" s="24"/>
      <c r="B801" s="154"/>
      <c r="C801" s="154"/>
      <c r="D801" s="29" t="s">
        <v>188</v>
      </c>
      <c r="E801" s="16">
        <f t="shared" si="135"/>
        <v>56</v>
      </c>
      <c r="F801" s="16">
        <f t="shared" si="130"/>
        <v>66</v>
      </c>
      <c r="G801" s="17" t="s">
        <v>16</v>
      </c>
      <c r="H801" s="28" t="str">
        <f t="shared" si="132"/>
        <v>STD BY</v>
      </c>
      <c r="I801" s="157"/>
      <c r="J801" s="16" t="str">
        <f t="shared" si="133"/>
        <v>STD BY</v>
      </c>
      <c r="K801" s="7">
        <v>45</v>
      </c>
      <c r="L801" s="4"/>
      <c r="M801" s="3" t="s">
        <v>376</v>
      </c>
      <c r="N801" s="151"/>
    </row>
    <row r="802" spans="1:14" ht="15" customHeight="1" x14ac:dyDescent="0.35">
      <c r="A802" s="23">
        <v>0</v>
      </c>
      <c r="B802" s="152" t="s">
        <v>191</v>
      </c>
      <c r="C802" s="152" t="s">
        <v>189</v>
      </c>
      <c r="D802" s="11" t="s">
        <v>47</v>
      </c>
      <c r="E802" s="7">
        <f>(K802+11)</f>
        <v>71</v>
      </c>
      <c r="F802" s="7">
        <f>(E802+10)</f>
        <v>81</v>
      </c>
      <c r="G802" s="9" t="s">
        <v>16</v>
      </c>
      <c r="H802" s="27" t="str">
        <f t="shared" ref="H802:H812" si="136">IF(J802="",("-"),(IF(J802="STD BY",("STD BY"),(IF(J802="N/A",("N/A"),(IF(J802&lt;5,("Normal"),(IF(J802&lt;11,("Low"),(IF(J802&lt;21,("Medium"),(IF(J802&lt;41,("High"),("Critical"))))))))))))))</f>
        <v>Normal</v>
      </c>
      <c r="I802" s="155" t="str">
        <f>IF(COUNTIF(H802:H812,"-")&gt;0,("-"),(IF(COUNTIF(H802:H812,"STD BY")&gt;0,("STD BY"),(IF(COUNTIF(H802:H812,"N/A")&gt;0,("N/A"),(IF(COUNTIF(H802:H812,"Critical")&gt;0,("Critical"),(IF(COUNTIF(H802:H812,"High")&gt;0,("High"),(IF(COUNTIF(H802:H812,"Medium")&gt;0,("Medium"),(IF(COUNTIF(H802:H812,"Low")&gt;0,("Low"),("Normal"))))))))))))))</f>
        <v>Normal</v>
      </c>
      <c r="J802" s="7">
        <f t="shared" ref="J802:J812" si="137">IF(M802="",(""),(IF(M802="STD BY",("STD BY"),(IF(M802="N/A",("N/A"),(IF(M802-K802&gt;0,(M802-K802),(0))))))))</f>
        <v>0</v>
      </c>
      <c r="K802" s="14">
        <v>60</v>
      </c>
      <c r="L802" s="4">
        <v>46226</v>
      </c>
      <c r="M802" s="3">
        <v>45.6</v>
      </c>
      <c r="N802" s="150" t="s">
        <v>372</v>
      </c>
    </row>
    <row r="803" spans="1:14" x14ac:dyDescent="0.35">
      <c r="A803" s="24"/>
      <c r="B803" s="153"/>
      <c r="C803" s="153"/>
      <c r="D803" s="11" t="s">
        <v>48</v>
      </c>
      <c r="E803" s="7">
        <f t="shared" ref="E803:E812" si="138">(K803+11)</f>
        <v>71</v>
      </c>
      <c r="F803" s="7">
        <f t="shared" ref="F803:F812" si="139">(E803+10)</f>
        <v>81</v>
      </c>
      <c r="G803" s="9" t="s">
        <v>16</v>
      </c>
      <c r="H803" s="27" t="str">
        <f t="shared" si="136"/>
        <v>Normal</v>
      </c>
      <c r="I803" s="156"/>
      <c r="J803" s="7">
        <f t="shared" si="137"/>
        <v>0</v>
      </c>
      <c r="K803" s="14">
        <v>60</v>
      </c>
      <c r="L803" s="4">
        <v>46226</v>
      </c>
      <c r="M803" s="3">
        <v>45.4</v>
      </c>
      <c r="N803" s="151"/>
    </row>
    <row r="804" spans="1:14" x14ac:dyDescent="0.35">
      <c r="A804" s="24"/>
      <c r="B804" s="153"/>
      <c r="C804" s="153"/>
      <c r="D804" s="11" t="s">
        <v>49</v>
      </c>
      <c r="E804" s="7">
        <f t="shared" si="138"/>
        <v>71</v>
      </c>
      <c r="F804" s="7">
        <f t="shared" si="139"/>
        <v>81</v>
      </c>
      <c r="G804" s="9" t="s">
        <v>16</v>
      </c>
      <c r="H804" s="27" t="str">
        <f t="shared" si="136"/>
        <v>Normal</v>
      </c>
      <c r="I804" s="156"/>
      <c r="J804" s="7">
        <f t="shared" si="137"/>
        <v>0</v>
      </c>
      <c r="K804" s="14">
        <v>60</v>
      </c>
      <c r="L804" s="4">
        <v>46226</v>
      </c>
      <c r="M804" s="3">
        <v>46.3</v>
      </c>
      <c r="N804" s="151"/>
    </row>
    <row r="805" spans="1:14" x14ac:dyDescent="0.35">
      <c r="A805" s="24"/>
      <c r="B805" s="153"/>
      <c r="C805" s="153"/>
      <c r="D805" s="11" t="s">
        <v>50</v>
      </c>
      <c r="E805" s="7">
        <f t="shared" si="138"/>
        <v>71</v>
      </c>
      <c r="F805" s="7">
        <f t="shared" si="139"/>
        <v>81</v>
      </c>
      <c r="G805" s="9" t="s">
        <v>16</v>
      </c>
      <c r="H805" s="27" t="str">
        <f t="shared" si="136"/>
        <v>Normal</v>
      </c>
      <c r="I805" s="156"/>
      <c r="J805" s="7">
        <f t="shared" si="137"/>
        <v>0</v>
      </c>
      <c r="K805" s="14">
        <v>60</v>
      </c>
      <c r="L805" s="4">
        <v>46226</v>
      </c>
      <c r="M805" s="3">
        <v>43.8</v>
      </c>
      <c r="N805" s="151"/>
    </row>
    <row r="806" spans="1:14" x14ac:dyDescent="0.35">
      <c r="A806" s="24"/>
      <c r="B806" s="153"/>
      <c r="C806" s="153"/>
      <c r="D806" s="11" t="s">
        <v>142</v>
      </c>
      <c r="E806" s="7">
        <f t="shared" si="138"/>
        <v>56</v>
      </c>
      <c r="F806" s="7">
        <f t="shared" si="139"/>
        <v>66</v>
      </c>
      <c r="G806" s="9" t="s">
        <v>16</v>
      </c>
      <c r="H806" s="27" t="str">
        <f t="shared" si="136"/>
        <v>Normal</v>
      </c>
      <c r="I806" s="156"/>
      <c r="J806" s="7">
        <f t="shared" si="137"/>
        <v>0</v>
      </c>
      <c r="K806" s="14">
        <v>45</v>
      </c>
      <c r="L806" s="4">
        <v>46226</v>
      </c>
      <c r="M806" s="3">
        <v>36.1</v>
      </c>
      <c r="N806" s="151"/>
    </row>
    <row r="807" spans="1:14" x14ac:dyDescent="0.35">
      <c r="A807" s="24"/>
      <c r="B807" s="153"/>
      <c r="C807" s="153"/>
      <c r="D807" s="11" t="s">
        <v>143</v>
      </c>
      <c r="E807" s="7">
        <f t="shared" si="138"/>
        <v>56</v>
      </c>
      <c r="F807" s="7">
        <f t="shared" si="139"/>
        <v>66</v>
      </c>
      <c r="G807" s="9" t="s">
        <v>16</v>
      </c>
      <c r="H807" s="27" t="str">
        <f t="shared" si="136"/>
        <v>Normal</v>
      </c>
      <c r="I807" s="156"/>
      <c r="J807" s="7">
        <f t="shared" si="137"/>
        <v>0</v>
      </c>
      <c r="K807" s="14">
        <v>45</v>
      </c>
      <c r="L807" s="4">
        <v>46226</v>
      </c>
      <c r="M807" s="3">
        <v>36.799999999999997</v>
      </c>
      <c r="N807" s="151"/>
    </row>
    <row r="808" spans="1:14" x14ac:dyDescent="0.35">
      <c r="A808" s="24"/>
      <c r="B808" s="153"/>
      <c r="C808" s="153"/>
      <c r="D808" s="11" t="s">
        <v>144</v>
      </c>
      <c r="E808" s="7">
        <f t="shared" si="138"/>
        <v>56</v>
      </c>
      <c r="F808" s="7">
        <f t="shared" si="139"/>
        <v>66</v>
      </c>
      <c r="G808" s="9" t="s">
        <v>16</v>
      </c>
      <c r="H808" s="27" t="str">
        <f t="shared" si="136"/>
        <v>Normal</v>
      </c>
      <c r="I808" s="156"/>
      <c r="J808" s="7">
        <f t="shared" si="137"/>
        <v>0</v>
      </c>
      <c r="K808" s="14">
        <v>45</v>
      </c>
      <c r="L808" s="4">
        <v>46226</v>
      </c>
      <c r="M808" s="3">
        <v>36.1</v>
      </c>
      <c r="N808" s="151"/>
    </row>
    <row r="809" spans="1:14" x14ac:dyDescent="0.35">
      <c r="A809" s="24"/>
      <c r="B809" s="153"/>
      <c r="C809" s="153"/>
      <c r="D809" s="11" t="s">
        <v>185</v>
      </c>
      <c r="E809" s="7">
        <f t="shared" si="138"/>
        <v>56</v>
      </c>
      <c r="F809" s="7">
        <f t="shared" si="139"/>
        <v>66</v>
      </c>
      <c r="G809" s="9" t="s">
        <v>16</v>
      </c>
      <c r="H809" s="27" t="str">
        <f t="shared" si="136"/>
        <v>Normal</v>
      </c>
      <c r="I809" s="156"/>
      <c r="J809" s="7">
        <f t="shared" si="137"/>
        <v>0</v>
      </c>
      <c r="K809" s="14">
        <v>45</v>
      </c>
      <c r="L809" s="4">
        <v>46226</v>
      </c>
      <c r="M809" s="3">
        <v>33.299999999999997</v>
      </c>
      <c r="N809" s="151"/>
    </row>
    <row r="810" spans="1:14" x14ac:dyDescent="0.35">
      <c r="A810" s="24"/>
      <c r="B810" s="153"/>
      <c r="C810" s="153"/>
      <c r="D810" s="11" t="s">
        <v>186</v>
      </c>
      <c r="E810" s="7">
        <f t="shared" si="138"/>
        <v>56</v>
      </c>
      <c r="F810" s="7">
        <f t="shared" si="139"/>
        <v>66</v>
      </c>
      <c r="G810" s="9" t="s">
        <v>16</v>
      </c>
      <c r="H810" s="27" t="str">
        <f t="shared" si="136"/>
        <v>Normal</v>
      </c>
      <c r="I810" s="156"/>
      <c r="J810" s="7">
        <f t="shared" si="137"/>
        <v>0</v>
      </c>
      <c r="K810" s="14">
        <v>45</v>
      </c>
      <c r="L810" s="4">
        <v>46226</v>
      </c>
      <c r="M810" s="3">
        <v>33.9</v>
      </c>
      <c r="N810" s="151"/>
    </row>
    <row r="811" spans="1:14" x14ac:dyDescent="0.35">
      <c r="A811" s="24"/>
      <c r="B811" s="153"/>
      <c r="C811" s="153"/>
      <c r="D811" s="11" t="s">
        <v>187</v>
      </c>
      <c r="E811" s="7">
        <f t="shared" si="138"/>
        <v>56</v>
      </c>
      <c r="F811" s="7">
        <f t="shared" si="139"/>
        <v>66</v>
      </c>
      <c r="G811" s="9" t="s">
        <v>16</v>
      </c>
      <c r="H811" s="27" t="str">
        <f t="shared" si="136"/>
        <v>Normal</v>
      </c>
      <c r="I811" s="156"/>
      <c r="J811" s="7">
        <f t="shared" si="137"/>
        <v>0</v>
      </c>
      <c r="K811" s="14">
        <v>45</v>
      </c>
      <c r="L811" s="4">
        <v>46226</v>
      </c>
      <c r="M811" s="3">
        <v>33.9</v>
      </c>
      <c r="N811" s="151"/>
    </row>
    <row r="812" spans="1:14" x14ac:dyDescent="0.35">
      <c r="A812" s="25"/>
      <c r="B812" s="154"/>
      <c r="C812" s="154"/>
      <c r="D812" s="11" t="s">
        <v>188</v>
      </c>
      <c r="E812" s="7">
        <f t="shared" si="138"/>
        <v>56</v>
      </c>
      <c r="F812" s="7">
        <f t="shared" si="139"/>
        <v>66</v>
      </c>
      <c r="G812" s="9" t="s">
        <v>16</v>
      </c>
      <c r="H812" s="27" t="str">
        <f t="shared" si="136"/>
        <v>Normal</v>
      </c>
      <c r="I812" s="157"/>
      <c r="J812" s="7">
        <f t="shared" si="137"/>
        <v>0</v>
      </c>
      <c r="K812" s="14">
        <v>45</v>
      </c>
      <c r="L812" s="4">
        <v>46226</v>
      </c>
      <c r="M812" s="3">
        <v>33</v>
      </c>
      <c r="N812" s="151"/>
    </row>
    <row r="814" spans="1:14" x14ac:dyDescent="0.35">
      <c r="J814" s="205"/>
      <c r="K814" s="205"/>
      <c r="L814" s="205"/>
      <c r="M814" s="205"/>
    </row>
    <row r="815" spans="1:14" x14ac:dyDescent="0.35">
      <c r="D815" s="121"/>
      <c r="K815" s="205"/>
      <c r="L815" s="205"/>
    </row>
    <row r="820" spans="4:13" x14ac:dyDescent="0.35">
      <c r="D820" s="88"/>
      <c r="J820" s="205"/>
      <c r="K820" s="205"/>
      <c r="L820" s="205"/>
      <c r="M820" s="205"/>
    </row>
    <row r="821" spans="4:13" x14ac:dyDescent="0.35">
      <c r="D821" s="88"/>
      <c r="K821" s="205"/>
      <c r="L821" s="205"/>
    </row>
    <row r="835" spans="13:13" x14ac:dyDescent="0.35">
      <c r="M835"/>
    </row>
    <row r="836" spans="13:13" x14ac:dyDescent="0.35">
      <c r="M836"/>
    </row>
    <row r="837" spans="13:13" x14ac:dyDescent="0.35">
      <c r="M837"/>
    </row>
    <row r="838" spans="13:13" x14ac:dyDescent="0.35">
      <c r="M838"/>
    </row>
  </sheetData>
  <autoFilter ref="A5:S834" xr:uid="{00000000-0009-0000-0000-000002000000}"/>
  <mergeCells count="457">
    <mergeCell ref="J814:M814"/>
    <mergeCell ref="K815:L815"/>
    <mergeCell ref="J820:M820"/>
    <mergeCell ref="K821:L821"/>
    <mergeCell ref="N165:N172"/>
    <mergeCell ref="N157:N164"/>
    <mergeCell ref="N149:N156"/>
    <mergeCell ref="B346:B353"/>
    <mergeCell ref="C346:C353"/>
    <mergeCell ref="I346:I353"/>
    <mergeCell ref="N346:N353"/>
    <mergeCell ref="B354:B361"/>
    <mergeCell ref="C354:C361"/>
    <mergeCell ref="I354:I361"/>
    <mergeCell ref="N354:N361"/>
    <mergeCell ref="B173:B177"/>
    <mergeCell ref="C173:C177"/>
    <mergeCell ref="I173:I177"/>
    <mergeCell ref="I178:I182"/>
    <mergeCell ref="B178:B182"/>
    <mergeCell ref="C178:C182"/>
    <mergeCell ref="B165:B172"/>
    <mergeCell ref="C165:C172"/>
    <mergeCell ref="I165:I172"/>
    <mergeCell ref="B149:B156"/>
    <mergeCell ref="C149:C156"/>
    <mergeCell ref="I149:I156"/>
    <mergeCell ref="B157:B164"/>
    <mergeCell ref="C157:C164"/>
    <mergeCell ref="I157:I164"/>
    <mergeCell ref="B343:B345"/>
    <mergeCell ref="C343:C345"/>
    <mergeCell ref="I343:I345"/>
    <mergeCell ref="C311:C317"/>
    <mergeCell ref="I311:I317"/>
    <mergeCell ref="C333:C340"/>
    <mergeCell ref="I333:I340"/>
    <mergeCell ref="B204:B214"/>
    <mergeCell ref="C204:C214"/>
    <mergeCell ref="I204:I214"/>
    <mergeCell ref="C249:C256"/>
    <mergeCell ref="I249:I256"/>
    <mergeCell ref="B333:B340"/>
    <mergeCell ref="B257:B264"/>
    <mergeCell ref="C257:C264"/>
    <mergeCell ref="B318:B324"/>
    <mergeCell ref="C318:C324"/>
    <mergeCell ref="I318:I324"/>
    <mergeCell ref="N343:N345"/>
    <mergeCell ref="B380:B389"/>
    <mergeCell ref="C380:C389"/>
    <mergeCell ref="I380:I389"/>
    <mergeCell ref="N380:N389"/>
    <mergeCell ref="B341:B342"/>
    <mergeCell ref="C341:C342"/>
    <mergeCell ref="I341:I342"/>
    <mergeCell ref="N341:N342"/>
    <mergeCell ref="B362:B369"/>
    <mergeCell ref="C362:C369"/>
    <mergeCell ref="I362:I369"/>
    <mergeCell ref="N362:N369"/>
    <mergeCell ref="B370:B374"/>
    <mergeCell ref="C370:C374"/>
    <mergeCell ref="I370:I374"/>
    <mergeCell ref="N370:N374"/>
    <mergeCell ref="B375:B379"/>
    <mergeCell ref="C375:C379"/>
    <mergeCell ref="I375:I379"/>
    <mergeCell ref="N375:N379"/>
    <mergeCell ref="N48:N55"/>
    <mergeCell ref="N56:N63"/>
    <mergeCell ref="N64:N71"/>
    <mergeCell ref="N72:N79"/>
    <mergeCell ref="N80:N87"/>
    <mergeCell ref="I40:I47"/>
    <mergeCell ref="I48:I55"/>
    <mergeCell ref="I56:I63"/>
    <mergeCell ref="I64:I71"/>
    <mergeCell ref="I72:I79"/>
    <mergeCell ref="I80:I87"/>
    <mergeCell ref="N6:N12"/>
    <mergeCell ref="N13:N19"/>
    <mergeCell ref="B20:B29"/>
    <mergeCell ref="C20:C29"/>
    <mergeCell ref="I20:I29"/>
    <mergeCell ref="I30:I39"/>
    <mergeCell ref="N20:N29"/>
    <mergeCell ref="N30:N39"/>
    <mergeCell ref="N40:N47"/>
    <mergeCell ref="N757:N764"/>
    <mergeCell ref="N765:N772"/>
    <mergeCell ref="N773:N776"/>
    <mergeCell ref="N777:N780"/>
    <mergeCell ref="N669:N678"/>
    <mergeCell ref="N679:N688"/>
    <mergeCell ref="N689:N698"/>
    <mergeCell ref="N699:N708"/>
    <mergeCell ref="N709:N718"/>
    <mergeCell ref="N719:N728"/>
    <mergeCell ref="N729:N738"/>
    <mergeCell ref="N739:N747"/>
    <mergeCell ref="N748:N756"/>
    <mergeCell ref="N557:N559"/>
    <mergeCell ref="N560:N562"/>
    <mergeCell ref="N563:N565"/>
    <mergeCell ref="N566:N568"/>
    <mergeCell ref="N569:N577"/>
    <mergeCell ref="N578:N581"/>
    <mergeCell ref="N582:N591"/>
    <mergeCell ref="N592:N602"/>
    <mergeCell ref="N659:N668"/>
    <mergeCell ref="N649:N653"/>
    <mergeCell ref="N654:N658"/>
    <mergeCell ref="N643:N645"/>
    <mergeCell ref="N646:N648"/>
    <mergeCell ref="N635:N642"/>
    <mergeCell ref="N627:N634"/>
    <mergeCell ref="N619:N626"/>
    <mergeCell ref="N614:N618"/>
    <mergeCell ref="N603:N608"/>
    <mergeCell ref="N609:N613"/>
    <mergeCell ref="N481:N488"/>
    <mergeCell ref="N505:N515"/>
    <mergeCell ref="N516:N526"/>
    <mergeCell ref="N489:N496"/>
    <mergeCell ref="N497:N504"/>
    <mergeCell ref="N527:N534"/>
    <mergeCell ref="N535:N542"/>
    <mergeCell ref="N543:N549"/>
    <mergeCell ref="N550:N556"/>
    <mergeCell ref="N408:N416"/>
    <mergeCell ref="N417:N425"/>
    <mergeCell ref="N426:N434"/>
    <mergeCell ref="N455:N463"/>
    <mergeCell ref="N464:N472"/>
    <mergeCell ref="N473:N480"/>
    <mergeCell ref="N435:N444"/>
    <mergeCell ref="N445:N454"/>
    <mergeCell ref="N124:N131"/>
    <mergeCell ref="N132:N134"/>
    <mergeCell ref="N135:N137"/>
    <mergeCell ref="N138:N140"/>
    <mergeCell ref="N141:N143"/>
    <mergeCell ref="N144:N145"/>
    <mergeCell ref="N146:N148"/>
    <mergeCell ref="N183:N192"/>
    <mergeCell ref="N390:N398"/>
    <mergeCell ref="N215:N221"/>
    <mergeCell ref="N222:N228"/>
    <mergeCell ref="N229:N238"/>
    <mergeCell ref="N239:N248"/>
    <mergeCell ref="N249:N256"/>
    <mergeCell ref="N257:N264"/>
    <mergeCell ref="N265:N272"/>
    <mergeCell ref="N273:N280"/>
    <mergeCell ref="N281:N288"/>
    <mergeCell ref="N289:N296"/>
    <mergeCell ref="N297:N303"/>
    <mergeCell ref="N304:N310"/>
    <mergeCell ref="N333:N340"/>
    <mergeCell ref="N178:N182"/>
    <mergeCell ref="N173:N177"/>
    <mergeCell ref="N88:N94"/>
    <mergeCell ref="N95:N101"/>
    <mergeCell ref="N102:N108"/>
    <mergeCell ref="N109:N115"/>
    <mergeCell ref="N116:N123"/>
    <mergeCell ref="N204:N214"/>
    <mergeCell ref="N311:N317"/>
    <mergeCell ref="N318:N324"/>
    <mergeCell ref="N325:N332"/>
    <mergeCell ref="A1:N2"/>
    <mergeCell ref="N3:N5"/>
    <mergeCell ref="B777:B780"/>
    <mergeCell ref="C777:C780"/>
    <mergeCell ref="I777:I780"/>
    <mergeCell ref="B765:B772"/>
    <mergeCell ref="C765:C772"/>
    <mergeCell ref="I765:I772"/>
    <mergeCell ref="B773:B776"/>
    <mergeCell ref="C773:C776"/>
    <mergeCell ref="I773:I776"/>
    <mergeCell ref="B748:B756"/>
    <mergeCell ref="C748:C756"/>
    <mergeCell ref="I748:I756"/>
    <mergeCell ref="B757:B764"/>
    <mergeCell ref="C757:C764"/>
    <mergeCell ref="I757:I764"/>
    <mergeCell ref="B729:B738"/>
    <mergeCell ref="C729:C738"/>
    <mergeCell ref="I729:I738"/>
    <mergeCell ref="B739:B747"/>
    <mergeCell ref="C739:C747"/>
    <mergeCell ref="I739:I747"/>
    <mergeCell ref="B709:B718"/>
    <mergeCell ref="C709:C718"/>
    <mergeCell ref="I709:I718"/>
    <mergeCell ref="B719:B728"/>
    <mergeCell ref="C719:C728"/>
    <mergeCell ref="I719:I728"/>
    <mergeCell ref="B689:B698"/>
    <mergeCell ref="C689:C698"/>
    <mergeCell ref="I689:I698"/>
    <mergeCell ref="B699:B708"/>
    <mergeCell ref="C699:C708"/>
    <mergeCell ref="I699:I708"/>
    <mergeCell ref="B669:B678"/>
    <mergeCell ref="C669:C678"/>
    <mergeCell ref="I669:I678"/>
    <mergeCell ref="B679:B688"/>
    <mergeCell ref="C679:C688"/>
    <mergeCell ref="I679:I688"/>
    <mergeCell ref="B592:B602"/>
    <mergeCell ref="C592:C602"/>
    <mergeCell ref="I592:I602"/>
    <mergeCell ref="B659:B668"/>
    <mergeCell ref="C659:C668"/>
    <mergeCell ref="I659:I668"/>
    <mergeCell ref="I609:I613"/>
    <mergeCell ref="B606:B608"/>
    <mergeCell ref="C606:C608"/>
    <mergeCell ref="B578:B581"/>
    <mergeCell ref="C578:C581"/>
    <mergeCell ref="I578:I581"/>
    <mergeCell ref="B582:B591"/>
    <mergeCell ref="C582:C591"/>
    <mergeCell ref="I582:I591"/>
    <mergeCell ref="B649:B653"/>
    <mergeCell ref="C649:C653"/>
    <mergeCell ref="I649:I653"/>
    <mergeCell ref="B614:B618"/>
    <mergeCell ref="C614:C618"/>
    <mergeCell ref="I614:I618"/>
    <mergeCell ref="B619:B626"/>
    <mergeCell ref="C619:C626"/>
    <mergeCell ref="I619:I626"/>
    <mergeCell ref="B627:B634"/>
    <mergeCell ref="C627:C634"/>
    <mergeCell ref="I627:I634"/>
    <mergeCell ref="I603:I605"/>
    <mergeCell ref="B603:B605"/>
    <mergeCell ref="C603:C605"/>
    <mergeCell ref="I606:I608"/>
    <mergeCell ref="B609:B613"/>
    <mergeCell ref="C609:C613"/>
    <mergeCell ref="B527:B534"/>
    <mergeCell ref="C527:C534"/>
    <mergeCell ref="I527:I534"/>
    <mergeCell ref="B566:B568"/>
    <mergeCell ref="C566:C568"/>
    <mergeCell ref="I566:I568"/>
    <mergeCell ref="B569:B577"/>
    <mergeCell ref="C569:C577"/>
    <mergeCell ref="I569:I577"/>
    <mergeCell ref="B560:B562"/>
    <mergeCell ref="C560:C562"/>
    <mergeCell ref="I560:I562"/>
    <mergeCell ref="B563:B565"/>
    <mergeCell ref="C563:C565"/>
    <mergeCell ref="I563:I565"/>
    <mergeCell ref="B557:B559"/>
    <mergeCell ref="C557:C559"/>
    <mergeCell ref="I557:I559"/>
    <mergeCell ref="B535:B542"/>
    <mergeCell ref="C535:C542"/>
    <mergeCell ref="I535:I542"/>
    <mergeCell ref="B543:B549"/>
    <mergeCell ref="C543:C549"/>
    <mergeCell ref="B550:B556"/>
    <mergeCell ref="B516:B526"/>
    <mergeCell ref="C516:C526"/>
    <mergeCell ref="I516:I526"/>
    <mergeCell ref="B505:B515"/>
    <mergeCell ref="C505:C515"/>
    <mergeCell ref="I505:I515"/>
    <mergeCell ref="B497:B504"/>
    <mergeCell ref="C497:C504"/>
    <mergeCell ref="I497:I504"/>
    <mergeCell ref="B445:B454"/>
    <mergeCell ref="C445:C454"/>
    <mergeCell ref="I435:I444"/>
    <mergeCell ref="I445:I454"/>
    <mergeCell ref="I464:I472"/>
    <mergeCell ref="B473:B480"/>
    <mergeCell ref="C473:C480"/>
    <mergeCell ref="I473:I480"/>
    <mergeCell ref="B489:B496"/>
    <mergeCell ref="C489:C496"/>
    <mergeCell ref="I489:I496"/>
    <mergeCell ref="C239:C248"/>
    <mergeCell ref="I239:I248"/>
    <mergeCell ref="B249:B256"/>
    <mergeCell ref="I399:I407"/>
    <mergeCell ref="I257:I264"/>
    <mergeCell ref="B265:B272"/>
    <mergeCell ref="C265:C272"/>
    <mergeCell ref="I265:I272"/>
    <mergeCell ref="B273:B280"/>
    <mergeCell ref="C273:C280"/>
    <mergeCell ref="I273:I280"/>
    <mergeCell ref="B281:B288"/>
    <mergeCell ref="C281:C288"/>
    <mergeCell ref="I281:I288"/>
    <mergeCell ref="B289:B296"/>
    <mergeCell ref="C289:C296"/>
    <mergeCell ref="I289:I296"/>
    <mergeCell ref="B297:B303"/>
    <mergeCell ref="C297:C303"/>
    <mergeCell ref="B399:B407"/>
    <mergeCell ref="C399:C407"/>
    <mergeCell ref="A3:A5"/>
    <mergeCell ref="B3:B5"/>
    <mergeCell ref="C3:C5"/>
    <mergeCell ref="D3:D5"/>
    <mergeCell ref="H3:H5"/>
    <mergeCell ref="I3:I5"/>
    <mergeCell ref="I141:I143"/>
    <mergeCell ref="B144:B145"/>
    <mergeCell ref="C144:C145"/>
    <mergeCell ref="I144:I145"/>
    <mergeCell ref="I6:I12"/>
    <mergeCell ref="B13:B19"/>
    <mergeCell ref="C13:C19"/>
    <mergeCell ref="I13:I19"/>
    <mergeCell ref="B72:B79"/>
    <mergeCell ref="C72:C79"/>
    <mergeCell ref="B80:B87"/>
    <mergeCell ref="C80:C87"/>
    <mergeCell ref="C124:C131"/>
    <mergeCell ref="I124:I131"/>
    <mergeCell ref="B132:B134"/>
    <mergeCell ref="C132:C134"/>
    <mergeCell ref="I132:I134"/>
    <mergeCell ref="B30:B39"/>
    <mergeCell ref="J3:J5"/>
    <mergeCell ref="K3:K5"/>
    <mergeCell ref="L3:M4"/>
    <mergeCell ref="B95:B101"/>
    <mergeCell ref="I88:I94"/>
    <mergeCell ref="B88:B94"/>
    <mergeCell ref="C88:C94"/>
    <mergeCell ref="C48:C55"/>
    <mergeCell ref="B56:B63"/>
    <mergeCell ref="C56:C63"/>
    <mergeCell ref="B64:B71"/>
    <mergeCell ref="C64:C71"/>
    <mergeCell ref="C30:C39"/>
    <mergeCell ref="B40:B47"/>
    <mergeCell ref="C40:C47"/>
    <mergeCell ref="B48:B55"/>
    <mergeCell ref="C95:C101"/>
    <mergeCell ref="I95:I101"/>
    <mergeCell ref="C146:C148"/>
    <mergeCell ref="I781:I785"/>
    <mergeCell ref="B390:B398"/>
    <mergeCell ref="C390:C398"/>
    <mergeCell ref="I390:I398"/>
    <mergeCell ref="E3:E5"/>
    <mergeCell ref="F3:F5"/>
    <mergeCell ref="G3:G5"/>
    <mergeCell ref="C6:C12"/>
    <mergeCell ref="B6:B12"/>
    <mergeCell ref="B215:B221"/>
    <mergeCell ref="C215:C221"/>
    <mergeCell ref="I215:I221"/>
    <mergeCell ref="B222:B228"/>
    <mergeCell ref="C222:C228"/>
    <mergeCell ref="I222:I228"/>
    <mergeCell ref="B229:B238"/>
    <mergeCell ref="C229:C238"/>
    <mergeCell ref="I229:I238"/>
    <mergeCell ref="B325:B332"/>
    <mergeCell ref="C325:C332"/>
    <mergeCell ref="I325:I332"/>
    <mergeCell ref="B311:B317"/>
    <mergeCell ref="B239:B248"/>
    <mergeCell ref="I116:I123"/>
    <mergeCell ref="B102:B108"/>
    <mergeCell ref="C102:C108"/>
    <mergeCell ref="I102:I108"/>
    <mergeCell ref="B135:B137"/>
    <mergeCell ref="C135:C137"/>
    <mergeCell ref="I135:I137"/>
    <mergeCell ref="B109:B115"/>
    <mergeCell ref="B124:B131"/>
    <mergeCell ref="B791:B801"/>
    <mergeCell ref="C791:C801"/>
    <mergeCell ref="I791:I801"/>
    <mergeCell ref="C109:C115"/>
    <mergeCell ref="I109:I115"/>
    <mergeCell ref="I146:I148"/>
    <mergeCell ref="B183:B192"/>
    <mergeCell ref="C183:C192"/>
    <mergeCell ref="I183:I192"/>
    <mergeCell ref="B141:B143"/>
    <mergeCell ref="C141:C143"/>
    <mergeCell ref="I297:I303"/>
    <mergeCell ref="B304:B310"/>
    <mergeCell ref="C304:C310"/>
    <mergeCell ref="I304:I310"/>
    <mergeCell ref="I417:I425"/>
    <mergeCell ref="B781:B785"/>
    <mergeCell ref="C781:C785"/>
    <mergeCell ref="B138:B140"/>
    <mergeCell ref="C138:C140"/>
    <mergeCell ref="I138:I140"/>
    <mergeCell ref="B146:B148"/>
    <mergeCell ref="B116:B123"/>
    <mergeCell ref="C116:C123"/>
    <mergeCell ref="N781:N785"/>
    <mergeCell ref="N786:N790"/>
    <mergeCell ref="B786:B790"/>
    <mergeCell ref="C786:C790"/>
    <mergeCell ref="I786:I790"/>
    <mergeCell ref="B408:B416"/>
    <mergeCell ref="C408:C416"/>
    <mergeCell ref="I408:I416"/>
    <mergeCell ref="C550:C556"/>
    <mergeCell ref="I543:I549"/>
    <mergeCell ref="I550:I556"/>
    <mergeCell ref="B481:B488"/>
    <mergeCell ref="C481:C488"/>
    <mergeCell ref="I481:I488"/>
    <mergeCell ref="B464:B472"/>
    <mergeCell ref="C464:C472"/>
    <mergeCell ref="B455:B463"/>
    <mergeCell ref="C455:C463"/>
    <mergeCell ref="I455:I463"/>
    <mergeCell ref="B426:B434"/>
    <mergeCell ref="C426:C434"/>
    <mergeCell ref="I426:I434"/>
    <mergeCell ref="B435:B444"/>
    <mergeCell ref="C435:C444"/>
    <mergeCell ref="N399:N407"/>
    <mergeCell ref="N791:N801"/>
    <mergeCell ref="B802:B812"/>
    <mergeCell ref="C802:C812"/>
    <mergeCell ref="I802:I812"/>
    <mergeCell ref="N802:N812"/>
    <mergeCell ref="B193:B203"/>
    <mergeCell ref="C193:C203"/>
    <mergeCell ref="I193:I203"/>
    <mergeCell ref="N193:N203"/>
    <mergeCell ref="B654:B658"/>
    <mergeCell ref="C654:C658"/>
    <mergeCell ref="I654:I658"/>
    <mergeCell ref="B643:B645"/>
    <mergeCell ref="C643:C645"/>
    <mergeCell ref="I643:I645"/>
    <mergeCell ref="B646:B648"/>
    <mergeCell ref="C646:C648"/>
    <mergeCell ref="I646:I648"/>
    <mergeCell ref="B635:B642"/>
    <mergeCell ref="C635:C642"/>
    <mergeCell ref="I635:I642"/>
    <mergeCell ref="B417:B425"/>
    <mergeCell ref="C417:C425"/>
  </mergeCells>
  <conditionalFormatting sqref="H6:H812">
    <cfRule type="cellIs" dxfId="917" priority="1" operator="equal">
      <formula>"Critical"</formula>
    </cfRule>
    <cfRule type="cellIs" dxfId="916" priority="2" operator="equal">
      <formula>"High"</formula>
    </cfRule>
    <cfRule type="cellIs" dxfId="915" priority="3" operator="equal">
      <formula>"Medium"</formula>
    </cfRule>
    <cfRule type="cellIs" dxfId="914" priority="4" operator="equal">
      <formula>"Low"</formula>
    </cfRule>
    <cfRule type="cellIs" dxfId="913" priority="5" operator="equal">
      <formula>"Normal"</formula>
    </cfRule>
    <cfRule type="cellIs" dxfId="912" priority="6" operator="equal">
      <formula>"Monitor"</formula>
    </cfRule>
    <cfRule type="containsText" dxfId="911" priority="7" operator="containsText" text="Repair at planned outage">
      <formula>NOT(ISERROR(SEARCH("Repair at planned outage",H6)))</formula>
    </cfRule>
    <cfRule type="containsText" dxfId="910" priority="8" operator="containsText" text="Schedule unplanned outage">
      <formula>NOT(ISERROR(SEARCH("Schedule unplanned outage",H6)))</formula>
    </cfRule>
    <cfRule type="containsText" dxfId="909" priority="9" operator="containsText" text="Repair immediately">
      <formula>NOT(ISERROR(SEARCH("Repair immediately",H6)))</formula>
    </cfRule>
  </conditionalFormatting>
  <conditionalFormatting sqref="I30">
    <cfRule type="cellIs" dxfId="908" priority="2556" operator="equal">
      <formula>"Medium"</formula>
    </cfRule>
    <cfRule type="containsText" dxfId="907" priority="2562" operator="containsText" text="Repair immediately">
      <formula>NOT(ISERROR(SEARCH("Repair immediately",I30)))</formula>
    </cfRule>
    <cfRule type="containsText" dxfId="906" priority="2561" operator="containsText" text="Schedule unplanned outage">
      <formula>NOT(ISERROR(SEARCH("Schedule unplanned outage",I30)))</formula>
    </cfRule>
    <cfRule type="containsText" dxfId="905" priority="2560" operator="containsText" text="Repair at planned outage">
      <formula>NOT(ISERROR(SEARCH("Repair at planned outage",I30)))</formula>
    </cfRule>
    <cfRule type="cellIs" dxfId="904" priority="2559" operator="equal">
      <formula>"Monitor"</formula>
    </cfRule>
    <cfRule type="cellIs" dxfId="903" priority="2558" operator="equal">
      <formula>"Normal"</formula>
    </cfRule>
    <cfRule type="cellIs" dxfId="902" priority="2557" operator="equal">
      <formula>"Low"</formula>
    </cfRule>
    <cfRule type="cellIs" dxfId="901" priority="2555" operator="equal">
      <formula>"High"</formula>
    </cfRule>
    <cfRule type="cellIs" dxfId="900" priority="2554" operator="equal">
      <formula>"Critical"</formula>
    </cfRule>
  </conditionalFormatting>
  <conditionalFormatting sqref="I40 I48 I56">
    <cfRule type="cellIs" dxfId="899" priority="2549" operator="equal">
      <formula>"Normal"</formula>
    </cfRule>
    <cfRule type="cellIs" dxfId="898" priority="2548" operator="equal">
      <formula>"Low"</formula>
    </cfRule>
    <cfRule type="containsText" dxfId="897" priority="2552" operator="containsText" text="Schedule unplanned outage">
      <formula>NOT(ISERROR(SEARCH("Schedule unplanned outage",I40)))</formula>
    </cfRule>
    <cfRule type="containsText" dxfId="896" priority="2553" operator="containsText" text="Repair immediately">
      <formula>NOT(ISERROR(SEARCH("Repair immediately",I40)))</formula>
    </cfRule>
    <cfRule type="cellIs" dxfId="895" priority="2545" operator="equal">
      <formula>"Critical"</formula>
    </cfRule>
    <cfRule type="cellIs" dxfId="894" priority="2546" operator="equal">
      <formula>"High"</formula>
    </cfRule>
    <cfRule type="containsText" dxfId="893" priority="2551" operator="containsText" text="Repair at planned outage">
      <formula>NOT(ISERROR(SEARCH("Repair at planned outage",I40)))</formula>
    </cfRule>
    <cfRule type="cellIs" dxfId="892" priority="2547" operator="equal">
      <formula>"Medium"</formula>
    </cfRule>
    <cfRule type="cellIs" dxfId="891" priority="2550" operator="equal">
      <formula>"Monitor"</formula>
    </cfRule>
  </conditionalFormatting>
  <conditionalFormatting sqref="I64">
    <cfRule type="cellIs" dxfId="890" priority="2540" operator="equal">
      <formula>"Normal"</formula>
    </cfRule>
    <cfRule type="cellIs" dxfId="889" priority="2541" operator="equal">
      <formula>"Monitor"</formula>
    </cfRule>
    <cfRule type="containsText" dxfId="888" priority="2542" operator="containsText" text="Repair at planned outage">
      <formula>NOT(ISERROR(SEARCH("Repair at planned outage",I64)))</formula>
    </cfRule>
    <cfRule type="containsText" dxfId="887" priority="2544" operator="containsText" text="Repair immediately">
      <formula>NOT(ISERROR(SEARCH("Repair immediately",I64)))</formula>
    </cfRule>
    <cfRule type="cellIs" dxfId="886" priority="2539" operator="equal">
      <formula>"Low"</formula>
    </cfRule>
    <cfRule type="containsText" dxfId="885" priority="2543" operator="containsText" text="Schedule unplanned outage">
      <formula>NOT(ISERROR(SEARCH("Schedule unplanned outage",I64)))</formula>
    </cfRule>
    <cfRule type="cellIs" dxfId="884" priority="2536" operator="equal">
      <formula>"Critical"</formula>
    </cfRule>
    <cfRule type="cellIs" dxfId="883" priority="2537" operator="equal">
      <formula>"High"</formula>
    </cfRule>
    <cfRule type="cellIs" dxfId="882" priority="2538" operator="equal">
      <formula>"Medium"</formula>
    </cfRule>
  </conditionalFormatting>
  <conditionalFormatting sqref="I72">
    <cfRule type="cellIs" dxfId="881" priority="2529" operator="equal">
      <formula>"Medium"</formula>
    </cfRule>
    <cfRule type="cellIs" dxfId="880" priority="2528" operator="equal">
      <formula>"High"</formula>
    </cfRule>
    <cfRule type="cellIs" dxfId="879" priority="2527" operator="equal">
      <formula>"Critical"</formula>
    </cfRule>
    <cfRule type="cellIs" dxfId="878" priority="2530" operator="equal">
      <formula>"Low"</formula>
    </cfRule>
    <cfRule type="cellIs" dxfId="877" priority="2531" operator="equal">
      <formula>"Normal"</formula>
    </cfRule>
    <cfRule type="cellIs" dxfId="876" priority="2532" operator="equal">
      <formula>"Monitor"</formula>
    </cfRule>
    <cfRule type="containsText" dxfId="875" priority="2533" operator="containsText" text="Repair at planned outage">
      <formula>NOT(ISERROR(SEARCH("Repair at planned outage",I72)))</formula>
    </cfRule>
    <cfRule type="containsText" dxfId="874" priority="2534" operator="containsText" text="Schedule unplanned outage">
      <formula>NOT(ISERROR(SEARCH("Schedule unplanned outage",I72)))</formula>
    </cfRule>
    <cfRule type="containsText" dxfId="873" priority="2535" operator="containsText" text="Repair immediately">
      <formula>NOT(ISERROR(SEARCH("Repair immediately",I72)))</formula>
    </cfRule>
  </conditionalFormatting>
  <conditionalFormatting sqref="I80">
    <cfRule type="cellIs" dxfId="872" priority="2519" operator="equal">
      <formula>"Monitor"</formula>
    </cfRule>
    <cfRule type="cellIs" dxfId="871" priority="2515" operator="equal">
      <formula>"High"</formula>
    </cfRule>
    <cfRule type="cellIs" dxfId="870" priority="2518" operator="equal">
      <formula>"Normal"</formula>
    </cfRule>
    <cfRule type="cellIs" dxfId="869" priority="2517" operator="equal">
      <formula>"Low"</formula>
    </cfRule>
    <cfRule type="containsText" dxfId="868" priority="2520" operator="containsText" text="Repair at planned outage">
      <formula>NOT(ISERROR(SEARCH("Repair at planned outage",I80)))</formula>
    </cfRule>
    <cfRule type="cellIs" dxfId="867" priority="2516" operator="equal">
      <formula>"Medium"</formula>
    </cfRule>
    <cfRule type="containsText" dxfId="866" priority="2522" operator="containsText" text="Repair immediately">
      <formula>NOT(ISERROR(SEARCH("Repair immediately",I80)))</formula>
    </cfRule>
    <cfRule type="cellIs" dxfId="865" priority="2514" operator="equal">
      <formula>"Critical"</formula>
    </cfRule>
    <cfRule type="containsText" dxfId="864" priority="2521" operator="containsText" text="Schedule unplanned outage">
      <formula>NOT(ISERROR(SEARCH("Schedule unplanned outage",I80)))</formula>
    </cfRule>
  </conditionalFormatting>
  <conditionalFormatting sqref="I88">
    <cfRule type="cellIs" dxfId="863" priority="2510" operator="equal">
      <formula>"Monitor"</formula>
    </cfRule>
    <cfRule type="containsText" dxfId="862" priority="2512" operator="containsText" text="Schedule unplanned outage">
      <formula>NOT(ISERROR(SEARCH("Schedule unplanned outage",I88)))</formula>
    </cfRule>
    <cfRule type="cellIs" dxfId="861" priority="2509" operator="equal">
      <formula>"Normal"</formula>
    </cfRule>
    <cfRule type="cellIs" dxfId="860" priority="2505" operator="equal">
      <formula>"Critical"</formula>
    </cfRule>
    <cfRule type="containsText" dxfId="859" priority="2511" operator="containsText" text="Repair at planned outage">
      <formula>NOT(ISERROR(SEARCH("Repair at planned outage",I88)))</formula>
    </cfRule>
    <cfRule type="containsText" dxfId="858" priority="2513" operator="containsText" text="Repair immediately">
      <formula>NOT(ISERROR(SEARCH("Repair immediately",I88)))</formula>
    </cfRule>
    <cfRule type="cellIs" dxfId="857" priority="2506" operator="equal">
      <formula>"High"</formula>
    </cfRule>
    <cfRule type="cellIs" dxfId="856" priority="2507" operator="equal">
      <formula>"Medium"</formula>
    </cfRule>
    <cfRule type="cellIs" dxfId="855" priority="2508" operator="equal">
      <formula>"Low"</formula>
    </cfRule>
  </conditionalFormatting>
  <conditionalFormatting sqref="I95">
    <cfRule type="cellIs" dxfId="854" priority="2498" operator="equal">
      <formula>"Medium"</formula>
    </cfRule>
    <cfRule type="cellIs" dxfId="853" priority="2496" operator="equal">
      <formula>"Critical"</formula>
    </cfRule>
    <cfRule type="containsText" dxfId="852" priority="2503" operator="containsText" text="Schedule unplanned outage">
      <formula>NOT(ISERROR(SEARCH("Schedule unplanned outage",I95)))</formula>
    </cfRule>
    <cfRule type="containsText" dxfId="851" priority="2504" operator="containsText" text="Repair immediately">
      <formula>NOT(ISERROR(SEARCH("Repair immediately",I95)))</formula>
    </cfRule>
    <cfRule type="cellIs" dxfId="850" priority="2497" operator="equal">
      <formula>"High"</formula>
    </cfRule>
    <cfRule type="containsText" dxfId="849" priority="2502" operator="containsText" text="Repair at planned outage">
      <formula>NOT(ISERROR(SEARCH("Repair at planned outage",I95)))</formula>
    </cfRule>
    <cfRule type="cellIs" dxfId="848" priority="2501" operator="equal">
      <formula>"Monitor"</formula>
    </cfRule>
    <cfRule type="cellIs" dxfId="847" priority="2500" operator="equal">
      <formula>"Normal"</formula>
    </cfRule>
    <cfRule type="cellIs" dxfId="846" priority="2499" operator="equal">
      <formula>"Low"</formula>
    </cfRule>
  </conditionalFormatting>
  <conditionalFormatting sqref="I102">
    <cfRule type="cellIs" dxfId="845" priority="2489" operator="equal">
      <formula>"Medium"</formula>
    </cfRule>
    <cfRule type="cellIs" dxfId="844" priority="2487" operator="equal">
      <formula>"Critical"</formula>
    </cfRule>
    <cfRule type="cellIs" dxfId="843" priority="2488" operator="equal">
      <formula>"High"</formula>
    </cfRule>
    <cfRule type="containsText" dxfId="842" priority="2493" operator="containsText" text="Repair at planned outage">
      <formula>NOT(ISERROR(SEARCH("Repair at planned outage",I102)))</formula>
    </cfRule>
    <cfRule type="cellIs" dxfId="841" priority="2491" operator="equal">
      <formula>"Normal"</formula>
    </cfRule>
    <cfRule type="cellIs" dxfId="840" priority="2492" operator="equal">
      <formula>"Monitor"</formula>
    </cfRule>
    <cfRule type="containsText" dxfId="839" priority="2494" operator="containsText" text="Schedule unplanned outage">
      <formula>NOT(ISERROR(SEARCH("Schedule unplanned outage",I102)))</formula>
    </cfRule>
    <cfRule type="containsText" dxfId="838" priority="2495" operator="containsText" text="Repair immediately">
      <formula>NOT(ISERROR(SEARCH("Repair immediately",I102)))</formula>
    </cfRule>
    <cfRule type="cellIs" dxfId="837" priority="2490" operator="equal">
      <formula>"Low"</formula>
    </cfRule>
  </conditionalFormatting>
  <conditionalFormatting sqref="I109">
    <cfRule type="cellIs" dxfId="836" priority="2474" operator="equal">
      <formula>"Critical"</formula>
    </cfRule>
    <cfRule type="cellIs" dxfId="835" priority="2476" operator="equal">
      <formula>"Medium"</formula>
    </cfRule>
    <cfRule type="containsText" dxfId="834" priority="2480" operator="containsText" text="Repair at planned outage">
      <formula>NOT(ISERROR(SEARCH("Repair at planned outage",I109)))</formula>
    </cfRule>
    <cfRule type="cellIs" dxfId="833" priority="2477" operator="equal">
      <formula>"Low"</formula>
    </cfRule>
    <cfRule type="cellIs" dxfId="832" priority="2478" operator="equal">
      <formula>"Normal"</formula>
    </cfRule>
    <cfRule type="cellIs" dxfId="831" priority="2475" operator="equal">
      <formula>"High"</formula>
    </cfRule>
    <cfRule type="cellIs" dxfId="830" priority="2479" operator="equal">
      <formula>"Monitor"</formula>
    </cfRule>
    <cfRule type="containsText" dxfId="829" priority="2481" operator="containsText" text="Schedule unplanned outage">
      <formula>NOT(ISERROR(SEARCH("Schedule unplanned outage",I109)))</formula>
    </cfRule>
    <cfRule type="containsText" dxfId="828" priority="2482" operator="containsText" text="Repair immediately">
      <formula>NOT(ISERROR(SEARCH("Repair immediately",I109)))</formula>
    </cfRule>
  </conditionalFormatting>
  <conditionalFormatting sqref="I116">
    <cfRule type="containsText" dxfId="827" priority="2471" operator="containsText" text="Repair at planned outage">
      <formula>NOT(ISERROR(SEARCH("Repair at planned outage",I116)))</formula>
    </cfRule>
    <cfRule type="containsText" dxfId="826" priority="2472" operator="containsText" text="Schedule unplanned outage">
      <formula>NOT(ISERROR(SEARCH("Schedule unplanned outage",I116)))</formula>
    </cfRule>
    <cfRule type="containsText" dxfId="825" priority="2473" operator="containsText" text="Repair immediately">
      <formula>NOT(ISERROR(SEARCH("Repair immediately",I116)))</formula>
    </cfRule>
    <cfRule type="cellIs" dxfId="824" priority="2469" operator="equal">
      <formula>"Normal"</formula>
    </cfRule>
    <cfRule type="cellIs" dxfId="823" priority="2468" operator="equal">
      <formula>"Low"</formula>
    </cfRule>
    <cfRule type="cellIs" dxfId="822" priority="2466" operator="equal">
      <formula>"High"</formula>
    </cfRule>
    <cfRule type="cellIs" dxfId="821" priority="2465" operator="equal">
      <formula>"Critical"</formula>
    </cfRule>
    <cfRule type="cellIs" dxfId="820" priority="2470" operator="equal">
      <formula>"Monitor"</formula>
    </cfRule>
    <cfRule type="cellIs" dxfId="819" priority="2467" operator="equal">
      <formula>"Medium"</formula>
    </cfRule>
  </conditionalFormatting>
  <conditionalFormatting sqref="I124">
    <cfRule type="containsText" dxfId="818" priority="2460" operator="containsText" text="Repair immediately">
      <formula>NOT(ISERROR(SEARCH("Repair immediately",I124)))</formula>
    </cfRule>
    <cfRule type="containsText" dxfId="817" priority="2459" operator="containsText" text="Schedule unplanned outage">
      <formula>NOT(ISERROR(SEARCH("Schedule unplanned outage",I124)))</formula>
    </cfRule>
    <cfRule type="containsText" dxfId="816" priority="2458" operator="containsText" text="Repair at planned outage">
      <formula>NOT(ISERROR(SEARCH("Repair at planned outage",I124)))</formula>
    </cfRule>
    <cfRule type="cellIs" dxfId="815" priority="2457" operator="equal">
      <formula>"Monitor"</formula>
    </cfRule>
    <cfRule type="cellIs" dxfId="814" priority="2456" operator="equal">
      <formula>"Normal"</formula>
    </cfRule>
    <cfRule type="cellIs" dxfId="813" priority="2455" operator="equal">
      <formula>"Low"</formula>
    </cfRule>
    <cfRule type="cellIs" dxfId="812" priority="2454" operator="equal">
      <formula>"Medium"</formula>
    </cfRule>
    <cfRule type="cellIs" dxfId="811" priority="2453" operator="equal">
      <formula>"High"</formula>
    </cfRule>
    <cfRule type="cellIs" dxfId="810" priority="2452" operator="equal">
      <formula>"Critical"</formula>
    </cfRule>
  </conditionalFormatting>
  <conditionalFormatting sqref="I132">
    <cfRule type="containsText" dxfId="809" priority="2450" operator="containsText" text="Schedule unplanned outage">
      <formula>NOT(ISERROR(SEARCH("Schedule unplanned outage",I132)))</formula>
    </cfRule>
    <cfRule type="containsText" dxfId="808" priority="2451" operator="containsText" text="Repair immediately">
      <formula>NOT(ISERROR(SEARCH("Repair immediately",I132)))</formula>
    </cfRule>
    <cfRule type="cellIs" dxfId="807" priority="2445" operator="equal">
      <formula>"Medium"</formula>
    </cfRule>
    <cfRule type="containsText" dxfId="806" priority="2449" operator="containsText" text="Repair at planned outage">
      <formula>NOT(ISERROR(SEARCH("Repair at planned outage",I132)))</formula>
    </cfRule>
    <cfRule type="cellIs" dxfId="805" priority="2448" operator="equal">
      <formula>"Monitor"</formula>
    </cfRule>
    <cfRule type="cellIs" dxfId="804" priority="2443" operator="equal">
      <formula>"Critical"</formula>
    </cfRule>
    <cfRule type="cellIs" dxfId="803" priority="2447" operator="equal">
      <formula>"Normal"</formula>
    </cfRule>
    <cfRule type="cellIs" dxfId="802" priority="2446" operator="equal">
      <formula>"Low"</formula>
    </cfRule>
    <cfRule type="cellIs" dxfId="801" priority="2444" operator="equal">
      <formula>"High"</formula>
    </cfRule>
  </conditionalFormatting>
  <conditionalFormatting sqref="I135">
    <cfRule type="cellIs" dxfId="800" priority="2434" operator="equal">
      <formula>"Critical"</formula>
    </cfRule>
    <cfRule type="containsText" dxfId="799" priority="2442" operator="containsText" text="Repair immediately">
      <formula>NOT(ISERROR(SEARCH("Repair immediately",I135)))</formula>
    </cfRule>
    <cfRule type="containsText" dxfId="798" priority="2441" operator="containsText" text="Schedule unplanned outage">
      <formula>NOT(ISERROR(SEARCH("Schedule unplanned outage",I135)))</formula>
    </cfRule>
    <cfRule type="cellIs" dxfId="797" priority="2439" operator="equal">
      <formula>"Monitor"</formula>
    </cfRule>
    <cfRule type="cellIs" dxfId="796" priority="2438" operator="equal">
      <formula>"Normal"</formula>
    </cfRule>
    <cfRule type="cellIs" dxfId="795" priority="2437" operator="equal">
      <formula>"Low"</formula>
    </cfRule>
    <cfRule type="cellIs" dxfId="794" priority="2436" operator="equal">
      <formula>"Medium"</formula>
    </cfRule>
    <cfRule type="containsText" dxfId="793" priority="2440" operator="containsText" text="Repair at planned outage">
      <formula>NOT(ISERROR(SEARCH("Repair at planned outage",I135)))</formula>
    </cfRule>
    <cfRule type="cellIs" dxfId="792" priority="2435" operator="equal">
      <formula>"High"</formula>
    </cfRule>
  </conditionalFormatting>
  <conditionalFormatting sqref="I138">
    <cfRule type="cellIs" dxfId="791" priority="2430" operator="equal">
      <formula>"Monitor"</formula>
    </cfRule>
    <cfRule type="cellIs" dxfId="790" priority="2425" operator="equal">
      <formula>"Critical"</formula>
    </cfRule>
    <cfRule type="cellIs" dxfId="789" priority="2426" operator="equal">
      <formula>"High"</formula>
    </cfRule>
    <cfRule type="cellIs" dxfId="788" priority="2427" operator="equal">
      <formula>"Medium"</formula>
    </cfRule>
    <cfRule type="containsText" dxfId="787" priority="2433" operator="containsText" text="Repair immediately">
      <formula>NOT(ISERROR(SEARCH("Repair immediately",I138)))</formula>
    </cfRule>
    <cfRule type="containsText" dxfId="786" priority="2432" operator="containsText" text="Schedule unplanned outage">
      <formula>NOT(ISERROR(SEARCH("Schedule unplanned outage",I138)))</formula>
    </cfRule>
    <cfRule type="cellIs" dxfId="785" priority="2428" operator="equal">
      <formula>"Low"</formula>
    </cfRule>
    <cfRule type="containsText" dxfId="784" priority="2431" operator="containsText" text="Repair at planned outage">
      <formula>NOT(ISERROR(SEARCH("Repair at planned outage",I138)))</formula>
    </cfRule>
    <cfRule type="cellIs" dxfId="783" priority="2429" operator="equal">
      <formula>"Normal"</formula>
    </cfRule>
  </conditionalFormatting>
  <conditionalFormatting sqref="I141">
    <cfRule type="cellIs" dxfId="782" priority="2421" operator="equal">
      <formula>"Monitor"</formula>
    </cfRule>
    <cfRule type="cellIs" dxfId="781" priority="2416" operator="equal">
      <formula>"Critical"</formula>
    </cfRule>
    <cfRule type="cellIs" dxfId="780" priority="2417" operator="equal">
      <formula>"High"</formula>
    </cfRule>
    <cfRule type="cellIs" dxfId="779" priority="2419" operator="equal">
      <formula>"Low"</formula>
    </cfRule>
    <cfRule type="cellIs" dxfId="778" priority="2420" operator="equal">
      <formula>"Normal"</formula>
    </cfRule>
    <cfRule type="containsText" dxfId="777" priority="2422" operator="containsText" text="Repair at planned outage">
      <formula>NOT(ISERROR(SEARCH("Repair at planned outage",I141)))</formula>
    </cfRule>
    <cfRule type="cellIs" dxfId="776" priority="2418" operator="equal">
      <formula>"Medium"</formula>
    </cfRule>
    <cfRule type="containsText" dxfId="775" priority="2424" operator="containsText" text="Repair immediately">
      <formula>NOT(ISERROR(SEARCH("Repair immediately",I141)))</formula>
    </cfRule>
    <cfRule type="containsText" dxfId="774" priority="2423" operator="containsText" text="Schedule unplanned outage">
      <formula>NOT(ISERROR(SEARCH("Schedule unplanned outage",I141)))</formula>
    </cfRule>
  </conditionalFormatting>
  <conditionalFormatting sqref="I144">
    <cfRule type="containsText" dxfId="773" priority="2414" operator="containsText" text="Schedule unplanned outage">
      <formula>NOT(ISERROR(SEARCH("Schedule unplanned outage",I144)))</formula>
    </cfRule>
    <cfRule type="containsText" dxfId="772" priority="2413" operator="containsText" text="Repair at planned outage">
      <formula>NOT(ISERROR(SEARCH("Repair at planned outage",I144)))</formula>
    </cfRule>
    <cfRule type="cellIs" dxfId="771" priority="2412" operator="equal">
      <formula>"Monitor"</formula>
    </cfRule>
    <cfRule type="containsText" dxfId="770" priority="2415" operator="containsText" text="Repair immediately">
      <formula>NOT(ISERROR(SEARCH("Repair immediately",I144)))</formula>
    </cfRule>
    <cfRule type="cellIs" dxfId="769" priority="2411" operator="equal">
      <formula>"Normal"</formula>
    </cfRule>
    <cfRule type="cellIs" dxfId="768" priority="2410" operator="equal">
      <formula>"Low"</formula>
    </cfRule>
    <cfRule type="cellIs" dxfId="767" priority="2409" operator="equal">
      <formula>"Medium"</formula>
    </cfRule>
    <cfRule type="cellIs" dxfId="766" priority="2408" operator="equal">
      <formula>"High"</formula>
    </cfRule>
    <cfRule type="cellIs" dxfId="765" priority="2407" operator="equal">
      <formula>"Critical"</formula>
    </cfRule>
  </conditionalFormatting>
  <conditionalFormatting sqref="I146">
    <cfRule type="cellIs" dxfId="764" priority="2398" operator="equal">
      <formula>"Normal"</formula>
    </cfRule>
    <cfRule type="cellIs" dxfId="763" priority="2399" operator="equal">
      <formula>"Monitor"</formula>
    </cfRule>
    <cfRule type="containsText" dxfId="762" priority="2400" operator="containsText" text="Repair at planned outage">
      <formula>NOT(ISERROR(SEARCH("Repair at planned outage",I146)))</formula>
    </cfRule>
    <cfRule type="cellIs" dxfId="761" priority="2397" operator="equal">
      <formula>"Low"</formula>
    </cfRule>
    <cfRule type="cellIs" dxfId="760" priority="2396" operator="equal">
      <formula>"Medium"</formula>
    </cfRule>
    <cfRule type="cellIs" dxfId="759" priority="2394" operator="equal">
      <formula>"Critical"</formula>
    </cfRule>
    <cfRule type="cellIs" dxfId="758" priority="2395" operator="equal">
      <formula>"High"</formula>
    </cfRule>
    <cfRule type="containsText" dxfId="757" priority="2402" operator="containsText" text="Repair immediately">
      <formula>NOT(ISERROR(SEARCH("Repair immediately",I146)))</formula>
    </cfRule>
    <cfRule type="containsText" dxfId="756" priority="2401" operator="containsText" text="Schedule unplanned outage">
      <formula>NOT(ISERROR(SEARCH("Schedule unplanned outage",I146)))</formula>
    </cfRule>
  </conditionalFormatting>
  <conditionalFormatting sqref="I149">
    <cfRule type="cellIs" dxfId="755" priority="379" operator="equal">
      <formula>"Medium"</formula>
    </cfRule>
    <cfRule type="cellIs" dxfId="754" priority="380" operator="equal">
      <formula>"Low"</formula>
    </cfRule>
    <cfRule type="cellIs" dxfId="753" priority="382" operator="equal">
      <formula>"Monitor"</formula>
    </cfRule>
    <cfRule type="cellIs" dxfId="752" priority="381" operator="equal">
      <formula>"Normal"</formula>
    </cfRule>
    <cfRule type="cellIs" dxfId="751" priority="377" operator="equal">
      <formula>"Critical"</formula>
    </cfRule>
    <cfRule type="containsText" dxfId="750" priority="383" operator="containsText" text="Repair at planned outage">
      <formula>NOT(ISERROR(SEARCH("Repair at planned outage",I149)))</formula>
    </cfRule>
    <cfRule type="containsText" dxfId="749" priority="384" operator="containsText" text="Schedule unplanned outage">
      <formula>NOT(ISERROR(SEARCH("Schedule unplanned outage",I149)))</formula>
    </cfRule>
    <cfRule type="containsText" dxfId="748" priority="385" operator="containsText" text="Repair immediately">
      <formula>NOT(ISERROR(SEARCH("Repair immediately",I149)))</formula>
    </cfRule>
    <cfRule type="cellIs" dxfId="747" priority="378" operator="equal">
      <formula>"High"</formula>
    </cfRule>
  </conditionalFormatting>
  <conditionalFormatting sqref="I157">
    <cfRule type="cellIs" dxfId="746" priority="351" operator="equal">
      <formula>"High"</formula>
    </cfRule>
    <cfRule type="cellIs" dxfId="745" priority="350" operator="equal">
      <formula>"Critical"</formula>
    </cfRule>
    <cfRule type="containsText" dxfId="744" priority="356" operator="containsText" text="Repair at planned outage">
      <formula>NOT(ISERROR(SEARCH("Repair at planned outage",I157)))</formula>
    </cfRule>
    <cfRule type="cellIs" dxfId="743" priority="352" operator="equal">
      <formula>"Medium"</formula>
    </cfRule>
    <cfRule type="cellIs" dxfId="742" priority="353" operator="equal">
      <formula>"Low"</formula>
    </cfRule>
    <cfRule type="cellIs" dxfId="741" priority="354" operator="equal">
      <formula>"Normal"</formula>
    </cfRule>
    <cfRule type="containsText" dxfId="740" priority="357" operator="containsText" text="Schedule unplanned outage">
      <formula>NOT(ISERROR(SEARCH("Schedule unplanned outage",I157)))</formula>
    </cfRule>
    <cfRule type="cellIs" dxfId="739" priority="355" operator="equal">
      <formula>"Monitor"</formula>
    </cfRule>
    <cfRule type="containsText" dxfId="738" priority="358" operator="containsText" text="Repair immediately">
      <formula>NOT(ISERROR(SEARCH("Repair immediately",I157)))</formula>
    </cfRule>
  </conditionalFormatting>
  <conditionalFormatting sqref="I165">
    <cfRule type="cellIs" dxfId="737" priority="332" operator="equal">
      <formula>"Critical"</formula>
    </cfRule>
    <cfRule type="cellIs" dxfId="736" priority="333" operator="equal">
      <formula>"High"</formula>
    </cfRule>
    <cfRule type="cellIs" dxfId="735" priority="334" operator="equal">
      <formula>"Medium"</formula>
    </cfRule>
    <cfRule type="cellIs" dxfId="734" priority="335" operator="equal">
      <formula>"Low"</formula>
    </cfRule>
    <cfRule type="cellIs" dxfId="733" priority="336" operator="equal">
      <formula>"Normal"</formula>
    </cfRule>
    <cfRule type="cellIs" dxfId="732" priority="337" operator="equal">
      <formula>"Monitor"</formula>
    </cfRule>
    <cfRule type="containsText" dxfId="731" priority="338" operator="containsText" text="Repair at planned outage">
      <formula>NOT(ISERROR(SEARCH("Repair at planned outage",I165)))</formula>
    </cfRule>
    <cfRule type="containsText" dxfId="730" priority="339" operator="containsText" text="Schedule unplanned outage">
      <formula>NOT(ISERROR(SEARCH("Schedule unplanned outage",I165)))</formula>
    </cfRule>
    <cfRule type="containsText" dxfId="729" priority="340" operator="containsText" text="Repair immediately">
      <formula>NOT(ISERROR(SEARCH("Repair immediately",I165)))</formula>
    </cfRule>
  </conditionalFormatting>
  <conditionalFormatting sqref="I173">
    <cfRule type="cellIs" dxfId="728" priority="320" operator="equal">
      <formula>"High"</formula>
    </cfRule>
    <cfRule type="containsText" dxfId="727" priority="327" operator="containsText" text="Repair immediately">
      <formula>NOT(ISERROR(SEARCH("Repair immediately",I173)))</formula>
    </cfRule>
    <cfRule type="cellIs" dxfId="726" priority="319" operator="equal">
      <formula>"Critical"</formula>
    </cfRule>
    <cfRule type="cellIs" dxfId="725" priority="321" operator="equal">
      <formula>"Medium"</formula>
    </cfRule>
    <cfRule type="cellIs" dxfId="724" priority="322" operator="equal">
      <formula>"Low"</formula>
    </cfRule>
    <cfRule type="cellIs" dxfId="723" priority="323" operator="equal">
      <formula>"Normal"</formula>
    </cfRule>
    <cfRule type="cellIs" dxfId="722" priority="324" operator="equal">
      <formula>"Monitor"</formula>
    </cfRule>
    <cfRule type="containsText" dxfId="721" priority="325" operator="containsText" text="Repair at planned outage">
      <formula>NOT(ISERROR(SEARCH("Repair at planned outage",I173)))</formula>
    </cfRule>
    <cfRule type="containsText" dxfId="720" priority="326" operator="containsText" text="Schedule unplanned outage">
      <formula>NOT(ISERROR(SEARCH("Schedule unplanned outage",I173)))</formula>
    </cfRule>
  </conditionalFormatting>
  <conditionalFormatting sqref="I178">
    <cfRule type="containsText" dxfId="719" priority="309" operator="containsText" text="Repair immediately">
      <formula>NOT(ISERROR(SEARCH("Repair immediately",I178)))</formula>
    </cfRule>
    <cfRule type="cellIs" dxfId="718" priority="306" operator="equal">
      <formula>"Monitor"</formula>
    </cfRule>
    <cfRule type="containsText" dxfId="717" priority="308" operator="containsText" text="Schedule unplanned outage">
      <formula>NOT(ISERROR(SEARCH("Schedule unplanned outage",I178)))</formula>
    </cfRule>
    <cfRule type="cellIs" dxfId="716" priority="305" operator="equal">
      <formula>"Normal"</formula>
    </cfRule>
    <cfRule type="containsText" dxfId="715" priority="307" operator="containsText" text="Repair at planned outage">
      <formula>NOT(ISERROR(SEARCH("Repair at planned outage",I178)))</formula>
    </cfRule>
  </conditionalFormatting>
  <conditionalFormatting sqref="I183">
    <cfRule type="containsText" dxfId="714" priority="2387" operator="containsText" text="Repair at planned outage">
      <formula>NOT(ISERROR(SEARCH("Repair at planned outage",I183)))</formula>
    </cfRule>
    <cfRule type="cellIs" dxfId="713" priority="2384" operator="equal">
      <formula>"Low"</formula>
    </cfRule>
    <cfRule type="cellIs" dxfId="712" priority="2381" operator="equal">
      <formula>"Critical"</formula>
    </cfRule>
    <cfRule type="cellIs" dxfId="711" priority="2382" operator="equal">
      <formula>"High"</formula>
    </cfRule>
    <cfRule type="cellIs" dxfId="710" priority="2383" operator="equal">
      <formula>"Medium"</formula>
    </cfRule>
    <cfRule type="cellIs" dxfId="709" priority="2386" operator="equal">
      <formula>"Monitor"</formula>
    </cfRule>
    <cfRule type="containsText" dxfId="708" priority="2388" operator="containsText" text="Schedule unplanned outage">
      <formula>NOT(ISERROR(SEARCH("Schedule unplanned outage",I183)))</formula>
    </cfRule>
    <cfRule type="containsText" dxfId="707" priority="2389" operator="containsText" text="Repair immediately">
      <formula>NOT(ISERROR(SEARCH("Repair immediately",I183)))</formula>
    </cfRule>
    <cfRule type="cellIs" dxfId="706" priority="2385" operator="equal">
      <formula>"Normal"</formula>
    </cfRule>
  </conditionalFormatting>
  <conditionalFormatting sqref="I193">
    <cfRule type="cellIs" dxfId="705" priority="638" operator="equal">
      <formula>"Critical"</formula>
    </cfRule>
    <cfRule type="cellIs" dxfId="704" priority="639" operator="equal">
      <formula>"High"</formula>
    </cfRule>
    <cfRule type="cellIs" dxfId="703" priority="642" operator="equal">
      <formula>"Normal"</formula>
    </cfRule>
    <cfRule type="cellIs" dxfId="702" priority="643" operator="equal">
      <formula>"Monitor"</formula>
    </cfRule>
    <cfRule type="cellIs" dxfId="701" priority="640" operator="equal">
      <formula>"Medium"</formula>
    </cfRule>
    <cfRule type="containsText" dxfId="700" priority="644" operator="containsText" text="Repair at planned outage">
      <formula>NOT(ISERROR(SEARCH("Repair at planned outage",I193)))</formula>
    </cfRule>
    <cfRule type="containsText" dxfId="699" priority="645" operator="containsText" text="Schedule unplanned outage">
      <formula>NOT(ISERROR(SEARCH("Schedule unplanned outage",I193)))</formula>
    </cfRule>
    <cfRule type="containsText" dxfId="698" priority="646" operator="containsText" text="Repair immediately">
      <formula>NOT(ISERROR(SEARCH("Repair immediately",I193)))</formula>
    </cfRule>
    <cfRule type="cellIs" dxfId="697" priority="641" operator="equal">
      <formula>"Low"</formula>
    </cfRule>
  </conditionalFormatting>
  <conditionalFormatting sqref="I204">
    <cfRule type="cellIs" dxfId="696" priority="621" operator="equal">
      <formula>"Monitor"</formula>
    </cfRule>
    <cfRule type="cellIs" dxfId="695" priority="620" operator="equal">
      <formula>"Normal"</formula>
    </cfRule>
    <cfRule type="cellIs" dxfId="694" priority="617" operator="equal">
      <formula>"High"</formula>
    </cfRule>
    <cfRule type="cellIs" dxfId="693" priority="616" operator="equal">
      <formula>"Critical"</formula>
    </cfRule>
    <cfRule type="containsText" dxfId="692" priority="623" operator="containsText" text="Schedule unplanned outage">
      <formula>NOT(ISERROR(SEARCH("Schedule unplanned outage",I204)))</formula>
    </cfRule>
    <cfRule type="containsText" dxfId="691" priority="622" operator="containsText" text="Repair at planned outage">
      <formula>NOT(ISERROR(SEARCH("Repair at planned outage",I204)))</formula>
    </cfRule>
    <cfRule type="containsText" dxfId="690" priority="624" operator="containsText" text="Repair immediately">
      <formula>NOT(ISERROR(SEARCH("Repair immediately",I204)))</formula>
    </cfRule>
    <cfRule type="cellIs" dxfId="689" priority="619" operator="equal">
      <formula>"Low"</formula>
    </cfRule>
    <cfRule type="cellIs" dxfId="688" priority="618" operator="equal">
      <formula>"Medium"</formula>
    </cfRule>
  </conditionalFormatting>
  <conditionalFormatting sqref="I239">
    <cfRule type="containsText" dxfId="687" priority="981" operator="containsText" text="Repair immediately">
      <formula>NOT(ISERROR(SEARCH("Repair immediately",I239)))</formula>
    </cfRule>
    <cfRule type="cellIs" dxfId="686" priority="973" operator="equal">
      <formula>"Critical"</formula>
    </cfRule>
    <cfRule type="cellIs" dxfId="685" priority="974" operator="equal">
      <formula>"High"</formula>
    </cfRule>
    <cfRule type="cellIs" dxfId="684" priority="975" operator="equal">
      <formula>"Medium"</formula>
    </cfRule>
    <cfRule type="cellIs" dxfId="683" priority="976" operator="equal">
      <formula>"Low"</formula>
    </cfRule>
    <cfRule type="cellIs" dxfId="682" priority="977" operator="equal">
      <formula>"Normal"</formula>
    </cfRule>
    <cfRule type="cellIs" dxfId="681" priority="978" operator="equal">
      <formula>"Monitor"</formula>
    </cfRule>
    <cfRule type="containsText" dxfId="680" priority="979" operator="containsText" text="Repair at planned outage">
      <formula>NOT(ISERROR(SEARCH("Repair at planned outage",I239)))</formula>
    </cfRule>
    <cfRule type="containsText" dxfId="679" priority="980" operator="containsText" text="Schedule unplanned outage">
      <formula>NOT(ISERROR(SEARCH("Schedule unplanned outage",I239)))</formula>
    </cfRule>
  </conditionalFormatting>
  <conditionalFormatting sqref="I249 I257 I265">
    <cfRule type="cellIs" dxfId="678" priority="964" operator="equal">
      <formula>"Critical"</formula>
    </cfRule>
    <cfRule type="cellIs" dxfId="677" priority="969" operator="equal">
      <formula>"Monitor"</formula>
    </cfRule>
    <cfRule type="cellIs" dxfId="676" priority="968" operator="equal">
      <formula>"Normal"</formula>
    </cfRule>
    <cfRule type="cellIs" dxfId="675" priority="967" operator="equal">
      <formula>"Low"</formula>
    </cfRule>
    <cfRule type="cellIs" dxfId="674" priority="966" operator="equal">
      <formula>"Medium"</formula>
    </cfRule>
    <cfRule type="cellIs" dxfId="673" priority="965" operator="equal">
      <formula>"High"</formula>
    </cfRule>
    <cfRule type="containsText" dxfId="672" priority="972" operator="containsText" text="Repair immediately">
      <formula>NOT(ISERROR(SEARCH("Repair immediately",I249)))</formula>
    </cfRule>
    <cfRule type="containsText" dxfId="671" priority="970" operator="containsText" text="Repair at planned outage">
      <formula>NOT(ISERROR(SEARCH("Repair at planned outage",I249)))</formula>
    </cfRule>
    <cfRule type="containsText" dxfId="670" priority="971" operator="containsText" text="Schedule unplanned outage">
      <formula>NOT(ISERROR(SEARCH("Schedule unplanned outage",I249)))</formula>
    </cfRule>
  </conditionalFormatting>
  <conditionalFormatting sqref="I273">
    <cfRule type="cellIs" dxfId="669" priority="959" operator="equal">
      <formula>"Normal"</formula>
    </cfRule>
    <cfRule type="containsText" dxfId="668" priority="963" operator="containsText" text="Repair immediately">
      <formula>NOT(ISERROR(SEARCH("Repair immediately",I273)))</formula>
    </cfRule>
    <cfRule type="containsText" dxfId="667" priority="962" operator="containsText" text="Schedule unplanned outage">
      <formula>NOT(ISERROR(SEARCH("Schedule unplanned outage",I273)))</formula>
    </cfRule>
    <cfRule type="containsText" dxfId="666" priority="961" operator="containsText" text="Repair at planned outage">
      <formula>NOT(ISERROR(SEARCH("Repair at planned outage",I273)))</formula>
    </cfRule>
    <cfRule type="cellIs" dxfId="665" priority="958" operator="equal">
      <formula>"Low"</formula>
    </cfRule>
    <cfRule type="cellIs" dxfId="664" priority="957" operator="equal">
      <formula>"Medium"</formula>
    </cfRule>
    <cfRule type="cellIs" dxfId="663" priority="956" operator="equal">
      <formula>"High"</formula>
    </cfRule>
    <cfRule type="cellIs" dxfId="662" priority="955" operator="equal">
      <formula>"Critical"</formula>
    </cfRule>
    <cfRule type="cellIs" dxfId="661" priority="960" operator="equal">
      <formula>"Monitor"</formula>
    </cfRule>
  </conditionalFormatting>
  <conditionalFormatting sqref="I281">
    <cfRule type="cellIs" dxfId="660" priority="949" operator="equal">
      <formula>"Low"</formula>
    </cfRule>
    <cfRule type="containsText" dxfId="659" priority="954" operator="containsText" text="Repair immediately">
      <formula>NOT(ISERROR(SEARCH("Repair immediately",I281)))</formula>
    </cfRule>
    <cfRule type="containsText" dxfId="658" priority="953" operator="containsText" text="Schedule unplanned outage">
      <formula>NOT(ISERROR(SEARCH("Schedule unplanned outage",I281)))</formula>
    </cfRule>
    <cfRule type="containsText" dxfId="657" priority="952" operator="containsText" text="Repair at planned outage">
      <formula>NOT(ISERROR(SEARCH("Repair at planned outage",I281)))</formula>
    </cfRule>
    <cfRule type="cellIs" dxfId="656" priority="951" operator="equal">
      <formula>"Monitor"</formula>
    </cfRule>
    <cfRule type="cellIs" dxfId="655" priority="950" operator="equal">
      <formula>"Normal"</formula>
    </cfRule>
    <cfRule type="cellIs" dxfId="654" priority="948" operator="equal">
      <formula>"Medium"</formula>
    </cfRule>
    <cfRule type="cellIs" dxfId="653" priority="947" operator="equal">
      <formula>"High"</formula>
    </cfRule>
    <cfRule type="cellIs" dxfId="652" priority="946" operator="equal">
      <formula>"Critical"</formula>
    </cfRule>
  </conditionalFormatting>
  <conditionalFormatting sqref="I289">
    <cfRule type="containsText" dxfId="651" priority="939" operator="containsText" text="Repair at planned outage">
      <formula>NOT(ISERROR(SEARCH("Repair at planned outage",I289)))</formula>
    </cfRule>
    <cfRule type="containsText" dxfId="650" priority="941" operator="containsText" text="Repair immediately">
      <formula>NOT(ISERROR(SEARCH("Repair immediately",I289)))</formula>
    </cfRule>
    <cfRule type="cellIs" dxfId="649" priority="938" operator="equal">
      <formula>"Monitor"</formula>
    </cfRule>
    <cfRule type="cellIs" dxfId="648" priority="937" operator="equal">
      <formula>"Normal"</formula>
    </cfRule>
    <cfRule type="cellIs" dxfId="647" priority="936" operator="equal">
      <formula>"Low"</formula>
    </cfRule>
    <cfRule type="cellIs" dxfId="646" priority="935" operator="equal">
      <formula>"Medium"</formula>
    </cfRule>
    <cfRule type="containsText" dxfId="645" priority="940" operator="containsText" text="Schedule unplanned outage">
      <formula>NOT(ISERROR(SEARCH("Schedule unplanned outage",I289)))</formula>
    </cfRule>
    <cfRule type="cellIs" dxfId="644" priority="934" operator="equal">
      <formula>"High"</formula>
    </cfRule>
    <cfRule type="cellIs" dxfId="643" priority="933" operator="equal">
      <formula>"Critical"</formula>
    </cfRule>
  </conditionalFormatting>
  <conditionalFormatting sqref="I297">
    <cfRule type="containsText" dxfId="642" priority="931" operator="containsText" text="Schedule unplanned outage">
      <formula>NOT(ISERROR(SEARCH("Schedule unplanned outage",I297)))</formula>
    </cfRule>
    <cfRule type="cellIs" dxfId="641" priority="929" operator="equal">
      <formula>"Monitor"</formula>
    </cfRule>
    <cfRule type="cellIs" dxfId="640" priority="928" operator="equal">
      <formula>"Normal"</formula>
    </cfRule>
    <cfRule type="cellIs" dxfId="639" priority="927" operator="equal">
      <formula>"Low"</formula>
    </cfRule>
    <cfRule type="cellIs" dxfId="638" priority="926" operator="equal">
      <formula>"Medium"</formula>
    </cfRule>
    <cfRule type="containsText" dxfId="637" priority="932" operator="containsText" text="Repair immediately">
      <formula>NOT(ISERROR(SEARCH("Repair immediately",I297)))</formula>
    </cfRule>
    <cfRule type="cellIs" dxfId="636" priority="925" operator="equal">
      <formula>"High"</formula>
    </cfRule>
    <cfRule type="containsText" dxfId="635" priority="930" operator="containsText" text="Repair at planned outage">
      <formula>NOT(ISERROR(SEARCH("Repair at planned outage",I297)))</formula>
    </cfRule>
    <cfRule type="cellIs" dxfId="634" priority="924" operator="equal">
      <formula>"Critical"</formula>
    </cfRule>
  </conditionalFormatting>
  <conditionalFormatting sqref="I304">
    <cfRule type="cellIs" dxfId="633" priority="919" operator="equal">
      <formula>"Normal"</formula>
    </cfRule>
    <cfRule type="cellIs" dxfId="632" priority="918" operator="equal">
      <formula>"Low"</formula>
    </cfRule>
    <cfRule type="cellIs" dxfId="631" priority="917" operator="equal">
      <formula>"Medium"</formula>
    </cfRule>
    <cfRule type="containsText" dxfId="630" priority="922" operator="containsText" text="Schedule unplanned outage">
      <formula>NOT(ISERROR(SEARCH("Schedule unplanned outage",I304)))</formula>
    </cfRule>
    <cfRule type="cellIs" dxfId="629" priority="916" operator="equal">
      <formula>"High"</formula>
    </cfRule>
    <cfRule type="cellIs" dxfId="628" priority="915" operator="equal">
      <formula>"Critical"</formula>
    </cfRule>
    <cfRule type="containsText" dxfId="627" priority="921" operator="containsText" text="Repair at planned outage">
      <formula>NOT(ISERROR(SEARCH("Repair at planned outage",I304)))</formula>
    </cfRule>
    <cfRule type="containsText" dxfId="626" priority="923" operator="containsText" text="Repair immediately">
      <formula>NOT(ISERROR(SEARCH("Repair immediately",I304)))</formula>
    </cfRule>
    <cfRule type="cellIs" dxfId="625" priority="920" operator="equal">
      <formula>"Monitor"</formula>
    </cfRule>
  </conditionalFormatting>
  <conditionalFormatting sqref="I311">
    <cfRule type="cellIs" dxfId="624" priority="910" operator="equal">
      <formula>"Normal"</formula>
    </cfRule>
    <cfRule type="cellIs" dxfId="623" priority="909" operator="equal">
      <formula>"Low"</formula>
    </cfRule>
    <cfRule type="cellIs" dxfId="622" priority="908" operator="equal">
      <formula>"Medium"</formula>
    </cfRule>
    <cfRule type="cellIs" dxfId="621" priority="907" operator="equal">
      <formula>"High"</formula>
    </cfRule>
    <cfRule type="cellIs" dxfId="620" priority="906" operator="equal">
      <formula>"Critical"</formula>
    </cfRule>
    <cfRule type="containsText" dxfId="619" priority="912" operator="containsText" text="Repair at planned outage">
      <formula>NOT(ISERROR(SEARCH("Repair at planned outage",I311)))</formula>
    </cfRule>
    <cfRule type="containsText" dxfId="618" priority="913" operator="containsText" text="Schedule unplanned outage">
      <formula>NOT(ISERROR(SEARCH("Schedule unplanned outage",I311)))</formula>
    </cfRule>
    <cfRule type="cellIs" dxfId="617" priority="911" operator="equal">
      <formula>"Monitor"</formula>
    </cfRule>
    <cfRule type="containsText" dxfId="616" priority="914" operator="containsText" text="Repair immediately">
      <formula>NOT(ISERROR(SEARCH("Repair immediately",I311)))</formula>
    </cfRule>
  </conditionalFormatting>
  <conditionalFormatting sqref="I318">
    <cfRule type="containsText" dxfId="615" priority="905" operator="containsText" text="Repair immediately">
      <formula>NOT(ISERROR(SEARCH("Repair immediately",I318)))</formula>
    </cfRule>
    <cfRule type="containsText" dxfId="614" priority="903" operator="containsText" text="Repair at planned outage">
      <formula>NOT(ISERROR(SEARCH("Repair at planned outage",I318)))</formula>
    </cfRule>
    <cfRule type="cellIs" dxfId="613" priority="897" operator="equal">
      <formula>"Critical"</formula>
    </cfRule>
    <cfRule type="cellIs" dxfId="612" priority="898" operator="equal">
      <formula>"High"</formula>
    </cfRule>
    <cfRule type="cellIs" dxfId="611" priority="899" operator="equal">
      <formula>"Medium"</formula>
    </cfRule>
    <cfRule type="cellIs" dxfId="610" priority="900" operator="equal">
      <formula>"Low"</formula>
    </cfRule>
    <cfRule type="cellIs" dxfId="609" priority="901" operator="equal">
      <formula>"Normal"</formula>
    </cfRule>
    <cfRule type="cellIs" dxfId="608" priority="902" operator="equal">
      <formula>"Monitor"</formula>
    </cfRule>
    <cfRule type="containsText" dxfId="607" priority="904" operator="containsText" text="Schedule unplanned outage">
      <formula>NOT(ISERROR(SEARCH("Schedule unplanned outage",I318)))</formula>
    </cfRule>
  </conditionalFormatting>
  <conditionalFormatting sqref="I325">
    <cfRule type="cellIs" dxfId="606" priority="891" operator="equal">
      <formula>"Low"</formula>
    </cfRule>
    <cfRule type="containsText" dxfId="605" priority="895" operator="containsText" text="Schedule unplanned outage">
      <formula>NOT(ISERROR(SEARCH("Schedule unplanned outage",I325)))</formula>
    </cfRule>
    <cfRule type="containsText" dxfId="604" priority="894" operator="containsText" text="Repair at planned outage">
      <formula>NOT(ISERROR(SEARCH("Repair at planned outage",I325)))</formula>
    </cfRule>
    <cfRule type="cellIs" dxfId="603" priority="892" operator="equal">
      <formula>"Normal"</formula>
    </cfRule>
    <cfRule type="cellIs" dxfId="602" priority="893" operator="equal">
      <formula>"Monitor"</formula>
    </cfRule>
    <cfRule type="cellIs" dxfId="601" priority="890" operator="equal">
      <formula>"Medium"</formula>
    </cfRule>
    <cfRule type="cellIs" dxfId="600" priority="889" operator="equal">
      <formula>"High"</formula>
    </cfRule>
    <cfRule type="cellIs" dxfId="599" priority="888" operator="equal">
      <formula>"Critical"</formula>
    </cfRule>
    <cfRule type="containsText" dxfId="598" priority="896" operator="containsText" text="Repair immediately">
      <formula>NOT(ISERROR(SEARCH("Repair immediately",I325)))</formula>
    </cfRule>
  </conditionalFormatting>
  <conditionalFormatting sqref="I333">
    <cfRule type="cellIs" dxfId="597" priority="879" operator="equal">
      <formula>"Normal"</formula>
    </cfRule>
    <cfRule type="cellIs" dxfId="596" priority="878" operator="equal">
      <formula>"Low"</formula>
    </cfRule>
    <cfRule type="cellIs" dxfId="595" priority="877" operator="equal">
      <formula>"Medium"</formula>
    </cfRule>
    <cfRule type="cellIs" dxfId="594" priority="876" operator="equal">
      <formula>"High"</formula>
    </cfRule>
    <cfRule type="cellIs" dxfId="593" priority="875" operator="equal">
      <formula>"Critical"</formula>
    </cfRule>
    <cfRule type="containsText" dxfId="592" priority="883" operator="containsText" text="Repair immediately">
      <formula>NOT(ISERROR(SEARCH("Repair immediately",I333)))</formula>
    </cfRule>
    <cfRule type="containsText" dxfId="591" priority="882" operator="containsText" text="Schedule unplanned outage">
      <formula>NOT(ISERROR(SEARCH("Schedule unplanned outage",I333)))</formula>
    </cfRule>
    <cfRule type="containsText" dxfId="590" priority="881" operator="containsText" text="Repair at planned outage">
      <formula>NOT(ISERROR(SEARCH("Repair at planned outage",I333)))</formula>
    </cfRule>
    <cfRule type="cellIs" dxfId="589" priority="880" operator="equal">
      <formula>"Monitor"</formula>
    </cfRule>
  </conditionalFormatting>
  <conditionalFormatting sqref="I341">
    <cfRule type="containsText" dxfId="588" priority="837" operator="containsText" text="Schedule unplanned outage">
      <formula>NOT(ISERROR(SEARCH("Schedule unplanned outage",I341)))</formula>
    </cfRule>
    <cfRule type="cellIs" dxfId="587" priority="832" operator="equal">
      <formula>"Medium"</formula>
    </cfRule>
    <cfRule type="cellIs" dxfId="586" priority="833" operator="equal">
      <formula>"Low"</formula>
    </cfRule>
    <cfRule type="cellIs" dxfId="585" priority="835" operator="equal">
      <formula>"Monitor"</formula>
    </cfRule>
    <cfRule type="cellIs" dxfId="584" priority="830" operator="equal">
      <formula>"Critical"</formula>
    </cfRule>
    <cfRule type="containsText" dxfId="583" priority="836" operator="containsText" text="Repair at planned outage">
      <formula>NOT(ISERROR(SEARCH("Repair at planned outage",I341)))</formula>
    </cfRule>
    <cfRule type="cellIs" dxfId="582" priority="834" operator="equal">
      <formula>"Normal"</formula>
    </cfRule>
    <cfRule type="cellIs" dxfId="581" priority="831" operator="equal">
      <formula>"High"</formula>
    </cfRule>
    <cfRule type="containsText" dxfId="580" priority="838" operator="containsText" text="Repair immediately">
      <formula>NOT(ISERROR(SEARCH("Repair immediately",I341)))</formula>
    </cfRule>
  </conditionalFormatting>
  <conditionalFormatting sqref="I343">
    <cfRule type="cellIs" dxfId="579" priority="822" operator="equal">
      <formula>"Monitor"</formula>
    </cfRule>
    <cfRule type="cellIs" dxfId="578" priority="820" operator="equal">
      <formula>"Low"</formula>
    </cfRule>
    <cfRule type="cellIs" dxfId="577" priority="819" operator="equal">
      <formula>"Medium"</formula>
    </cfRule>
    <cfRule type="cellIs" dxfId="576" priority="817" operator="equal">
      <formula>"Critical"</formula>
    </cfRule>
    <cfRule type="cellIs" dxfId="575" priority="821" operator="equal">
      <formula>"Normal"</formula>
    </cfRule>
    <cfRule type="containsText" dxfId="574" priority="825" operator="containsText" text="Repair immediately">
      <formula>NOT(ISERROR(SEARCH("Repair immediately",I343)))</formula>
    </cfRule>
    <cfRule type="containsText" dxfId="573" priority="824" operator="containsText" text="Schedule unplanned outage">
      <formula>NOT(ISERROR(SEARCH("Schedule unplanned outage",I343)))</formula>
    </cfRule>
    <cfRule type="containsText" dxfId="572" priority="823" operator="containsText" text="Repair at planned outage">
      <formula>NOT(ISERROR(SEARCH("Repair at planned outage",I343)))</formula>
    </cfRule>
    <cfRule type="cellIs" dxfId="571" priority="818" operator="equal">
      <formula>"High"</formula>
    </cfRule>
  </conditionalFormatting>
  <conditionalFormatting sqref="I346">
    <cfRule type="containsText" dxfId="570" priority="272" operator="containsText" text="Schedule unplanned outage">
      <formula>NOT(ISERROR(SEARCH("Schedule unplanned outage",I346)))</formula>
    </cfRule>
    <cfRule type="containsText" dxfId="569" priority="271" operator="containsText" text="Repair at planned outage">
      <formula>NOT(ISERROR(SEARCH("Repair at planned outage",I346)))</formula>
    </cfRule>
    <cfRule type="cellIs" dxfId="568" priority="270" operator="equal">
      <formula>"Monitor"</formula>
    </cfRule>
    <cfRule type="cellIs" dxfId="567" priority="269" operator="equal">
      <formula>"Normal"</formula>
    </cfRule>
    <cfRule type="cellIs" dxfId="566" priority="267" operator="equal">
      <formula>"Medium"</formula>
    </cfRule>
    <cfRule type="cellIs" dxfId="565" priority="266" operator="equal">
      <formula>"High"</formula>
    </cfRule>
    <cfRule type="cellIs" dxfId="564" priority="265" operator="equal">
      <formula>"Critical"</formula>
    </cfRule>
    <cfRule type="cellIs" dxfId="563" priority="268" operator="equal">
      <formula>"Low"</formula>
    </cfRule>
    <cfRule type="containsText" dxfId="562" priority="273" operator="containsText" text="Repair immediately">
      <formula>NOT(ISERROR(SEARCH("Repair immediately",I346)))</formula>
    </cfRule>
  </conditionalFormatting>
  <conditionalFormatting sqref="I354">
    <cfRule type="containsText" dxfId="561" priority="245" operator="containsText" text="Schedule unplanned outage">
      <formula>NOT(ISERROR(SEARCH("Schedule unplanned outage",I354)))</formula>
    </cfRule>
    <cfRule type="cellIs" dxfId="560" priority="243" operator="equal">
      <formula>"Monitor"</formula>
    </cfRule>
    <cfRule type="cellIs" dxfId="559" priority="242" operator="equal">
      <formula>"Normal"</formula>
    </cfRule>
    <cfRule type="cellIs" dxfId="558" priority="241" operator="equal">
      <formula>"Low"</formula>
    </cfRule>
    <cfRule type="cellIs" dxfId="557" priority="240" operator="equal">
      <formula>"Medium"</formula>
    </cfRule>
    <cfRule type="cellIs" dxfId="556" priority="239" operator="equal">
      <formula>"High"</formula>
    </cfRule>
    <cfRule type="containsText" dxfId="555" priority="246" operator="containsText" text="Repair immediately">
      <formula>NOT(ISERROR(SEARCH("Repair immediately",I354)))</formula>
    </cfRule>
    <cfRule type="cellIs" dxfId="554" priority="238" operator="equal">
      <formula>"Critical"</formula>
    </cfRule>
    <cfRule type="containsText" dxfId="553" priority="244" operator="containsText" text="Repair at planned outage">
      <formula>NOT(ISERROR(SEARCH("Repair at planned outage",I354)))</formula>
    </cfRule>
  </conditionalFormatting>
  <conditionalFormatting sqref="I362">
    <cfRule type="cellIs" dxfId="552" priority="220" operator="equal">
      <formula>"Critical"</formula>
    </cfRule>
    <cfRule type="containsText" dxfId="551" priority="226" operator="containsText" text="Repair at planned outage">
      <formula>NOT(ISERROR(SEARCH("Repair at planned outage",I362)))</formula>
    </cfRule>
    <cfRule type="containsText" dxfId="550" priority="227" operator="containsText" text="Schedule unplanned outage">
      <formula>NOT(ISERROR(SEARCH("Schedule unplanned outage",I362)))</formula>
    </cfRule>
    <cfRule type="cellIs" dxfId="549" priority="223" operator="equal">
      <formula>"Low"</formula>
    </cfRule>
    <cfRule type="cellIs" dxfId="548" priority="224" operator="equal">
      <formula>"Normal"</formula>
    </cfRule>
    <cfRule type="cellIs" dxfId="547" priority="225" operator="equal">
      <formula>"Monitor"</formula>
    </cfRule>
    <cfRule type="containsText" dxfId="546" priority="228" operator="containsText" text="Repair immediately">
      <formula>NOT(ISERROR(SEARCH("Repair immediately",I362)))</formula>
    </cfRule>
    <cfRule type="cellIs" dxfId="545" priority="222" operator="equal">
      <formula>"Medium"</formula>
    </cfRule>
    <cfRule type="cellIs" dxfId="544" priority="221" operator="equal">
      <formula>"High"</formula>
    </cfRule>
  </conditionalFormatting>
  <conditionalFormatting sqref="I370">
    <cfRule type="cellIs" dxfId="543" priority="207" operator="equal">
      <formula>"Critical"</formula>
    </cfRule>
    <cfRule type="cellIs" dxfId="542" priority="208" operator="equal">
      <formula>"High"</formula>
    </cfRule>
    <cfRule type="cellIs" dxfId="541" priority="209" operator="equal">
      <formula>"Medium"</formula>
    </cfRule>
    <cfRule type="cellIs" dxfId="540" priority="210" operator="equal">
      <formula>"Low"</formula>
    </cfRule>
    <cfRule type="cellIs" dxfId="539" priority="211" operator="equal">
      <formula>"Normal"</formula>
    </cfRule>
    <cfRule type="cellIs" dxfId="538" priority="212" operator="equal">
      <formula>"Monitor"</formula>
    </cfRule>
    <cfRule type="containsText" dxfId="537" priority="213" operator="containsText" text="Repair at planned outage">
      <formula>NOT(ISERROR(SEARCH("Repair at planned outage",I370)))</formula>
    </cfRule>
    <cfRule type="containsText" dxfId="536" priority="214" operator="containsText" text="Schedule unplanned outage">
      <formula>NOT(ISERROR(SEARCH("Schedule unplanned outage",I370)))</formula>
    </cfRule>
    <cfRule type="containsText" dxfId="535" priority="215" operator="containsText" text="Repair immediately">
      <formula>NOT(ISERROR(SEARCH("Repair immediately",I370)))</formula>
    </cfRule>
  </conditionalFormatting>
  <conditionalFormatting sqref="I375">
    <cfRule type="cellIs" dxfId="534" priority="194" operator="equal">
      <formula>"Monitor"</formula>
    </cfRule>
    <cfRule type="cellIs" dxfId="533" priority="193" operator="equal">
      <formula>"Normal"</formula>
    </cfRule>
    <cfRule type="containsText" dxfId="532" priority="196" operator="containsText" text="Schedule unplanned outage">
      <formula>NOT(ISERROR(SEARCH("Schedule unplanned outage",I375)))</formula>
    </cfRule>
    <cfRule type="containsText" dxfId="531" priority="195" operator="containsText" text="Repair at planned outage">
      <formula>NOT(ISERROR(SEARCH("Repair at planned outage",I375)))</formula>
    </cfRule>
    <cfRule type="containsText" dxfId="530" priority="197" operator="containsText" text="Repair immediately">
      <formula>NOT(ISERROR(SEARCH("Repair immediately",I375)))</formula>
    </cfRule>
  </conditionalFormatting>
  <conditionalFormatting sqref="I380">
    <cfRule type="containsText" dxfId="529" priority="811" operator="containsText" text="Schedule unplanned outage">
      <formula>NOT(ISERROR(SEARCH("Schedule unplanned outage",I380)))</formula>
    </cfRule>
    <cfRule type="containsText" dxfId="528" priority="810" operator="containsText" text="Repair at planned outage">
      <formula>NOT(ISERROR(SEARCH("Repair at planned outage",I380)))</formula>
    </cfRule>
    <cfRule type="cellIs" dxfId="527" priority="809" operator="equal">
      <formula>"Monitor"</formula>
    </cfRule>
    <cfRule type="cellIs" dxfId="526" priority="808" operator="equal">
      <formula>"Normal"</formula>
    </cfRule>
    <cfRule type="cellIs" dxfId="525" priority="807" operator="equal">
      <formula>"Low"</formula>
    </cfRule>
    <cfRule type="cellIs" dxfId="524" priority="805" operator="equal">
      <formula>"High"</formula>
    </cfRule>
    <cfRule type="cellIs" dxfId="523" priority="804" operator="equal">
      <formula>"Critical"</formula>
    </cfRule>
    <cfRule type="containsText" dxfId="522" priority="812" operator="containsText" text="Repair immediately">
      <formula>NOT(ISERROR(SEARCH("Repair immediately",I380)))</formula>
    </cfRule>
    <cfRule type="cellIs" dxfId="521" priority="806" operator="equal">
      <formula>"Medium"</formula>
    </cfRule>
  </conditionalFormatting>
  <conditionalFormatting sqref="I390">
    <cfRule type="cellIs" dxfId="520" priority="2368" operator="equal">
      <formula>"Critical"</formula>
    </cfRule>
    <cfRule type="containsText" dxfId="519" priority="2376" operator="containsText" text="Repair immediately">
      <formula>NOT(ISERROR(SEARCH("Repair immediately",I390)))</formula>
    </cfRule>
    <cfRule type="containsText" dxfId="518" priority="2374" operator="containsText" text="Repair at planned outage">
      <formula>NOT(ISERROR(SEARCH("Repair at planned outage",I390)))</formula>
    </cfRule>
    <cfRule type="cellIs" dxfId="517" priority="2373" operator="equal">
      <formula>"Monitor"</formula>
    </cfRule>
    <cfRule type="cellIs" dxfId="516" priority="2372" operator="equal">
      <formula>"Normal"</formula>
    </cfRule>
    <cfRule type="cellIs" dxfId="515" priority="2371" operator="equal">
      <formula>"Low"</formula>
    </cfRule>
    <cfRule type="cellIs" dxfId="514" priority="2370" operator="equal">
      <formula>"Medium"</formula>
    </cfRule>
    <cfRule type="cellIs" dxfId="513" priority="2369" operator="equal">
      <formula>"High"</formula>
    </cfRule>
    <cfRule type="containsText" dxfId="512" priority="2375" operator="containsText" text="Schedule unplanned outage">
      <formula>NOT(ISERROR(SEARCH("Schedule unplanned outage",I390)))</formula>
    </cfRule>
  </conditionalFormatting>
  <conditionalFormatting sqref="I399">
    <cfRule type="containsText" dxfId="511" priority="2367" operator="containsText" text="Repair immediately">
      <formula>NOT(ISERROR(SEARCH("Repair immediately",I399)))</formula>
    </cfRule>
    <cfRule type="containsText" dxfId="510" priority="2366" operator="containsText" text="Schedule unplanned outage">
      <formula>NOT(ISERROR(SEARCH("Schedule unplanned outage",I399)))</formula>
    </cfRule>
    <cfRule type="containsText" dxfId="509" priority="2365" operator="containsText" text="Repair at planned outage">
      <formula>NOT(ISERROR(SEARCH("Repair at planned outage",I399)))</formula>
    </cfRule>
    <cfRule type="cellIs" dxfId="508" priority="2363" operator="equal">
      <formula>"Normal"</formula>
    </cfRule>
    <cfRule type="cellIs" dxfId="507" priority="2362" operator="equal">
      <formula>"Low"</formula>
    </cfRule>
    <cfRule type="cellIs" dxfId="506" priority="2361" operator="equal">
      <formula>"Medium"</formula>
    </cfRule>
    <cfRule type="cellIs" dxfId="505" priority="2360" operator="equal">
      <formula>"High"</formula>
    </cfRule>
    <cfRule type="cellIs" dxfId="504" priority="2359" operator="equal">
      <formula>"Critical"</formula>
    </cfRule>
    <cfRule type="cellIs" dxfId="503" priority="2364" operator="equal">
      <formula>"Monitor"</formula>
    </cfRule>
  </conditionalFormatting>
  <conditionalFormatting sqref="I408">
    <cfRule type="cellIs" dxfId="502" priority="2355" operator="equal">
      <formula>"Monitor"</formula>
    </cfRule>
    <cfRule type="cellIs" dxfId="501" priority="2354" operator="equal">
      <formula>"Normal"</formula>
    </cfRule>
    <cfRule type="cellIs" dxfId="500" priority="2352" operator="equal">
      <formula>"Medium"</formula>
    </cfRule>
    <cfRule type="cellIs" dxfId="499" priority="2351" operator="equal">
      <formula>"High"</formula>
    </cfRule>
    <cfRule type="cellIs" dxfId="498" priority="2350" operator="equal">
      <formula>"Critical"</formula>
    </cfRule>
    <cfRule type="containsText" dxfId="497" priority="2358" operator="containsText" text="Repair immediately">
      <formula>NOT(ISERROR(SEARCH("Repair immediately",I408)))</formula>
    </cfRule>
    <cfRule type="cellIs" dxfId="496" priority="2353" operator="equal">
      <formula>"Low"</formula>
    </cfRule>
    <cfRule type="containsText" dxfId="495" priority="2357" operator="containsText" text="Schedule unplanned outage">
      <formula>NOT(ISERROR(SEARCH("Schedule unplanned outage",I408)))</formula>
    </cfRule>
    <cfRule type="containsText" dxfId="494" priority="2356" operator="containsText" text="Repair at planned outage">
      <formula>NOT(ISERROR(SEARCH("Repair at planned outage",I408)))</formula>
    </cfRule>
  </conditionalFormatting>
  <conditionalFormatting sqref="I417">
    <cfRule type="cellIs" dxfId="493" priority="2344" operator="equal">
      <formula>"Low"</formula>
    </cfRule>
    <cfRule type="cellIs" dxfId="492" priority="2341" operator="equal">
      <formula>"Critical"</formula>
    </cfRule>
    <cfRule type="cellIs" dxfId="491" priority="2342" operator="equal">
      <formula>"High"</formula>
    </cfRule>
    <cfRule type="cellIs" dxfId="490" priority="2343" operator="equal">
      <formula>"Medium"</formula>
    </cfRule>
    <cfRule type="cellIs" dxfId="489" priority="2345" operator="equal">
      <formula>"Normal"</formula>
    </cfRule>
    <cfRule type="cellIs" dxfId="488" priority="2346" operator="equal">
      <formula>"Monitor"</formula>
    </cfRule>
    <cfRule type="containsText" dxfId="487" priority="2347" operator="containsText" text="Repair at planned outage">
      <formula>NOT(ISERROR(SEARCH("Repair at planned outage",I417)))</formula>
    </cfRule>
    <cfRule type="containsText" dxfId="486" priority="2348" operator="containsText" text="Schedule unplanned outage">
      <formula>NOT(ISERROR(SEARCH("Schedule unplanned outage",I417)))</formula>
    </cfRule>
    <cfRule type="containsText" dxfId="485" priority="2349" operator="containsText" text="Repair immediately">
      <formula>NOT(ISERROR(SEARCH("Repair immediately",I417)))</formula>
    </cfRule>
  </conditionalFormatting>
  <conditionalFormatting sqref="I426">
    <cfRule type="cellIs" dxfId="484" priority="2332" operator="equal">
      <formula>"Normal"</formula>
    </cfRule>
    <cfRule type="cellIs" dxfId="483" priority="2333" operator="equal">
      <formula>"Monitor"</formula>
    </cfRule>
    <cfRule type="containsText" dxfId="482" priority="2334" operator="containsText" text="Repair at planned outage">
      <formula>NOT(ISERROR(SEARCH("Repair at planned outage",I426)))</formula>
    </cfRule>
    <cfRule type="containsText" dxfId="481" priority="2335" operator="containsText" text="Schedule unplanned outage">
      <formula>NOT(ISERROR(SEARCH("Schedule unplanned outage",I426)))</formula>
    </cfRule>
    <cfRule type="containsText" dxfId="480" priority="2336" operator="containsText" text="Repair immediately">
      <formula>NOT(ISERROR(SEARCH("Repair immediately",I426)))</formula>
    </cfRule>
    <cfRule type="cellIs" dxfId="479" priority="2331" operator="equal">
      <formula>"Low"</formula>
    </cfRule>
    <cfRule type="cellIs" dxfId="478" priority="2329" operator="equal">
      <formula>"High"</formula>
    </cfRule>
    <cfRule type="cellIs" dxfId="477" priority="2328" operator="equal">
      <formula>"Critical"</formula>
    </cfRule>
    <cfRule type="cellIs" dxfId="476" priority="2330" operator="equal">
      <formula>"Medium"</formula>
    </cfRule>
  </conditionalFormatting>
  <conditionalFormatting sqref="I435">
    <cfRule type="cellIs" dxfId="475" priority="2321" operator="equal">
      <formula>"Medium"</formula>
    </cfRule>
    <cfRule type="cellIs" dxfId="474" priority="2319" operator="equal">
      <formula>"Critical"</formula>
    </cfRule>
    <cfRule type="cellIs" dxfId="473" priority="2320" operator="equal">
      <formula>"High"</formula>
    </cfRule>
    <cfRule type="cellIs" dxfId="472" priority="2322" operator="equal">
      <formula>"Low"</formula>
    </cfRule>
    <cfRule type="cellIs" dxfId="471" priority="2323" operator="equal">
      <formula>"Normal"</formula>
    </cfRule>
    <cfRule type="cellIs" dxfId="470" priority="2324" operator="equal">
      <formula>"Monitor"</formula>
    </cfRule>
    <cfRule type="containsText" dxfId="469" priority="2325" operator="containsText" text="Repair at planned outage">
      <formula>NOT(ISERROR(SEARCH("Repair at planned outage",I435)))</formula>
    </cfRule>
    <cfRule type="containsText" dxfId="468" priority="2326" operator="containsText" text="Schedule unplanned outage">
      <formula>NOT(ISERROR(SEARCH("Schedule unplanned outage",I435)))</formula>
    </cfRule>
    <cfRule type="containsText" dxfId="467" priority="2327" operator="containsText" text="Repair immediately">
      <formula>NOT(ISERROR(SEARCH("Repair immediately",I435)))</formula>
    </cfRule>
  </conditionalFormatting>
  <conditionalFormatting sqref="I445">
    <cfRule type="cellIs" dxfId="466" priority="2315" operator="equal">
      <formula>"Monitor"</formula>
    </cfRule>
    <cfRule type="cellIs" dxfId="465" priority="2314" operator="equal">
      <formula>"Normal"</formula>
    </cfRule>
    <cfRule type="cellIs" dxfId="464" priority="2311" operator="equal">
      <formula>"High"</formula>
    </cfRule>
    <cfRule type="cellIs" dxfId="463" priority="2310" operator="equal">
      <formula>"Critical"</formula>
    </cfRule>
    <cfRule type="cellIs" dxfId="462" priority="2313" operator="equal">
      <formula>"Low"</formula>
    </cfRule>
    <cfRule type="containsText" dxfId="461" priority="2318" operator="containsText" text="Repair immediately">
      <formula>NOT(ISERROR(SEARCH("Repair immediately",I445)))</formula>
    </cfRule>
    <cfRule type="containsText" dxfId="460" priority="2317" operator="containsText" text="Schedule unplanned outage">
      <formula>NOT(ISERROR(SEARCH("Schedule unplanned outage",I445)))</formula>
    </cfRule>
    <cfRule type="containsText" dxfId="459" priority="2316" operator="containsText" text="Repair at planned outage">
      <formula>NOT(ISERROR(SEARCH("Repair at planned outage",I445)))</formula>
    </cfRule>
    <cfRule type="cellIs" dxfId="458" priority="2312" operator="equal">
      <formula>"Medium"</formula>
    </cfRule>
  </conditionalFormatting>
  <conditionalFormatting sqref="I455">
    <cfRule type="cellIs" dxfId="457" priority="2303" operator="equal">
      <formula>"Medium"</formula>
    </cfRule>
    <cfRule type="cellIs" dxfId="456" priority="2304" operator="equal">
      <formula>"Low"</formula>
    </cfRule>
    <cfRule type="cellIs" dxfId="455" priority="2305" operator="equal">
      <formula>"Normal"</formula>
    </cfRule>
    <cfRule type="cellIs" dxfId="454" priority="2306" operator="equal">
      <formula>"Monitor"</formula>
    </cfRule>
    <cfRule type="cellIs" dxfId="453" priority="2301" operator="equal">
      <formula>"Critical"</formula>
    </cfRule>
    <cfRule type="containsText" dxfId="452" priority="2307" operator="containsText" text="Repair at planned outage">
      <formula>NOT(ISERROR(SEARCH("Repair at planned outage",I455)))</formula>
    </cfRule>
    <cfRule type="containsText" dxfId="451" priority="2308" operator="containsText" text="Schedule unplanned outage">
      <formula>NOT(ISERROR(SEARCH("Schedule unplanned outage",I455)))</formula>
    </cfRule>
    <cfRule type="containsText" dxfId="450" priority="2309" operator="containsText" text="Repair immediately">
      <formula>NOT(ISERROR(SEARCH("Repair immediately",I455)))</formula>
    </cfRule>
    <cfRule type="cellIs" dxfId="449" priority="2302" operator="equal">
      <formula>"High"</formula>
    </cfRule>
  </conditionalFormatting>
  <conditionalFormatting sqref="I464">
    <cfRule type="cellIs" dxfId="448" priority="2290" operator="equal">
      <formula>"Medium"</formula>
    </cfRule>
    <cfRule type="cellIs" dxfId="447" priority="2289" operator="equal">
      <formula>"High"</formula>
    </cfRule>
    <cfRule type="cellIs" dxfId="446" priority="2288" operator="equal">
      <formula>"Critical"</formula>
    </cfRule>
    <cfRule type="cellIs" dxfId="445" priority="2293" operator="equal">
      <formula>"Monitor"</formula>
    </cfRule>
    <cfRule type="cellIs" dxfId="444" priority="2292" operator="equal">
      <formula>"Normal"</formula>
    </cfRule>
    <cfRule type="containsText" dxfId="443" priority="2295" operator="containsText" text="Schedule unplanned outage">
      <formula>NOT(ISERROR(SEARCH("Schedule unplanned outage",I464)))</formula>
    </cfRule>
    <cfRule type="containsText" dxfId="442" priority="2296" operator="containsText" text="Repair immediately">
      <formula>NOT(ISERROR(SEARCH("Repair immediately",I464)))</formula>
    </cfRule>
    <cfRule type="cellIs" dxfId="441" priority="2291" operator="equal">
      <formula>"Low"</formula>
    </cfRule>
    <cfRule type="containsText" dxfId="440" priority="2294" operator="containsText" text="Repair at planned outage">
      <formula>NOT(ISERROR(SEARCH("Repair at planned outage",I464)))</formula>
    </cfRule>
  </conditionalFormatting>
  <conditionalFormatting sqref="I473">
    <cfRule type="containsText" dxfId="439" priority="2287" operator="containsText" text="Repair immediately">
      <formula>NOT(ISERROR(SEARCH("Repair immediately",I473)))</formula>
    </cfRule>
    <cfRule type="containsText" dxfId="438" priority="2286" operator="containsText" text="Schedule unplanned outage">
      <formula>NOT(ISERROR(SEARCH("Schedule unplanned outage",I473)))</formula>
    </cfRule>
    <cfRule type="cellIs" dxfId="437" priority="2284" operator="equal">
      <formula>"Monitor"</formula>
    </cfRule>
    <cfRule type="cellIs" dxfId="436" priority="2283" operator="equal">
      <formula>"Normal"</formula>
    </cfRule>
    <cfRule type="cellIs" dxfId="435" priority="2282" operator="equal">
      <formula>"Low"</formula>
    </cfRule>
    <cfRule type="cellIs" dxfId="434" priority="2281" operator="equal">
      <formula>"Medium"</formula>
    </cfRule>
    <cfRule type="cellIs" dxfId="433" priority="2279" operator="equal">
      <formula>"Critical"</formula>
    </cfRule>
    <cfRule type="cellIs" dxfId="432" priority="2280" operator="equal">
      <formula>"High"</formula>
    </cfRule>
    <cfRule type="containsText" dxfId="431" priority="2285" operator="containsText" text="Repair at planned outage">
      <formula>NOT(ISERROR(SEARCH("Repair at planned outage",I473)))</formula>
    </cfRule>
  </conditionalFormatting>
  <conditionalFormatting sqref="I481">
    <cfRule type="cellIs" dxfId="430" priority="2273" operator="equal">
      <formula>"Low"</formula>
    </cfRule>
    <cfRule type="containsText" dxfId="429" priority="2278" operator="containsText" text="Repair immediately">
      <formula>NOT(ISERROR(SEARCH("Repair immediately",I481)))</formula>
    </cfRule>
    <cfRule type="cellIs" dxfId="428" priority="2274" operator="equal">
      <formula>"Normal"</formula>
    </cfRule>
    <cfRule type="cellIs" dxfId="427" priority="2275" operator="equal">
      <formula>"Monitor"</formula>
    </cfRule>
    <cfRule type="containsText" dxfId="426" priority="2276" operator="containsText" text="Repair at planned outage">
      <formula>NOT(ISERROR(SEARCH("Repair at planned outage",I481)))</formula>
    </cfRule>
    <cfRule type="containsText" dxfId="425" priority="2277" operator="containsText" text="Schedule unplanned outage">
      <formula>NOT(ISERROR(SEARCH("Schedule unplanned outage",I481)))</formula>
    </cfRule>
    <cfRule type="cellIs" dxfId="424" priority="2270" operator="equal">
      <formula>"Critical"</formula>
    </cfRule>
    <cfRule type="cellIs" dxfId="423" priority="2271" operator="equal">
      <formula>"High"</formula>
    </cfRule>
    <cfRule type="cellIs" dxfId="422" priority="2272" operator="equal">
      <formula>"Medium"</formula>
    </cfRule>
  </conditionalFormatting>
  <conditionalFormatting sqref="I489 J493:J496">
    <cfRule type="cellIs" dxfId="421" priority="2266" operator="equal">
      <formula>"Monitor"</formula>
    </cfRule>
    <cfRule type="containsText" dxfId="420" priority="2267" operator="containsText" text="Repair at planned outage">
      <formula>NOT(ISERROR(SEARCH("Repair at planned outage",I489)))</formula>
    </cfRule>
    <cfRule type="containsText" dxfId="419" priority="2269" operator="containsText" text="Repair immediately">
      <formula>NOT(ISERROR(SEARCH("Repair immediately",I489)))</formula>
    </cfRule>
    <cfRule type="containsText" dxfId="418" priority="2268" operator="containsText" text="Schedule unplanned outage">
      <formula>NOT(ISERROR(SEARCH("Schedule unplanned outage",I489)))</formula>
    </cfRule>
  </conditionalFormatting>
  <conditionalFormatting sqref="I489">
    <cfRule type="cellIs" dxfId="417" priority="2261" operator="equal">
      <formula>"Critical"</formula>
    </cfRule>
    <cfRule type="cellIs" dxfId="416" priority="2265" operator="equal">
      <formula>"Normal"</formula>
    </cfRule>
    <cfRule type="cellIs" dxfId="415" priority="2264" operator="equal">
      <formula>"Low"</formula>
    </cfRule>
    <cfRule type="cellIs" dxfId="414" priority="2263" operator="equal">
      <formula>"Medium"</formula>
    </cfRule>
    <cfRule type="cellIs" dxfId="413" priority="2262" operator="equal">
      <formula>"High"</formula>
    </cfRule>
  </conditionalFormatting>
  <conditionalFormatting sqref="I497">
    <cfRule type="containsText" dxfId="412" priority="2260" operator="containsText" text="Repair immediately">
      <formula>NOT(ISERROR(SEARCH("Repair immediately",I497)))</formula>
    </cfRule>
    <cfRule type="cellIs" dxfId="411" priority="2253" operator="equal">
      <formula>"High"</formula>
    </cfRule>
    <cfRule type="cellIs" dxfId="410" priority="2254" operator="equal">
      <formula>"Medium"</formula>
    </cfRule>
    <cfRule type="cellIs" dxfId="409" priority="2255" operator="equal">
      <formula>"Low"</formula>
    </cfRule>
    <cfRule type="cellIs" dxfId="408" priority="2256" operator="equal">
      <formula>"Normal"</formula>
    </cfRule>
    <cfRule type="containsText" dxfId="407" priority="2258" operator="containsText" text="Repair at planned outage">
      <formula>NOT(ISERROR(SEARCH("Repair at planned outage",I497)))</formula>
    </cfRule>
    <cfRule type="containsText" dxfId="406" priority="2259" operator="containsText" text="Schedule unplanned outage">
      <formula>NOT(ISERROR(SEARCH("Schedule unplanned outage",I497)))</formula>
    </cfRule>
    <cfRule type="cellIs" dxfId="405" priority="2257" operator="equal">
      <formula>"Monitor"</formula>
    </cfRule>
    <cfRule type="cellIs" dxfId="404" priority="2252" operator="equal">
      <formula>"Critical"</formula>
    </cfRule>
  </conditionalFormatting>
  <conditionalFormatting sqref="I505">
    <cfRule type="containsText" dxfId="403" priority="2250" operator="containsText" text="Schedule unplanned outage">
      <formula>NOT(ISERROR(SEARCH("Schedule unplanned outage",I505)))</formula>
    </cfRule>
    <cfRule type="containsText" dxfId="402" priority="2249" operator="containsText" text="Repair at planned outage">
      <formula>NOT(ISERROR(SEARCH("Repair at planned outage",I505)))</formula>
    </cfRule>
    <cfRule type="cellIs" dxfId="401" priority="2248" operator="equal">
      <formula>"Monitor"</formula>
    </cfRule>
    <cfRule type="cellIs" dxfId="400" priority="2247" operator="equal">
      <formula>"Normal"</formula>
    </cfRule>
    <cfRule type="cellIs" dxfId="399" priority="2246" operator="equal">
      <formula>"Low"</formula>
    </cfRule>
    <cfRule type="cellIs" dxfId="398" priority="2245" operator="equal">
      <formula>"Medium"</formula>
    </cfRule>
    <cfRule type="containsText" dxfId="397" priority="2251" operator="containsText" text="Repair immediately">
      <formula>NOT(ISERROR(SEARCH("Repair immediately",I505)))</formula>
    </cfRule>
    <cfRule type="cellIs" dxfId="396" priority="2243" operator="equal">
      <formula>"Critical"</formula>
    </cfRule>
    <cfRule type="cellIs" dxfId="395" priority="2244" operator="equal">
      <formula>"High"</formula>
    </cfRule>
  </conditionalFormatting>
  <conditionalFormatting sqref="I516">
    <cfRule type="containsText" dxfId="394" priority="2240" operator="containsText" text="Repair at planned outage">
      <formula>NOT(ISERROR(SEARCH("Repair at planned outage",I516)))</formula>
    </cfRule>
    <cfRule type="containsText" dxfId="393" priority="2241" operator="containsText" text="Schedule unplanned outage">
      <formula>NOT(ISERROR(SEARCH("Schedule unplanned outage",I516)))</formula>
    </cfRule>
    <cfRule type="containsText" dxfId="392" priority="2242" operator="containsText" text="Repair immediately">
      <formula>NOT(ISERROR(SEARCH("Repair immediately",I516)))</formula>
    </cfRule>
    <cfRule type="cellIs" dxfId="391" priority="2236" operator="equal">
      <formula>"Medium"</formula>
    </cfRule>
    <cfRule type="cellIs" dxfId="390" priority="2237" operator="equal">
      <formula>"Low"</formula>
    </cfRule>
    <cfRule type="cellIs" dxfId="389" priority="2234" operator="equal">
      <formula>"Critical"</formula>
    </cfRule>
    <cfRule type="cellIs" dxfId="388" priority="2235" operator="equal">
      <formula>"High"</formula>
    </cfRule>
    <cfRule type="cellIs" dxfId="387" priority="2238" operator="equal">
      <formula>"Normal"</formula>
    </cfRule>
    <cfRule type="cellIs" dxfId="386" priority="2239" operator="equal">
      <formula>"Monitor"</formula>
    </cfRule>
  </conditionalFormatting>
  <conditionalFormatting sqref="I527">
    <cfRule type="cellIs" dxfId="385" priority="2226" operator="equal">
      <formula>"High"</formula>
    </cfRule>
    <cfRule type="cellIs" dxfId="384" priority="2227" operator="equal">
      <formula>"Medium"</formula>
    </cfRule>
    <cfRule type="cellIs" dxfId="383" priority="2229" operator="equal">
      <formula>"Normal"</formula>
    </cfRule>
    <cfRule type="cellIs" dxfId="382" priority="2230" operator="equal">
      <formula>"Monitor"</formula>
    </cfRule>
    <cfRule type="containsText" dxfId="381" priority="2231" operator="containsText" text="Repair at planned outage">
      <formula>NOT(ISERROR(SEARCH("Repair at planned outage",I527)))</formula>
    </cfRule>
    <cfRule type="containsText" dxfId="380" priority="2232" operator="containsText" text="Schedule unplanned outage">
      <formula>NOT(ISERROR(SEARCH("Schedule unplanned outage",I527)))</formula>
    </cfRule>
    <cfRule type="containsText" dxfId="379" priority="2233" operator="containsText" text="Repair immediately">
      <formula>NOT(ISERROR(SEARCH("Repair immediately",I527)))</formula>
    </cfRule>
    <cfRule type="cellIs" dxfId="378" priority="2225" operator="equal">
      <formula>"Critical"</formula>
    </cfRule>
    <cfRule type="cellIs" dxfId="377" priority="2228" operator="equal">
      <formula>"Low"</formula>
    </cfRule>
  </conditionalFormatting>
  <conditionalFormatting sqref="I535">
    <cfRule type="containsText" dxfId="376" priority="2223" operator="containsText" text="Schedule unplanned outage">
      <formula>NOT(ISERROR(SEARCH("Schedule unplanned outage",I535)))</formula>
    </cfRule>
    <cfRule type="containsText" dxfId="375" priority="2224" operator="containsText" text="Repair immediately">
      <formula>NOT(ISERROR(SEARCH("Repair immediately",I535)))</formula>
    </cfRule>
    <cfRule type="cellIs" dxfId="374" priority="2221" operator="equal">
      <formula>"Monitor"</formula>
    </cfRule>
    <cfRule type="cellIs" dxfId="373" priority="2216" operator="equal">
      <formula>"Critical"</formula>
    </cfRule>
    <cfRule type="cellIs" dxfId="372" priority="2217" operator="equal">
      <formula>"High"</formula>
    </cfRule>
    <cfRule type="cellIs" dxfId="371" priority="2218" operator="equal">
      <formula>"Medium"</formula>
    </cfRule>
    <cfRule type="cellIs" dxfId="370" priority="2219" operator="equal">
      <formula>"Low"</formula>
    </cfRule>
    <cfRule type="cellIs" dxfId="369" priority="2220" operator="equal">
      <formula>"Normal"</formula>
    </cfRule>
    <cfRule type="containsText" dxfId="368" priority="2222" operator="containsText" text="Repair at planned outage">
      <formula>NOT(ISERROR(SEARCH("Repair at planned outage",I535)))</formula>
    </cfRule>
  </conditionalFormatting>
  <conditionalFormatting sqref="I550">
    <cfRule type="containsText" dxfId="367" priority="2201" operator="containsText" text="Schedule unplanned outage">
      <formula>NOT(ISERROR(SEARCH("Schedule unplanned outage",I550)))</formula>
    </cfRule>
    <cfRule type="cellIs" dxfId="366" priority="2194" operator="equal">
      <formula>"Critical"</formula>
    </cfRule>
    <cfRule type="cellIs" dxfId="365" priority="2195" operator="equal">
      <formula>"High"</formula>
    </cfRule>
    <cfRule type="containsText" dxfId="364" priority="2202" operator="containsText" text="Repair immediately">
      <formula>NOT(ISERROR(SEARCH("Repair immediately",I550)))</formula>
    </cfRule>
    <cfRule type="containsText" dxfId="363" priority="2200" operator="containsText" text="Repair at planned outage">
      <formula>NOT(ISERROR(SEARCH("Repair at planned outage",I550)))</formula>
    </cfRule>
    <cfRule type="cellIs" dxfId="362" priority="2199" operator="equal">
      <formula>"Monitor"</formula>
    </cfRule>
    <cfRule type="cellIs" dxfId="361" priority="2198" operator="equal">
      <formula>"Normal"</formula>
    </cfRule>
    <cfRule type="cellIs" dxfId="360" priority="2197" operator="equal">
      <formula>"Low"</formula>
    </cfRule>
    <cfRule type="cellIs" dxfId="359" priority="2196" operator="equal">
      <formula>"Medium"</formula>
    </cfRule>
  </conditionalFormatting>
  <conditionalFormatting sqref="I557">
    <cfRule type="cellIs" dxfId="358" priority="2185" operator="equal">
      <formula>"Critical"</formula>
    </cfRule>
    <cfRule type="cellIs" dxfId="357" priority="2186" operator="equal">
      <formula>"High"</formula>
    </cfRule>
    <cfRule type="cellIs" dxfId="356" priority="2187" operator="equal">
      <formula>"Medium"</formula>
    </cfRule>
    <cfRule type="containsText" dxfId="355" priority="2191" operator="containsText" text="Repair at planned outage">
      <formula>NOT(ISERROR(SEARCH("Repair at planned outage",I557)))</formula>
    </cfRule>
    <cfRule type="cellIs" dxfId="354" priority="2189" operator="equal">
      <formula>"Normal"</formula>
    </cfRule>
    <cfRule type="cellIs" dxfId="353" priority="2188" operator="equal">
      <formula>"Low"</formula>
    </cfRule>
    <cfRule type="cellIs" dxfId="352" priority="2190" operator="equal">
      <formula>"Monitor"</formula>
    </cfRule>
    <cfRule type="containsText" dxfId="351" priority="2193" operator="containsText" text="Repair immediately">
      <formula>NOT(ISERROR(SEARCH("Repair immediately",I557)))</formula>
    </cfRule>
    <cfRule type="containsText" dxfId="350" priority="2192" operator="containsText" text="Schedule unplanned outage">
      <formula>NOT(ISERROR(SEARCH("Schedule unplanned outage",I557)))</formula>
    </cfRule>
  </conditionalFormatting>
  <conditionalFormatting sqref="I560">
    <cfRule type="containsText" dxfId="349" priority="2180" operator="containsText" text="Repair immediately">
      <formula>NOT(ISERROR(SEARCH("Repair immediately",I560)))</formula>
    </cfRule>
    <cfRule type="containsText" dxfId="348" priority="2178" operator="containsText" text="Repair at planned outage">
      <formula>NOT(ISERROR(SEARCH("Repair at planned outage",I560)))</formula>
    </cfRule>
    <cfRule type="cellIs" dxfId="347" priority="2177" operator="equal">
      <formula>"Monitor"</formula>
    </cfRule>
    <cfRule type="cellIs" dxfId="346" priority="2172" operator="equal">
      <formula>"Critical"</formula>
    </cfRule>
    <cfRule type="containsText" dxfId="345" priority="2179" operator="containsText" text="Schedule unplanned outage">
      <formula>NOT(ISERROR(SEARCH("Schedule unplanned outage",I560)))</formula>
    </cfRule>
    <cfRule type="cellIs" dxfId="344" priority="2173" operator="equal">
      <formula>"High"</formula>
    </cfRule>
    <cfRule type="cellIs" dxfId="343" priority="2174" operator="equal">
      <formula>"Medium"</formula>
    </cfRule>
    <cfRule type="cellIs" dxfId="342" priority="2175" operator="equal">
      <formula>"Low"</formula>
    </cfRule>
    <cfRule type="cellIs" dxfId="341" priority="2176" operator="equal">
      <formula>"Normal"</formula>
    </cfRule>
  </conditionalFormatting>
  <conditionalFormatting sqref="I563">
    <cfRule type="cellIs" dxfId="340" priority="2159" operator="equal">
      <formula>"Critical"</formula>
    </cfRule>
    <cfRule type="containsText" dxfId="339" priority="2167" operator="containsText" text="Repair immediately">
      <formula>NOT(ISERROR(SEARCH("Repair immediately",I563)))</formula>
    </cfRule>
    <cfRule type="cellIs" dxfId="338" priority="2160" operator="equal">
      <formula>"High"</formula>
    </cfRule>
    <cfRule type="cellIs" dxfId="337" priority="2163" operator="equal">
      <formula>"Normal"</formula>
    </cfRule>
    <cfRule type="cellIs" dxfId="336" priority="2164" operator="equal">
      <formula>"Monitor"</formula>
    </cfRule>
    <cfRule type="containsText" dxfId="335" priority="2165" operator="containsText" text="Repair at planned outage">
      <formula>NOT(ISERROR(SEARCH("Repair at planned outage",I563)))</formula>
    </cfRule>
    <cfRule type="containsText" dxfId="334" priority="2166" operator="containsText" text="Schedule unplanned outage">
      <formula>NOT(ISERROR(SEARCH("Schedule unplanned outage",I563)))</formula>
    </cfRule>
    <cfRule type="cellIs" dxfId="333" priority="2162" operator="equal">
      <formula>"Low"</formula>
    </cfRule>
    <cfRule type="cellIs" dxfId="332" priority="2161" operator="equal">
      <formula>"Medium"</formula>
    </cfRule>
  </conditionalFormatting>
  <conditionalFormatting sqref="I566">
    <cfRule type="containsText" dxfId="331" priority="2152" operator="containsText" text="Repair at planned outage">
      <formula>NOT(ISERROR(SEARCH("Repair at planned outage",I566)))</formula>
    </cfRule>
    <cfRule type="containsText" dxfId="330" priority="2154" operator="containsText" text="Repair immediately">
      <formula>NOT(ISERROR(SEARCH("Repair immediately",I566)))</formula>
    </cfRule>
    <cfRule type="containsText" dxfId="329" priority="2153" operator="containsText" text="Schedule unplanned outage">
      <formula>NOT(ISERROR(SEARCH("Schedule unplanned outage",I566)))</formula>
    </cfRule>
    <cfRule type="cellIs" dxfId="328" priority="2147" operator="equal">
      <formula>"High"</formula>
    </cfRule>
    <cfRule type="cellIs" dxfId="327" priority="2146" operator="equal">
      <formula>"Critical"</formula>
    </cfRule>
    <cfRule type="cellIs" dxfId="326" priority="2151" operator="equal">
      <formula>"Monitor"</formula>
    </cfRule>
    <cfRule type="cellIs" dxfId="325" priority="2150" operator="equal">
      <formula>"Normal"</formula>
    </cfRule>
    <cfRule type="cellIs" dxfId="324" priority="2149" operator="equal">
      <formula>"Low"</formula>
    </cfRule>
    <cfRule type="cellIs" dxfId="323" priority="2148" operator="equal">
      <formula>"Medium"</formula>
    </cfRule>
  </conditionalFormatting>
  <conditionalFormatting sqref="I569">
    <cfRule type="cellIs" dxfId="322" priority="2134" operator="equal">
      <formula>"High"</formula>
    </cfRule>
    <cfRule type="cellIs" dxfId="321" priority="2135" operator="equal">
      <formula>"Medium"</formula>
    </cfRule>
    <cfRule type="cellIs" dxfId="320" priority="2136" operator="equal">
      <formula>"Low"</formula>
    </cfRule>
    <cfRule type="containsText" dxfId="319" priority="2139" operator="containsText" text="Repair at planned outage">
      <formula>NOT(ISERROR(SEARCH("Repair at planned outage",I569)))</formula>
    </cfRule>
    <cfRule type="containsText" dxfId="318" priority="2140" operator="containsText" text="Schedule unplanned outage">
      <formula>NOT(ISERROR(SEARCH("Schedule unplanned outage",I569)))</formula>
    </cfRule>
    <cfRule type="containsText" dxfId="317" priority="2141" operator="containsText" text="Repair immediately">
      <formula>NOT(ISERROR(SEARCH("Repair immediately",I569)))</formula>
    </cfRule>
    <cfRule type="cellIs" dxfId="316" priority="2138" operator="equal">
      <formula>"Monitor"</formula>
    </cfRule>
    <cfRule type="cellIs" dxfId="315" priority="2133" operator="equal">
      <formula>"Critical"</formula>
    </cfRule>
    <cfRule type="cellIs" dxfId="314" priority="2137" operator="equal">
      <formula>"Normal"</formula>
    </cfRule>
  </conditionalFormatting>
  <conditionalFormatting sqref="I578:I580">
    <cfRule type="containsText" dxfId="313" priority="2127" operator="containsText" text="Schedule unplanned outage">
      <formula>NOT(ISERROR(SEARCH("Schedule unplanned outage",I578)))</formula>
    </cfRule>
    <cfRule type="containsText" dxfId="312" priority="2128" operator="containsText" text="Repair immediately">
      <formula>NOT(ISERROR(SEARCH("Repair immediately",I578)))</formula>
    </cfRule>
    <cfRule type="cellIs" dxfId="311" priority="2124" operator="equal">
      <formula>"Normal"</formula>
    </cfRule>
    <cfRule type="cellIs" dxfId="310" priority="2120" operator="equal">
      <formula>"Critical"</formula>
    </cfRule>
    <cfRule type="cellIs" dxfId="309" priority="2121" operator="equal">
      <formula>"High"</formula>
    </cfRule>
    <cfRule type="cellIs" dxfId="308" priority="2122" operator="equal">
      <formula>"Medium"</formula>
    </cfRule>
    <cfRule type="cellIs" dxfId="307" priority="2123" operator="equal">
      <formula>"Low"</formula>
    </cfRule>
    <cfRule type="cellIs" dxfId="306" priority="2125" operator="equal">
      <formula>"Monitor"</formula>
    </cfRule>
    <cfRule type="containsText" dxfId="305" priority="2126" operator="containsText" text="Repair at planned outage">
      <formula>NOT(ISERROR(SEARCH("Repair at planned outage",I578)))</formula>
    </cfRule>
  </conditionalFormatting>
  <conditionalFormatting sqref="I582">
    <cfRule type="cellIs" dxfId="304" priority="2111" operator="equal">
      <formula>"Normal"</formula>
    </cfRule>
    <cfRule type="cellIs" dxfId="303" priority="2112" operator="equal">
      <formula>"Monitor"</formula>
    </cfRule>
    <cfRule type="containsText" dxfId="302" priority="2113" operator="containsText" text="Repair at planned outage">
      <formula>NOT(ISERROR(SEARCH("Repair at planned outage",I582)))</formula>
    </cfRule>
    <cfRule type="containsText" dxfId="301" priority="2114" operator="containsText" text="Schedule unplanned outage">
      <formula>NOT(ISERROR(SEARCH("Schedule unplanned outage",I582)))</formula>
    </cfRule>
    <cfRule type="containsText" dxfId="300" priority="2115" operator="containsText" text="Repair immediately">
      <formula>NOT(ISERROR(SEARCH("Repair immediately",I582)))</formula>
    </cfRule>
    <cfRule type="cellIs" dxfId="299" priority="2109" operator="equal">
      <formula>"Medium"</formula>
    </cfRule>
    <cfRule type="cellIs" dxfId="298" priority="2107" operator="equal">
      <formula>"Critical"</formula>
    </cfRule>
    <cfRule type="cellIs" dxfId="297" priority="2108" operator="equal">
      <formula>"High"</formula>
    </cfRule>
    <cfRule type="cellIs" dxfId="296" priority="2110" operator="equal">
      <formula>"Low"</formula>
    </cfRule>
  </conditionalFormatting>
  <conditionalFormatting sqref="I592">
    <cfRule type="containsText" dxfId="295" priority="2102" operator="containsText" text="Repair immediately">
      <formula>NOT(ISERROR(SEARCH("Repair immediately",I592)))</formula>
    </cfRule>
    <cfRule type="containsText" dxfId="294" priority="2101" operator="containsText" text="Schedule unplanned outage">
      <formula>NOT(ISERROR(SEARCH("Schedule unplanned outage",I592)))</formula>
    </cfRule>
    <cfRule type="containsText" dxfId="293" priority="2100" operator="containsText" text="Repair at planned outage">
      <formula>NOT(ISERROR(SEARCH("Repair at planned outage",I592)))</formula>
    </cfRule>
    <cfRule type="cellIs" dxfId="292" priority="2099" operator="equal">
      <formula>"Monitor"</formula>
    </cfRule>
    <cfRule type="cellIs" dxfId="291" priority="2098" operator="equal">
      <formula>"Normal"</formula>
    </cfRule>
    <cfRule type="cellIs" dxfId="290" priority="2097" operator="equal">
      <formula>"Low"</formula>
    </cfRule>
    <cfRule type="cellIs" dxfId="289" priority="2096" operator="equal">
      <formula>"Medium"</formula>
    </cfRule>
    <cfRule type="cellIs" dxfId="288" priority="2095" operator="equal">
      <formula>"High"</formula>
    </cfRule>
    <cfRule type="cellIs" dxfId="287" priority="2094" operator="equal">
      <formula>"Critical"</formula>
    </cfRule>
  </conditionalFormatting>
  <conditionalFormatting sqref="I603">
    <cfRule type="containsText" dxfId="286" priority="448" operator="containsText" text="Repair immediately">
      <formula>NOT(ISERROR(SEARCH("Repair immediately",I603)))</formula>
    </cfRule>
    <cfRule type="cellIs" dxfId="285" priority="442" operator="equal">
      <formula>"Medium"</formula>
    </cfRule>
    <cfRule type="cellIs" dxfId="284" priority="441" operator="equal">
      <formula>"High"</formula>
    </cfRule>
    <cfRule type="cellIs" dxfId="283" priority="440" operator="equal">
      <formula>"Critical"</formula>
    </cfRule>
    <cfRule type="containsText" dxfId="282" priority="447" operator="containsText" text="Schedule unplanned outage">
      <formula>NOT(ISERROR(SEARCH("Schedule unplanned outage",I603)))</formula>
    </cfRule>
    <cfRule type="cellIs" dxfId="281" priority="445" operator="equal">
      <formula>"Monitor"</formula>
    </cfRule>
    <cfRule type="cellIs" dxfId="280" priority="444" operator="equal">
      <formula>"Normal"</formula>
    </cfRule>
    <cfRule type="containsText" dxfId="279" priority="446" operator="containsText" text="Repair at planned outage">
      <formula>NOT(ISERROR(SEARCH("Repair at planned outage",I603)))</formula>
    </cfRule>
    <cfRule type="cellIs" dxfId="278" priority="443" operator="equal">
      <formula>"Low"</formula>
    </cfRule>
  </conditionalFormatting>
  <conditionalFormatting sqref="I606">
    <cfRule type="containsText" dxfId="277" priority="439" operator="containsText" text="Repair immediately">
      <formula>NOT(ISERROR(SEARCH("Repair immediately",I606)))</formula>
    </cfRule>
    <cfRule type="containsText" dxfId="276" priority="438" operator="containsText" text="Schedule unplanned outage">
      <formula>NOT(ISERROR(SEARCH("Schedule unplanned outage",I606)))</formula>
    </cfRule>
    <cfRule type="containsText" dxfId="275" priority="437" operator="containsText" text="Repair at planned outage">
      <formula>NOT(ISERROR(SEARCH("Repair at planned outage",I606)))</formula>
    </cfRule>
    <cfRule type="cellIs" dxfId="274" priority="436" operator="equal">
      <formula>"Monitor"</formula>
    </cfRule>
    <cfRule type="cellIs" dxfId="273" priority="435" operator="equal">
      <formula>"Normal"</formula>
    </cfRule>
    <cfRule type="cellIs" dxfId="272" priority="434" operator="equal">
      <formula>"Low"</formula>
    </cfRule>
    <cfRule type="cellIs" dxfId="271" priority="433" operator="equal">
      <formula>"Medium"</formula>
    </cfRule>
    <cfRule type="cellIs" dxfId="270" priority="432" operator="equal">
      <formula>"High"</formula>
    </cfRule>
    <cfRule type="cellIs" dxfId="269" priority="431" operator="equal">
      <formula>"Critical"</formula>
    </cfRule>
  </conditionalFormatting>
  <conditionalFormatting sqref="I609">
    <cfRule type="cellIs" dxfId="268" priority="418" operator="equal">
      <formula>"Monitor"</formula>
    </cfRule>
    <cfRule type="cellIs" dxfId="267" priority="415" operator="equal">
      <formula>"Medium"</formula>
    </cfRule>
    <cfRule type="cellIs" dxfId="266" priority="413" operator="equal">
      <formula>"Critical"</formula>
    </cfRule>
    <cfRule type="containsText" dxfId="265" priority="419" operator="containsText" text="Repair at planned outage">
      <formula>NOT(ISERROR(SEARCH("Repair at planned outage",I609)))</formula>
    </cfRule>
    <cfRule type="containsText" dxfId="264" priority="421" operator="containsText" text="Repair immediately">
      <formula>NOT(ISERROR(SEARCH("Repair immediately",I609)))</formula>
    </cfRule>
    <cfRule type="cellIs" dxfId="263" priority="417" operator="equal">
      <formula>"Normal"</formula>
    </cfRule>
    <cfRule type="containsText" dxfId="262" priority="420" operator="containsText" text="Schedule unplanned outage">
      <formula>NOT(ISERROR(SEARCH("Schedule unplanned outage",I609)))</formula>
    </cfRule>
    <cfRule type="cellIs" dxfId="261" priority="416" operator="equal">
      <formula>"Low"</formula>
    </cfRule>
    <cfRule type="cellIs" dxfId="260" priority="414" operator="equal">
      <formula>"High"</formula>
    </cfRule>
  </conditionalFormatting>
  <conditionalFormatting sqref="I614">
    <cfRule type="containsText" dxfId="259" priority="412" operator="containsText" text="Repair immediately">
      <formula>NOT(ISERROR(SEARCH("Repair immediately",I614)))</formula>
    </cfRule>
    <cfRule type="containsText" dxfId="258" priority="411" operator="containsText" text="Schedule unplanned outage">
      <formula>NOT(ISERROR(SEARCH("Schedule unplanned outage",I614)))</formula>
    </cfRule>
    <cfRule type="containsText" dxfId="257" priority="410" operator="containsText" text="Repair at planned outage">
      <formula>NOT(ISERROR(SEARCH("Repair at planned outage",I614)))</formula>
    </cfRule>
    <cfRule type="cellIs" dxfId="256" priority="408" operator="equal">
      <formula>"Normal"</formula>
    </cfRule>
    <cfRule type="cellIs" dxfId="255" priority="407" operator="equal">
      <formula>"Low"</formula>
    </cfRule>
    <cfRule type="cellIs" dxfId="254" priority="404" operator="equal">
      <formula>"Critical"</formula>
    </cfRule>
    <cfRule type="cellIs" dxfId="253" priority="409" operator="equal">
      <formula>"Monitor"</formula>
    </cfRule>
    <cfRule type="cellIs" dxfId="252" priority="406" operator="equal">
      <formula>"Medium"</formula>
    </cfRule>
    <cfRule type="cellIs" dxfId="251" priority="405" operator="equal">
      <formula>"High"</formula>
    </cfRule>
  </conditionalFormatting>
  <conditionalFormatting sqref="I619">
    <cfRule type="cellIs" dxfId="250" priority="524" operator="equal">
      <formula>"Critical"</formula>
    </cfRule>
    <cfRule type="cellIs" dxfId="249" priority="525" operator="equal">
      <formula>"High"</formula>
    </cfRule>
    <cfRule type="containsText" dxfId="248" priority="531" operator="containsText" text="Schedule unplanned outage">
      <formula>NOT(ISERROR(SEARCH("Schedule unplanned outage",I619)))</formula>
    </cfRule>
    <cfRule type="containsText" dxfId="247" priority="532" operator="containsText" text="Repair immediately">
      <formula>NOT(ISERROR(SEARCH("Repair immediately",I619)))</formula>
    </cfRule>
    <cfRule type="cellIs" dxfId="246" priority="529" operator="equal">
      <formula>"Monitor"</formula>
    </cfRule>
    <cfRule type="cellIs" dxfId="245" priority="528" operator="equal">
      <formula>"Normal"</formula>
    </cfRule>
    <cfRule type="cellIs" dxfId="244" priority="527" operator="equal">
      <formula>"Low"</formula>
    </cfRule>
    <cfRule type="containsText" dxfId="243" priority="530" operator="containsText" text="Repair at planned outage">
      <formula>NOT(ISERROR(SEARCH("Repair at planned outage",I619)))</formula>
    </cfRule>
    <cfRule type="cellIs" dxfId="242" priority="526" operator="equal">
      <formula>"Medium"</formula>
    </cfRule>
  </conditionalFormatting>
  <conditionalFormatting sqref="I627">
    <cfRule type="containsText" dxfId="241" priority="501" operator="containsText" text="Repair immediately">
      <formula>NOT(ISERROR(SEARCH("Repair immediately",I627)))</formula>
    </cfRule>
    <cfRule type="containsText" dxfId="240" priority="499" operator="containsText" text="Repair at planned outage">
      <formula>NOT(ISERROR(SEARCH("Repair at planned outage",I627)))</formula>
    </cfRule>
    <cfRule type="cellIs" dxfId="239" priority="498" operator="equal">
      <formula>"Monitor"</formula>
    </cfRule>
    <cfRule type="cellIs" dxfId="238" priority="497" operator="equal">
      <formula>"Normal"</formula>
    </cfRule>
    <cfRule type="cellIs" dxfId="237" priority="496" operator="equal">
      <formula>"Low"</formula>
    </cfRule>
    <cfRule type="cellIs" dxfId="236" priority="495" operator="equal">
      <formula>"Medium"</formula>
    </cfRule>
    <cfRule type="cellIs" dxfId="235" priority="494" operator="equal">
      <formula>"High"</formula>
    </cfRule>
    <cfRule type="cellIs" dxfId="234" priority="493" operator="equal">
      <formula>"Critical"</formula>
    </cfRule>
    <cfRule type="containsText" dxfId="233" priority="500" operator="containsText" text="Schedule unplanned outage">
      <formula>NOT(ISERROR(SEARCH("Schedule unplanned outage",I627)))</formula>
    </cfRule>
  </conditionalFormatting>
  <conditionalFormatting sqref="I635">
    <cfRule type="cellIs" dxfId="232" priority="462" operator="equal">
      <formula>"Critical"</formula>
    </cfRule>
    <cfRule type="cellIs" dxfId="231" priority="463" operator="equal">
      <formula>"High"</formula>
    </cfRule>
    <cfRule type="cellIs" dxfId="230" priority="465" operator="equal">
      <formula>"Low"</formula>
    </cfRule>
    <cfRule type="cellIs" dxfId="229" priority="466" operator="equal">
      <formula>"Normal"</formula>
    </cfRule>
    <cfRule type="cellIs" dxfId="228" priority="467" operator="equal">
      <formula>"Monitor"</formula>
    </cfRule>
    <cfRule type="containsText" dxfId="227" priority="468" operator="containsText" text="Repair at planned outage">
      <formula>NOT(ISERROR(SEARCH("Repair at planned outage",I635)))</formula>
    </cfRule>
    <cfRule type="containsText" dxfId="226" priority="469" operator="containsText" text="Schedule unplanned outage">
      <formula>NOT(ISERROR(SEARCH("Schedule unplanned outage",I635)))</formula>
    </cfRule>
    <cfRule type="cellIs" dxfId="225" priority="464" operator="equal">
      <formula>"Medium"</formula>
    </cfRule>
    <cfRule type="containsText" dxfId="224" priority="470" operator="containsText" text="Repair immediately">
      <formula>NOT(ISERROR(SEARCH("Repair immediately",I635)))</formula>
    </cfRule>
  </conditionalFormatting>
  <conditionalFormatting sqref="I643">
    <cfRule type="containsText" dxfId="223" priority="45" operator="containsText" text="Repair immediately">
      <formula>NOT(ISERROR(SEARCH("Repair immediately",I643)))</formula>
    </cfRule>
    <cfRule type="cellIs" dxfId="222" priority="39" operator="equal">
      <formula>"Medium"</formula>
    </cfRule>
    <cfRule type="cellIs" dxfId="221" priority="38" operator="equal">
      <formula>"High"</formula>
    </cfRule>
    <cfRule type="cellIs" dxfId="220" priority="37" operator="equal">
      <formula>"Critical"</formula>
    </cfRule>
    <cfRule type="cellIs" dxfId="219" priority="42" operator="equal">
      <formula>"Monitor"</formula>
    </cfRule>
    <cfRule type="containsText" dxfId="218" priority="43" operator="containsText" text="Repair at planned outage">
      <formula>NOT(ISERROR(SEARCH("Repair at planned outage",I643)))</formula>
    </cfRule>
    <cfRule type="containsText" dxfId="217" priority="44" operator="containsText" text="Schedule unplanned outage">
      <formula>NOT(ISERROR(SEARCH("Schedule unplanned outage",I643)))</formula>
    </cfRule>
    <cfRule type="cellIs" dxfId="216" priority="40" operator="equal">
      <formula>"Low"</formula>
    </cfRule>
    <cfRule type="cellIs" dxfId="215" priority="41" operator="equal">
      <formula>"Normal"</formula>
    </cfRule>
  </conditionalFormatting>
  <conditionalFormatting sqref="I646">
    <cfRule type="cellIs" dxfId="214" priority="23" operator="equal">
      <formula>"Normal"</formula>
    </cfRule>
    <cfRule type="containsText" dxfId="213" priority="26" operator="containsText" text="Schedule unplanned outage">
      <formula>NOT(ISERROR(SEARCH("Schedule unplanned outage",I646)))</formula>
    </cfRule>
    <cfRule type="containsText" dxfId="212" priority="27" operator="containsText" text="Repair immediately">
      <formula>NOT(ISERROR(SEARCH("Repair immediately",I646)))</formula>
    </cfRule>
    <cfRule type="containsText" dxfId="211" priority="25" operator="containsText" text="Repair at planned outage">
      <formula>NOT(ISERROR(SEARCH("Repair at planned outage",I646)))</formula>
    </cfRule>
    <cfRule type="cellIs" dxfId="210" priority="24" operator="equal">
      <formula>"Monitor"</formula>
    </cfRule>
  </conditionalFormatting>
  <conditionalFormatting sqref="I649">
    <cfRule type="cellIs" dxfId="209" priority="78" operator="equal">
      <formula>"Monitor"</formula>
    </cfRule>
    <cfRule type="cellIs" dxfId="208" priority="73" operator="equal">
      <formula>"Critical"</formula>
    </cfRule>
    <cfRule type="cellIs" dxfId="207" priority="74" operator="equal">
      <formula>"High"</formula>
    </cfRule>
    <cfRule type="cellIs" dxfId="206" priority="75" operator="equal">
      <formula>"Medium"</formula>
    </cfRule>
    <cfRule type="cellIs" dxfId="205" priority="76" operator="equal">
      <formula>"Low"</formula>
    </cfRule>
    <cfRule type="cellIs" dxfId="204" priority="77" operator="equal">
      <formula>"Normal"</formula>
    </cfRule>
    <cfRule type="containsText" dxfId="203" priority="79" operator="containsText" text="Repair at planned outage">
      <formula>NOT(ISERROR(SEARCH("Repair at planned outage",I649)))</formula>
    </cfRule>
    <cfRule type="containsText" dxfId="202" priority="80" operator="containsText" text="Schedule unplanned outage">
      <formula>NOT(ISERROR(SEARCH("Schedule unplanned outage",I649)))</formula>
    </cfRule>
    <cfRule type="containsText" dxfId="201" priority="81" operator="containsText" text="Repair immediately">
      <formula>NOT(ISERROR(SEARCH("Repair immediately",I649)))</formula>
    </cfRule>
  </conditionalFormatting>
  <conditionalFormatting sqref="I654">
    <cfRule type="cellIs" dxfId="200" priority="58" operator="equal">
      <formula>"Low"</formula>
    </cfRule>
    <cfRule type="cellIs" dxfId="199" priority="59" operator="equal">
      <formula>"Normal"</formula>
    </cfRule>
    <cfRule type="cellIs" dxfId="198" priority="60" operator="equal">
      <formula>"Monitor"</formula>
    </cfRule>
    <cfRule type="containsText" dxfId="197" priority="61" operator="containsText" text="Repair at planned outage">
      <formula>NOT(ISERROR(SEARCH("Repair at planned outage",I654)))</formula>
    </cfRule>
    <cfRule type="containsText" dxfId="196" priority="62" operator="containsText" text="Schedule unplanned outage">
      <formula>NOT(ISERROR(SEARCH("Schedule unplanned outage",I654)))</formula>
    </cfRule>
    <cfRule type="cellIs" dxfId="195" priority="57" operator="equal">
      <formula>"Medium"</formula>
    </cfRule>
    <cfRule type="containsText" dxfId="194" priority="63" operator="containsText" text="Repair immediately">
      <formula>NOT(ISERROR(SEARCH("Repair immediately",I654)))</formula>
    </cfRule>
    <cfRule type="cellIs" dxfId="193" priority="56" operator="equal">
      <formula>"High"</formula>
    </cfRule>
    <cfRule type="cellIs" dxfId="192" priority="55" operator="equal">
      <formula>"Critical"</formula>
    </cfRule>
  </conditionalFormatting>
  <conditionalFormatting sqref="I659 I669 I679 I689 I699 I709 I719">
    <cfRule type="containsText" dxfId="191" priority="2087" operator="containsText" text="Repair at planned outage">
      <formula>NOT(ISERROR(SEARCH("Repair at planned outage",I659)))</formula>
    </cfRule>
    <cfRule type="containsText" dxfId="190" priority="2089" operator="containsText" text="Repair immediately">
      <formula>NOT(ISERROR(SEARCH("Repair immediately",I659)))</formula>
    </cfRule>
    <cfRule type="cellIs" dxfId="189" priority="2082" operator="equal">
      <formula>"High"</formula>
    </cfRule>
    <cfRule type="cellIs" dxfId="188" priority="2083" operator="equal">
      <formula>"Medium"</formula>
    </cfRule>
    <cfRule type="cellIs" dxfId="187" priority="2084" operator="equal">
      <formula>"Low"</formula>
    </cfRule>
    <cfRule type="cellIs" dxfId="186" priority="2085" operator="equal">
      <formula>"Normal"</formula>
    </cfRule>
    <cfRule type="cellIs" dxfId="185" priority="2086" operator="equal">
      <formula>"Monitor"</formula>
    </cfRule>
    <cfRule type="cellIs" dxfId="184" priority="2081" operator="equal">
      <formula>"Critical"</formula>
    </cfRule>
    <cfRule type="containsText" dxfId="183" priority="2088" operator="containsText" text="Schedule unplanned outage">
      <formula>NOT(ISERROR(SEARCH("Schedule unplanned outage",I659)))</formula>
    </cfRule>
  </conditionalFormatting>
  <conditionalFormatting sqref="I729">
    <cfRule type="containsText" dxfId="182" priority="2020" operator="containsText" text="Repair at planned outage">
      <formula>NOT(ISERROR(SEARCH("Repair at planned outage",I729)))</formula>
    </cfRule>
    <cfRule type="cellIs" dxfId="181" priority="2019" operator="equal">
      <formula>"Monitor"</formula>
    </cfRule>
    <cfRule type="cellIs" dxfId="180" priority="2018" operator="equal">
      <formula>"Normal"</formula>
    </cfRule>
    <cfRule type="containsText" dxfId="179" priority="2021" operator="containsText" text="Schedule unplanned outage">
      <formula>NOT(ISERROR(SEARCH("Schedule unplanned outage",I729)))</formula>
    </cfRule>
    <cfRule type="cellIs" dxfId="178" priority="2016" operator="equal">
      <formula>"Medium"</formula>
    </cfRule>
    <cfRule type="cellIs" dxfId="177" priority="2015" operator="equal">
      <formula>"High"</formula>
    </cfRule>
    <cfRule type="cellIs" dxfId="176" priority="2014" operator="equal">
      <formula>"Critical"</formula>
    </cfRule>
    <cfRule type="cellIs" dxfId="175" priority="2017" operator="equal">
      <formula>"Low"</formula>
    </cfRule>
    <cfRule type="containsText" dxfId="174" priority="2022" operator="containsText" text="Repair immediately">
      <formula>NOT(ISERROR(SEARCH("Repair immediately",I729)))</formula>
    </cfRule>
  </conditionalFormatting>
  <conditionalFormatting sqref="I739">
    <cfRule type="containsText" dxfId="173" priority="2013" operator="containsText" text="Repair immediately">
      <formula>NOT(ISERROR(SEARCH("Repair immediately",I739)))</formula>
    </cfRule>
    <cfRule type="containsText" dxfId="172" priority="2011" operator="containsText" text="Repair at planned outage">
      <formula>NOT(ISERROR(SEARCH("Repair at planned outage",I739)))</formula>
    </cfRule>
    <cfRule type="cellIs" dxfId="171" priority="2010" operator="equal">
      <formula>"Monitor"</formula>
    </cfRule>
    <cfRule type="cellIs" dxfId="170" priority="2009" operator="equal">
      <formula>"Normal"</formula>
    </cfRule>
    <cfRule type="cellIs" dxfId="169" priority="2008" operator="equal">
      <formula>"Low"</formula>
    </cfRule>
    <cfRule type="cellIs" dxfId="168" priority="2007" operator="equal">
      <formula>"Medium"</formula>
    </cfRule>
    <cfRule type="cellIs" dxfId="167" priority="2006" operator="equal">
      <formula>"High"</formula>
    </cfRule>
    <cfRule type="cellIs" dxfId="166" priority="2005" operator="equal">
      <formula>"Critical"</formula>
    </cfRule>
    <cfRule type="containsText" dxfId="165" priority="2012" operator="containsText" text="Schedule unplanned outage">
      <formula>NOT(ISERROR(SEARCH("Schedule unplanned outage",I739)))</formula>
    </cfRule>
  </conditionalFormatting>
  <conditionalFormatting sqref="I748">
    <cfRule type="containsText" dxfId="164" priority="1999" operator="containsText" text="Schedule unplanned outage">
      <formula>NOT(ISERROR(SEARCH("Schedule unplanned outage",I748)))</formula>
    </cfRule>
    <cfRule type="containsText" dxfId="163" priority="1998" operator="containsText" text="Repair at planned outage">
      <formula>NOT(ISERROR(SEARCH("Repair at planned outage",I748)))</formula>
    </cfRule>
    <cfRule type="cellIs" dxfId="162" priority="1997" operator="equal">
      <formula>"Monitor"</formula>
    </cfRule>
    <cfRule type="cellIs" dxfId="161" priority="1996" operator="equal">
      <formula>"Normal"</formula>
    </cfRule>
    <cfRule type="cellIs" dxfId="160" priority="1995" operator="equal">
      <formula>"Low"</formula>
    </cfRule>
    <cfRule type="cellIs" dxfId="159" priority="1994" operator="equal">
      <formula>"Medium"</formula>
    </cfRule>
    <cfRule type="cellIs" dxfId="158" priority="1993" operator="equal">
      <formula>"High"</formula>
    </cfRule>
    <cfRule type="cellIs" dxfId="157" priority="1992" operator="equal">
      <formula>"Critical"</formula>
    </cfRule>
    <cfRule type="containsText" dxfId="156" priority="2000" operator="containsText" text="Repair immediately">
      <formula>NOT(ISERROR(SEARCH("Repair immediately",I748)))</formula>
    </cfRule>
  </conditionalFormatting>
  <conditionalFormatting sqref="I757">
    <cfRule type="containsText" dxfId="155" priority="1990" operator="containsText" text="Schedule unplanned outage">
      <formula>NOT(ISERROR(SEARCH("Schedule unplanned outage",I757)))</formula>
    </cfRule>
    <cfRule type="containsText" dxfId="154" priority="1989" operator="containsText" text="Repair at planned outage">
      <formula>NOT(ISERROR(SEARCH("Repair at planned outage",I757)))</formula>
    </cfRule>
    <cfRule type="cellIs" dxfId="153" priority="1988" operator="equal">
      <formula>"Monitor"</formula>
    </cfRule>
    <cfRule type="cellIs" dxfId="152" priority="1987" operator="equal">
      <formula>"Normal"</formula>
    </cfRule>
    <cfRule type="cellIs" dxfId="151" priority="1986" operator="equal">
      <formula>"Low"</formula>
    </cfRule>
    <cfRule type="cellIs" dxfId="150" priority="1985" operator="equal">
      <formula>"Medium"</formula>
    </cfRule>
    <cfRule type="cellIs" dxfId="149" priority="1984" operator="equal">
      <formula>"High"</formula>
    </cfRule>
    <cfRule type="cellIs" dxfId="148" priority="1983" operator="equal">
      <formula>"Critical"</formula>
    </cfRule>
    <cfRule type="containsText" dxfId="147" priority="1991" operator="containsText" text="Repair immediately">
      <formula>NOT(ISERROR(SEARCH("Repair immediately",I757)))</formula>
    </cfRule>
  </conditionalFormatting>
  <conditionalFormatting sqref="I765">
    <cfRule type="cellIs" dxfId="146" priority="1977" operator="equal">
      <formula>"Low"</formula>
    </cfRule>
    <cfRule type="containsText" dxfId="145" priority="1980" operator="containsText" text="Repair at planned outage">
      <formula>NOT(ISERROR(SEARCH("Repair at planned outage",I765)))</formula>
    </cfRule>
    <cfRule type="containsText" dxfId="144" priority="1981" operator="containsText" text="Schedule unplanned outage">
      <formula>NOT(ISERROR(SEARCH("Schedule unplanned outage",I765)))</formula>
    </cfRule>
    <cfRule type="cellIs" dxfId="143" priority="1979" operator="equal">
      <formula>"Monitor"</formula>
    </cfRule>
    <cfRule type="containsText" dxfId="142" priority="1982" operator="containsText" text="Repair immediately">
      <formula>NOT(ISERROR(SEARCH("Repair immediately",I765)))</formula>
    </cfRule>
    <cfRule type="cellIs" dxfId="141" priority="1974" operator="equal">
      <formula>"Critical"</formula>
    </cfRule>
    <cfRule type="cellIs" dxfId="140" priority="1975" operator="equal">
      <formula>"High"</formula>
    </cfRule>
    <cfRule type="cellIs" dxfId="139" priority="1976" operator="equal">
      <formula>"Medium"</formula>
    </cfRule>
    <cfRule type="cellIs" dxfId="138" priority="1978" operator="equal">
      <formula>"Normal"</formula>
    </cfRule>
  </conditionalFormatting>
  <conditionalFormatting sqref="I773">
    <cfRule type="containsText" dxfId="137" priority="1972" operator="containsText" text="Schedule unplanned outage">
      <formula>NOT(ISERROR(SEARCH("Schedule unplanned outage",I773)))</formula>
    </cfRule>
    <cfRule type="cellIs" dxfId="136" priority="1970" operator="equal">
      <formula>"Monitor"</formula>
    </cfRule>
    <cfRule type="cellIs" dxfId="135" priority="1969" operator="equal">
      <formula>"Normal"</formula>
    </cfRule>
    <cfRule type="cellIs" dxfId="134" priority="1965" operator="equal">
      <formula>"Critical"</formula>
    </cfRule>
    <cfRule type="containsText" dxfId="133" priority="1971" operator="containsText" text="Repair at planned outage">
      <formula>NOT(ISERROR(SEARCH("Repair at planned outage",I773)))</formula>
    </cfRule>
    <cfRule type="cellIs" dxfId="132" priority="1966" operator="equal">
      <formula>"High"</formula>
    </cfRule>
    <cfRule type="cellIs" dxfId="131" priority="1967" operator="equal">
      <formula>"Medium"</formula>
    </cfRule>
    <cfRule type="cellIs" dxfId="130" priority="1968" operator="equal">
      <formula>"Low"</formula>
    </cfRule>
    <cfRule type="containsText" dxfId="129" priority="1973" operator="containsText" text="Repair immediately">
      <formula>NOT(ISERROR(SEARCH("Repair immediately",I773)))</formula>
    </cfRule>
  </conditionalFormatting>
  <conditionalFormatting sqref="I777">
    <cfRule type="cellIs" dxfId="128" priority="1953" operator="equal">
      <formula>"High"</formula>
    </cfRule>
    <cfRule type="cellIs" dxfId="127" priority="1952" operator="equal">
      <formula>"Critical"</formula>
    </cfRule>
    <cfRule type="cellIs" dxfId="126" priority="1954" operator="equal">
      <formula>"Medium"</formula>
    </cfRule>
    <cfRule type="cellIs" dxfId="125" priority="1955" operator="equal">
      <formula>"Low"</formula>
    </cfRule>
    <cfRule type="cellIs" dxfId="124" priority="1956" operator="equal">
      <formula>"Normal"</formula>
    </cfRule>
    <cfRule type="containsText" dxfId="123" priority="1960" operator="containsText" text="Repair immediately">
      <formula>NOT(ISERROR(SEARCH("Repair immediately",I777)))</formula>
    </cfRule>
    <cfRule type="containsText" dxfId="122" priority="1959" operator="containsText" text="Schedule unplanned outage">
      <formula>NOT(ISERROR(SEARCH("Schedule unplanned outage",I777)))</formula>
    </cfRule>
    <cfRule type="cellIs" dxfId="121" priority="1957" operator="equal">
      <formula>"Monitor"</formula>
    </cfRule>
    <cfRule type="containsText" dxfId="120" priority="1958" operator="containsText" text="Repair at planned outage">
      <formula>NOT(ISERROR(SEARCH("Repair at planned outage",I777)))</formula>
    </cfRule>
  </conditionalFormatting>
  <conditionalFormatting sqref="I781">
    <cfRule type="cellIs" dxfId="119" priority="1345" operator="equal">
      <formula>"Monitor"</formula>
    </cfRule>
    <cfRule type="containsText" dxfId="118" priority="1346" operator="containsText" text="Repair at planned outage">
      <formula>NOT(ISERROR(SEARCH("Repair at planned outage",I781)))</formula>
    </cfRule>
    <cfRule type="containsText" dxfId="117" priority="1347" operator="containsText" text="Schedule unplanned outage">
      <formula>NOT(ISERROR(SEARCH("Schedule unplanned outage",I781)))</formula>
    </cfRule>
    <cfRule type="containsText" dxfId="116" priority="1348" operator="containsText" text="Repair immediately">
      <formula>NOT(ISERROR(SEARCH("Repair immediately",I781)))</formula>
    </cfRule>
    <cfRule type="cellIs" dxfId="115" priority="1343" operator="equal">
      <formula>"Low"</formula>
    </cfRule>
    <cfRule type="cellIs" dxfId="114" priority="1342" operator="equal">
      <formula>"Medium"</formula>
    </cfRule>
    <cfRule type="cellIs" dxfId="113" priority="1341" operator="equal">
      <formula>"High"</formula>
    </cfRule>
    <cfRule type="cellIs" dxfId="112" priority="1340" operator="equal">
      <formula>"Critical"</formula>
    </cfRule>
    <cfRule type="cellIs" dxfId="111" priority="1344" operator="equal">
      <formula>"Normal"</formula>
    </cfRule>
  </conditionalFormatting>
  <conditionalFormatting sqref="I786">
    <cfRule type="cellIs" dxfId="110" priority="1291" operator="equal">
      <formula>"Critical"</formula>
    </cfRule>
    <cfRule type="cellIs" dxfId="109" priority="1292" operator="equal">
      <formula>"High"</formula>
    </cfRule>
    <cfRule type="cellIs" dxfId="108" priority="1293" operator="equal">
      <formula>"Medium"</formula>
    </cfRule>
    <cfRule type="cellIs" dxfId="107" priority="1294" operator="equal">
      <formula>"Low"</formula>
    </cfRule>
    <cfRule type="containsText" dxfId="106" priority="1298" operator="containsText" text="Schedule unplanned outage">
      <formula>NOT(ISERROR(SEARCH("Schedule unplanned outage",I786)))</formula>
    </cfRule>
    <cfRule type="containsText" dxfId="105" priority="1297" operator="containsText" text="Repair at planned outage">
      <formula>NOT(ISERROR(SEARCH("Repair at planned outage",I786)))</formula>
    </cfRule>
    <cfRule type="cellIs" dxfId="104" priority="1296" operator="equal">
      <formula>"Monitor"</formula>
    </cfRule>
    <cfRule type="cellIs" dxfId="103" priority="1295" operator="equal">
      <formula>"Normal"</formula>
    </cfRule>
    <cfRule type="containsText" dxfId="102" priority="1299" operator="containsText" text="Repair immediately">
      <formula>NOT(ISERROR(SEARCH("Repair immediately",I786)))</formula>
    </cfRule>
  </conditionalFormatting>
  <conditionalFormatting sqref="I791">
    <cfRule type="containsText" dxfId="101" priority="1199" operator="containsText" text="Schedule unplanned outage">
      <formula>NOT(ISERROR(SEARCH("Schedule unplanned outage",I791)))</formula>
    </cfRule>
    <cfRule type="containsText" dxfId="100" priority="1200" operator="containsText" text="Repair immediately">
      <formula>NOT(ISERROR(SEARCH("Repair immediately",I791)))</formula>
    </cfRule>
    <cfRule type="cellIs" dxfId="99" priority="1192" operator="equal">
      <formula>"Critical"</formula>
    </cfRule>
    <cfRule type="cellIs" dxfId="98" priority="1194" operator="equal">
      <formula>"Medium"</formula>
    </cfRule>
    <cfRule type="cellIs" dxfId="97" priority="1195" operator="equal">
      <formula>"Low"</formula>
    </cfRule>
    <cfRule type="cellIs" dxfId="96" priority="1196" operator="equal">
      <formula>"Normal"</formula>
    </cfRule>
    <cfRule type="cellIs" dxfId="95" priority="1197" operator="equal">
      <formula>"Monitor"</formula>
    </cfRule>
    <cfRule type="containsText" dxfId="94" priority="1198" operator="containsText" text="Repair at planned outage">
      <formula>NOT(ISERROR(SEARCH("Repair at planned outage",I791)))</formula>
    </cfRule>
    <cfRule type="cellIs" dxfId="93" priority="1193" operator="equal">
      <formula>"High"</formula>
    </cfRule>
  </conditionalFormatting>
  <conditionalFormatting sqref="I802">
    <cfRule type="containsText" dxfId="92" priority="1177" operator="containsText" text="Schedule unplanned outage">
      <formula>NOT(ISERROR(SEARCH("Schedule unplanned outage",I802)))</formula>
    </cfRule>
    <cfRule type="containsText" dxfId="91" priority="1176" operator="containsText" text="Repair at planned outage">
      <formula>NOT(ISERROR(SEARCH("Repair at planned outage",I802)))</formula>
    </cfRule>
    <cfRule type="cellIs" dxfId="90" priority="1175" operator="equal">
      <formula>"Monitor"</formula>
    </cfRule>
    <cfRule type="cellIs" dxfId="89" priority="1174" operator="equal">
      <formula>"Normal"</formula>
    </cfRule>
    <cfRule type="cellIs" dxfId="88" priority="1170" operator="equal">
      <formula>"Critical"</formula>
    </cfRule>
    <cfRule type="cellIs" dxfId="87" priority="1173" operator="equal">
      <formula>"Low"</formula>
    </cfRule>
    <cfRule type="cellIs" dxfId="86" priority="1172" operator="equal">
      <formula>"Medium"</formula>
    </cfRule>
    <cfRule type="cellIs" dxfId="85" priority="1171" operator="equal">
      <formula>"High"</formula>
    </cfRule>
    <cfRule type="containsText" dxfId="84" priority="1178" operator="containsText" text="Repair immediately">
      <formula>NOT(ISERROR(SEARCH("Repair immediately",I802)))</formula>
    </cfRule>
  </conditionalFormatting>
  <conditionalFormatting sqref="I6:J6 I13 I20">
    <cfRule type="cellIs" dxfId="83" priority="2570" operator="equal">
      <formula>"Low"</formula>
    </cfRule>
    <cfRule type="cellIs" dxfId="82" priority="2569" operator="equal">
      <formula>"Medium"</formula>
    </cfRule>
    <cfRule type="cellIs" dxfId="81" priority="2568" operator="equal">
      <formula>"High"</formula>
    </cfRule>
    <cfRule type="cellIs" dxfId="80" priority="2567" operator="equal">
      <formula>"Critical"</formula>
    </cfRule>
  </conditionalFormatting>
  <conditionalFormatting sqref="I215:J215 I222 I229">
    <cfRule type="cellIs" dxfId="79" priority="988" operator="equal">
      <formula>"Medium"</formula>
    </cfRule>
    <cfRule type="cellIs" dxfId="78" priority="987" operator="equal">
      <formula>"High"</formula>
    </cfRule>
    <cfRule type="cellIs" dxfId="77" priority="986" operator="equal">
      <formula>"Critical"</formula>
    </cfRule>
    <cfRule type="cellIs" dxfId="76" priority="989" operator="equal">
      <formula>"Low"</formula>
    </cfRule>
  </conditionalFormatting>
  <conditionalFormatting sqref="I543:J543">
    <cfRule type="cellIs" dxfId="75" priority="2210" operator="equal">
      <formula>"Low"</formula>
    </cfRule>
    <cfRule type="cellIs" dxfId="74" priority="2209" operator="equal">
      <formula>"Medium"</formula>
    </cfRule>
    <cfRule type="cellIs" dxfId="73" priority="2208" operator="equal">
      <formula>"High"</formula>
    </cfRule>
    <cfRule type="cellIs" dxfId="72" priority="2207" operator="equal">
      <formula>"Critical"</formula>
    </cfRule>
    <cfRule type="containsText" dxfId="71" priority="2215" operator="containsText" text="Repair immediately">
      <formula>NOT(ISERROR(SEARCH("Repair immediately",I543)))</formula>
    </cfRule>
    <cfRule type="containsText" dxfId="70" priority="2214" operator="containsText" text="Schedule unplanned outage">
      <formula>NOT(ISERROR(SEARCH("Schedule unplanned outage",I543)))</formula>
    </cfRule>
    <cfRule type="containsText" dxfId="69" priority="2213" operator="containsText" text="Repair at planned outage">
      <formula>NOT(ISERROR(SEARCH("Repair at planned outage",I543)))</formula>
    </cfRule>
    <cfRule type="cellIs" dxfId="68" priority="2212" operator="equal">
      <formula>"Monitor"</formula>
    </cfRule>
    <cfRule type="cellIs" dxfId="67" priority="2211" operator="equal">
      <formula>"Normal"</formula>
    </cfRule>
  </conditionalFormatting>
  <conditionalFormatting sqref="I6:K6 I13 I20 J491:J515 J540:J542">
    <cfRule type="containsText" dxfId="66" priority="2575" operator="containsText" text="Repair immediately">
      <formula>NOT(ISERROR(SEARCH("Repair immediately",I6)))</formula>
    </cfRule>
    <cfRule type="containsText" dxfId="65" priority="2573" operator="containsText" text="Repair at planned outage">
      <formula>NOT(ISERROR(SEARCH("Repair at planned outage",I6)))</formula>
    </cfRule>
    <cfRule type="containsText" dxfId="64" priority="2574" operator="containsText" text="Schedule unplanned outage">
      <formula>NOT(ISERROR(SEARCH("Schedule unplanned outage",I6)))</formula>
    </cfRule>
  </conditionalFormatting>
  <conditionalFormatting sqref="I6:K6 I13 I20 J540:J542">
    <cfRule type="cellIs" dxfId="63" priority="2571" operator="equal">
      <formula>"Normal"</formula>
    </cfRule>
  </conditionalFormatting>
  <conditionalFormatting sqref="I215:K215 I222 I229">
    <cfRule type="cellIs" dxfId="62" priority="990" operator="equal">
      <formula>"Normal"</formula>
    </cfRule>
    <cfRule type="cellIs" dxfId="61" priority="991" operator="equal">
      <formula>"Monitor"</formula>
    </cfRule>
    <cfRule type="containsText" dxfId="60" priority="992" operator="containsText" text="Repair at planned outage">
      <formula>NOT(ISERROR(SEARCH("Repair at planned outage",I215)))</formula>
    </cfRule>
    <cfRule type="containsText" dxfId="59" priority="993" operator="containsText" text="Schedule unplanned outage">
      <formula>NOT(ISERROR(SEARCH("Schedule unplanned outage",I215)))</formula>
    </cfRule>
    <cfRule type="containsText" dxfId="58" priority="994" operator="containsText" text="Repair immediately">
      <formula>NOT(ISERROR(SEARCH("Repair immediately",I215)))</formula>
    </cfRule>
  </conditionalFormatting>
  <conditionalFormatting sqref="J7:J214 I178">
    <cfRule type="cellIs" dxfId="57" priority="301" operator="equal">
      <formula>"Critical"</formula>
    </cfRule>
    <cfRule type="cellIs" dxfId="56" priority="304" operator="equal">
      <formula>"Low"</formula>
    </cfRule>
    <cfRule type="cellIs" dxfId="55" priority="303" operator="equal">
      <formula>"Medium"</formula>
    </cfRule>
    <cfRule type="cellIs" dxfId="54" priority="302" operator="equal">
      <formula>"High"</formula>
    </cfRule>
  </conditionalFormatting>
  <conditionalFormatting sqref="J216:J542 I375">
    <cfRule type="cellIs" dxfId="53" priority="189" operator="equal">
      <formula>"Critical"</formula>
    </cfRule>
    <cfRule type="cellIs" dxfId="52" priority="190" operator="equal">
      <formula>"High"</formula>
    </cfRule>
    <cfRule type="cellIs" dxfId="51" priority="191" operator="equal">
      <formula>"Medium"</formula>
    </cfRule>
    <cfRule type="cellIs" dxfId="50" priority="192" operator="equal">
      <formula>"Low"</formula>
    </cfRule>
  </conditionalFormatting>
  <conditionalFormatting sqref="J491:J515 I6:K6 I13 I20 J540:J542">
    <cfRule type="cellIs" dxfId="49" priority="2572" operator="equal">
      <formula>"Monitor"</formula>
    </cfRule>
  </conditionalFormatting>
  <conditionalFormatting sqref="J515:J526">
    <cfRule type="cellIs" dxfId="48" priority="1849" operator="equal">
      <formula>"Monitor"</formula>
    </cfRule>
    <cfRule type="containsText" dxfId="47" priority="1851" operator="containsText" text="Schedule unplanned outage">
      <formula>NOT(ISERROR(SEARCH("Schedule unplanned outage",J515)))</formula>
    </cfRule>
    <cfRule type="containsText" dxfId="46" priority="1852" operator="containsText" text="Repair immediately">
      <formula>NOT(ISERROR(SEARCH("Repair immediately",J515)))</formula>
    </cfRule>
    <cfRule type="containsText" dxfId="45" priority="1850" operator="containsText" text="Repair at planned outage">
      <formula>NOT(ISERROR(SEARCH("Repair at planned outage",J515)))</formula>
    </cfRule>
  </conditionalFormatting>
  <conditionalFormatting sqref="J526">
    <cfRule type="cellIs" dxfId="44" priority="1844" operator="equal">
      <formula>"Monitor"</formula>
    </cfRule>
    <cfRule type="containsText" dxfId="43" priority="1847" operator="containsText" text="Repair immediately">
      <formula>NOT(ISERROR(SEARCH("Repair immediately",J526)))</formula>
    </cfRule>
    <cfRule type="containsText" dxfId="42" priority="1845" operator="containsText" text="Repair at planned outage">
      <formula>NOT(ISERROR(SEARCH("Repair at planned outage",J526)))</formula>
    </cfRule>
    <cfRule type="containsText" dxfId="41" priority="1846" operator="containsText" text="Schedule unplanned outage">
      <formula>NOT(ISERROR(SEARCH("Schedule unplanned outage",J526)))</formula>
    </cfRule>
  </conditionalFormatting>
  <conditionalFormatting sqref="J544:J619">
    <cfRule type="containsText" dxfId="40" priority="633" operator="containsText" text="Repair immediately">
      <formula>NOT(ISERROR(SEARCH("Repair immediately",J544)))</formula>
    </cfRule>
    <cfRule type="containsText" dxfId="39" priority="631" operator="containsText" text="Repair at planned outage">
      <formula>NOT(ISERROR(SEARCH("Repair at planned outage",J544)))</formula>
    </cfRule>
    <cfRule type="cellIs" dxfId="38" priority="630" operator="equal">
      <formula>"Monitor"</formula>
    </cfRule>
    <cfRule type="cellIs" dxfId="37" priority="629" operator="equal">
      <formula>"Normal"</formula>
    </cfRule>
    <cfRule type="containsText" dxfId="36" priority="632" operator="containsText" text="Schedule unplanned outage">
      <formula>NOT(ISERROR(SEARCH("Schedule unplanned outage",J544)))</formula>
    </cfRule>
  </conditionalFormatting>
  <conditionalFormatting sqref="J544:J812 I646">
    <cfRule type="cellIs" dxfId="35" priority="20" operator="equal">
      <formula>"High"</formula>
    </cfRule>
    <cfRule type="cellIs" dxfId="34" priority="22" operator="equal">
      <formula>"Low"</formula>
    </cfRule>
    <cfRule type="cellIs" dxfId="33" priority="21" operator="equal">
      <formula>"Medium"</formula>
    </cfRule>
    <cfRule type="cellIs" dxfId="32" priority="19" operator="equal">
      <formula>"Critical"</formula>
    </cfRule>
  </conditionalFormatting>
  <conditionalFormatting sqref="J7:K214">
    <cfRule type="cellIs" dxfId="31" priority="297" operator="equal">
      <formula>"Monitor"</formula>
    </cfRule>
    <cfRule type="cellIs" dxfId="30" priority="296" operator="equal">
      <formula>"Normal"</formula>
    </cfRule>
    <cfRule type="containsText" dxfId="29" priority="298" operator="containsText" text="Repair at planned outage">
      <formula>NOT(ISERROR(SEARCH("Repair at planned outage",J7)))</formula>
    </cfRule>
    <cfRule type="containsText" dxfId="28" priority="299" operator="containsText" text="Schedule unplanned outage">
      <formula>NOT(ISERROR(SEARCH("Schedule unplanned outage",J7)))</formula>
    </cfRule>
    <cfRule type="containsText" dxfId="27" priority="300" operator="containsText" text="Repair immediately">
      <formula>NOT(ISERROR(SEARCH("Repair immediately",J7)))</formula>
    </cfRule>
  </conditionalFormatting>
  <conditionalFormatting sqref="J216:K490">
    <cfRule type="containsText" dxfId="26" priority="187" operator="containsText" text="Schedule unplanned outage">
      <formula>NOT(ISERROR(SEARCH("Schedule unplanned outage",J216)))</formula>
    </cfRule>
    <cfRule type="containsText" dxfId="25" priority="186" operator="containsText" text="Repair at planned outage">
      <formula>NOT(ISERROR(SEARCH("Repair at planned outage",J216)))</formula>
    </cfRule>
    <cfRule type="cellIs" dxfId="24" priority="185" operator="equal">
      <formula>"Monitor"</formula>
    </cfRule>
    <cfRule type="containsText" dxfId="23" priority="188" operator="containsText" text="Repair immediately">
      <formula>NOT(ISERROR(SEARCH("Repair immediately",J216)))</formula>
    </cfRule>
  </conditionalFormatting>
  <conditionalFormatting sqref="J216:K539">
    <cfRule type="cellIs" dxfId="22" priority="184" operator="equal">
      <formula>"Normal"</formula>
    </cfRule>
  </conditionalFormatting>
  <conditionalFormatting sqref="J527:K539">
    <cfRule type="containsText" dxfId="21" priority="1227" operator="containsText" text="Repair immediately">
      <formula>NOT(ISERROR(SEARCH("Repair immediately",J527)))</formula>
    </cfRule>
    <cfRule type="containsText" dxfId="20" priority="1225" operator="containsText" text="Repair at planned outage">
      <formula>NOT(ISERROR(SEARCH("Repair at planned outage",J527)))</formula>
    </cfRule>
    <cfRule type="cellIs" dxfId="19" priority="1224" operator="equal">
      <formula>"Monitor"</formula>
    </cfRule>
    <cfRule type="containsText" dxfId="18" priority="1226" operator="containsText" text="Schedule unplanned outage">
      <formula>NOT(ISERROR(SEARCH("Schedule unplanned outage",J527)))</formula>
    </cfRule>
  </conditionalFormatting>
  <conditionalFormatting sqref="J620:K812">
    <cfRule type="containsText" dxfId="17" priority="17" operator="containsText" text="Schedule unplanned outage">
      <formula>NOT(ISERROR(SEARCH("Schedule unplanned outage",J620)))</formula>
    </cfRule>
    <cfRule type="containsText" dxfId="16" priority="18" operator="containsText" text="Repair immediately">
      <formula>NOT(ISERROR(SEARCH("Repair immediately",J620)))</formula>
    </cfRule>
    <cfRule type="cellIs" dxfId="15" priority="14" operator="equal">
      <formula>"Normal"</formula>
    </cfRule>
    <cfRule type="cellIs" dxfId="14" priority="15" operator="equal">
      <formula>"Monitor"</formula>
    </cfRule>
    <cfRule type="containsText" dxfId="13" priority="16" operator="containsText" text="Repair at planned outage">
      <formula>NOT(ISERROR(SEARCH("Repair at planned outage",J620)))</formula>
    </cfRule>
  </conditionalFormatting>
  <conditionalFormatting sqref="K6:K812">
    <cfRule type="cellIs" dxfId="12" priority="10" operator="equal">
      <formula>"Critical"</formula>
    </cfRule>
    <cfRule type="cellIs" dxfId="11" priority="13" operator="equal">
      <formula>"Low"</formula>
    </cfRule>
    <cfRule type="cellIs" dxfId="10" priority="12" operator="equal">
      <formula>"Medium"</formula>
    </cfRule>
    <cfRule type="cellIs" dxfId="9" priority="11" operator="equal">
      <formula>"High"</formula>
    </cfRule>
  </conditionalFormatting>
  <conditionalFormatting sqref="K491:K526">
    <cfRule type="containsText" dxfId="8" priority="1236" operator="containsText" text="Repair immediately">
      <formula>NOT(ISERROR(SEARCH("Repair immediately",K491)))</formula>
    </cfRule>
    <cfRule type="containsText" dxfId="7" priority="1235" operator="containsText" text="Schedule unplanned outage">
      <formula>NOT(ISERROR(SEARCH("Schedule unplanned outage",K491)))</formula>
    </cfRule>
    <cfRule type="containsText" dxfId="6" priority="1234" operator="containsText" text="Repair at planned outage">
      <formula>NOT(ISERROR(SEARCH("Repair at planned outage",K491)))</formula>
    </cfRule>
    <cfRule type="cellIs" dxfId="5" priority="1233" operator="equal">
      <formula>"Monitor"</formula>
    </cfRule>
  </conditionalFormatting>
  <conditionalFormatting sqref="K540:K619">
    <cfRule type="containsText" dxfId="4" priority="518" operator="containsText" text="Schedule unplanned outage">
      <formula>NOT(ISERROR(SEARCH("Schedule unplanned outage",K540)))</formula>
    </cfRule>
    <cfRule type="containsText" dxfId="3" priority="517" operator="containsText" text="Repair at planned outage">
      <formula>NOT(ISERROR(SEARCH("Repair at planned outage",K540)))</formula>
    </cfRule>
    <cfRule type="cellIs" dxfId="2" priority="516" operator="equal">
      <formula>"Monitor"</formula>
    </cfRule>
    <cfRule type="cellIs" dxfId="1" priority="515" operator="equal">
      <formula>"Normal"</formula>
    </cfRule>
    <cfRule type="containsText" dxfId="0" priority="519" operator="containsText" text="Repair immediately">
      <formula>NOT(ISERROR(SEARCH("Repair immediately",K540)))</formula>
    </cfRule>
  </conditionalFormatting>
  <printOptions horizontalCentered="1"/>
  <pageMargins left="7.874015748031496E-2" right="7.874015748031496E-2" top="0.19685039370078741" bottom="0.19685039370078741" header="0.19685039370078741" footer="0.19685039370078741"/>
  <pageSetup scale="78" orientation="landscape" horizontalDpi="360" verticalDpi="360" r:id="rId1"/>
  <rowBreaks count="19" manualBreakCount="19">
    <brk id="47" max="13" man="1"/>
    <brk id="87" max="13" man="1"/>
    <brk id="131" max="13" man="1"/>
    <brk id="172" max="13" man="1"/>
    <brk id="203" max="13" man="1"/>
    <brk id="248" max="13" man="1"/>
    <brk id="288" max="13" man="1"/>
    <brk id="332" max="13" man="1"/>
    <brk id="374" max="13" man="1"/>
    <brk id="416" max="13" man="1"/>
    <brk id="454" max="13" man="1"/>
    <brk id="496" max="13" man="1"/>
    <brk id="542" max="13" man="1"/>
    <brk id="581" max="13" man="1"/>
    <brk id="626" max="13" man="1"/>
    <brk id="668" max="13" man="1"/>
    <brk id="708" max="13" man="1"/>
    <brk id="747" max="13" man="1"/>
    <brk id="790" max="1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C834"/>
  <sheetViews>
    <sheetView workbookViewId="0">
      <selection activeCell="F13" sqref="F13"/>
    </sheetView>
  </sheetViews>
  <sheetFormatPr defaultRowHeight="14.5" x14ac:dyDescent="0.35"/>
  <cols>
    <col min="2" max="2" width="14.7265625" style="88" customWidth="1"/>
    <col min="3" max="3" width="46.26953125" style="112" bestFit="1" customWidth="1"/>
  </cols>
  <sheetData>
    <row r="2" spans="2:3" x14ac:dyDescent="0.35">
      <c r="B2" s="113" t="s">
        <v>14</v>
      </c>
      <c r="C2" s="110" t="s">
        <v>161</v>
      </c>
    </row>
    <row r="3" spans="2:3" x14ac:dyDescent="0.35">
      <c r="B3" s="113" t="s">
        <v>20</v>
      </c>
      <c r="C3" s="110" t="s">
        <v>162</v>
      </c>
    </row>
    <row r="4" spans="2:3" x14ac:dyDescent="0.35">
      <c r="B4" s="113" t="s">
        <v>21</v>
      </c>
      <c r="C4" s="110" t="s">
        <v>163</v>
      </c>
    </row>
    <row r="5" spans="2:3" x14ac:dyDescent="0.35">
      <c r="B5" s="113" t="s">
        <v>23</v>
      </c>
      <c r="C5" s="110" t="s">
        <v>164</v>
      </c>
    </row>
    <row r="6" spans="2:3" x14ac:dyDescent="0.35">
      <c r="B6" s="113" t="s">
        <v>24</v>
      </c>
      <c r="C6" s="110" t="s">
        <v>165</v>
      </c>
    </row>
    <row r="7" spans="2:3" x14ac:dyDescent="0.35">
      <c r="B7" s="113" t="s">
        <v>27</v>
      </c>
      <c r="C7" s="110" t="s">
        <v>166</v>
      </c>
    </row>
    <row r="8" spans="2:3" x14ac:dyDescent="0.35">
      <c r="B8" s="113" t="s">
        <v>28</v>
      </c>
      <c r="C8" s="110" t="s">
        <v>167</v>
      </c>
    </row>
    <row r="9" spans="2:3" x14ac:dyDescent="0.35">
      <c r="B9" s="113" t="s">
        <v>29</v>
      </c>
      <c r="C9" s="110" t="s">
        <v>168</v>
      </c>
    </row>
    <row r="10" spans="2:3" x14ac:dyDescent="0.35">
      <c r="B10" s="113" t="s">
        <v>30</v>
      </c>
      <c r="C10" s="110" t="s">
        <v>169</v>
      </c>
    </row>
    <row r="11" spans="2:3" x14ac:dyDescent="0.35">
      <c r="B11" s="113" t="s">
        <v>31</v>
      </c>
      <c r="C11" s="110" t="s">
        <v>170</v>
      </c>
    </row>
    <row r="12" spans="2:3" x14ac:dyDescent="0.35">
      <c r="B12" s="113" t="s">
        <v>32</v>
      </c>
      <c r="C12" s="110" t="s">
        <v>171</v>
      </c>
    </row>
    <row r="13" spans="2:3" x14ac:dyDescent="0.35">
      <c r="B13" s="113" t="s">
        <v>36</v>
      </c>
      <c r="C13" s="110" t="s">
        <v>172</v>
      </c>
    </row>
    <row r="14" spans="2:3" x14ac:dyDescent="0.35">
      <c r="B14" s="113" t="s">
        <v>37</v>
      </c>
      <c r="C14" s="110" t="s">
        <v>173</v>
      </c>
    </row>
    <row r="15" spans="2:3" x14ac:dyDescent="0.35">
      <c r="B15" s="113" t="s">
        <v>38</v>
      </c>
      <c r="C15" s="110" t="s">
        <v>174</v>
      </c>
    </row>
    <row r="16" spans="2:3" x14ac:dyDescent="0.35">
      <c r="B16" s="113" t="s">
        <v>39</v>
      </c>
      <c r="C16" s="110" t="s">
        <v>175</v>
      </c>
    </row>
    <row r="17" spans="2:3" x14ac:dyDescent="0.35">
      <c r="B17" s="113" t="s">
        <v>40</v>
      </c>
      <c r="C17" s="110" t="s">
        <v>176</v>
      </c>
    </row>
    <row r="18" spans="2:3" x14ac:dyDescent="0.35">
      <c r="B18" s="113" t="s">
        <v>130</v>
      </c>
      <c r="C18" s="110" t="s">
        <v>177</v>
      </c>
    </row>
    <row r="19" spans="2:3" x14ac:dyDescent="0.35">
      <c r="B19" s="113" t="s">
        <v>131</v>
      </c>
      <c r="C19" s="110" t="s">
        <v>178</v>
      </c>
    </row>
    <row r="20" spans="2:3" x14ac:dyDescent="0.35">
      <c r="B20" s="113" t="s">
        <v>132</v>
      </c>
      <c r="C20" s="110" t="s">
        <v>179</v>
      </c>
    </row>
    <row r="21" spans="2:3" x14ac:dyDescent="0.35">
      <c r="B21" s="113" t="s">
        <v>133</v>
      </c>
      <c r="C21" s="110" t="s">
        <v>180</v>
      </c>
    </row>
    <row r="22" spans="2:3" x14ac:dyDescent="0.35">
      <c r="B22" s="113" t="s">
        <v>134</v>
      </c>
      <c r="C22" s="110" t="s">
        <v>181</v>
      </c>
    </row>
    <row r="23" spans="2:3" x14ac:dyDescent="0.35">
      <c r="B23" s="113" t="s">
        <v>43</v>
      </c>
      <c r="C23" s="110" t="s">
        <v>44</v>
      </c>
    </row>
    <row r="24" spans="2:3" x14ac:dyDescent="0.35">
      <c r="B24" s="114" t="s">
        <v>349</v>
      </c>
      <c r="C24" s="111" t="s">
        <v>347</v>
      </c>
    </row>
    <row r="25" spans="2:3" x14ac:dyDescent="0.35">
      <c r="B25" s="114" t="s">
        <v>350</v>
      </c>
      <c r="C25" s="111" t="s">
        <v>348</v>
      </c>
    </row>
    <row r="26" spans="2:3" x14ac:dyDescent="0.35">
      <c r="B26" s="114" t="s">
        <v>351</v>
      </c>
      <c r="C26" s="111" t="s">
        <v>337</v>
      </c>
    </row>
    <row r="27" spans="2:3" x14ac:dyDescent="0.35">
      <c r="B27" s="114" t="s">
        <v>343</v>
      </c>
      <c r="C27" s="111" t="s">
        <v>344</v>
      </c>
    </row>
    <row r="28" spans="2:3" x14ac:dyDescent="0.35">
      <c r="B28" s="114" t="s">
        <v>345</v>
      </c>
      <c r="C28" s="111" t="s">
        <v>346</v>
      </c>
    </row>
    <row r="29" spans="2:3" x14ac:dyDescent="0.35">
      <c r="B29" s="113" t="s">
        <v>45</v>
      </c>
      <c r="C29" s="110" t="s">
        <v>46</v>
      </c>
    </row>
    <row r="30" spans="2:3" x14ac:dyDescent="0.35">
      <c r="B30" s="114" t="s">
        <v>259</v>
      </c>
      <c r="C30" s="111" t="s">
        <v>260</v>
      </c>
    </row>
    <row r="31" spans="2:3" x14ac:dyDescent="0.35">
      <c r="B31" s="114" t="s">
        <v>261</v>
      </c>
      <c r="C31" s="111" t="s">
        <v>262</v>
      </c>
    </row>
    <row r="32" spans="2:3" x14ac:dyDescent="0.35">
      <c r="B32" s="113" t="s">
        <v>237</v>
      </c>
      <c r="C32" s="110" t="s">
        <v>221</v>
      </c>
    </row>
    <row r="33" spans="2:3" x14ac:dyDescent="0.35">
      <c r="B33" s="113" t="s">
        <v>238</v>
      </c>
      <c r="C33" s="110" t="s">
        <v>229</v>
      </c>
    </row>
    <row r="34" spans="2:3" x14ac:dyDescent="0.35">
      <c r="B34" s="113" t="s">
        <v>239</v>
      </c>
      <c r="C34" s="110" t="s">
        <v>222</v>
      </c>
    </row>
    <row r="35" spans="2:3" x14ac:dyDescent="0.35">
      <c r="B35" s="113" t="s">
        <v>240</v>
      </c>
      <c r="C35" s="110" t="s">
        <v>230</v>
      </c>
    </row>
    <row r="36" spans="2:3" x14ac:dyDescent="0.35">
      <c r="B36" s="113" t="s">
        <v>241</v>
      </c>
      <c r="C36" s="110" t="s">
        <v>223</v>
      </c>
    </row>
    <row r="37" spans="2:3" x14ac:dyDescent="0.35">
      <c r="B37" s="113" t="s">
        <v>242</v>
      </c>
      <c r="C37" s="110" t="s">
        <v>231</v>
      </c>
    </row>
    <row r="38" spans="2:3" x14ac:dyDescent="0.35">
      <c r="B38" s="113" t="s">
        <v>243</v>
      </c>
      <c r="C38" s="110" t="s">
        <v>224</v>
      </c>
    </row>
    <row r="39" spans="2:3" x14ac:dyDescent="0.35">
      <c r="B39" s="113" t="s">
        <v>244</v>
      </c>
      <c r="C39" s="110" t="s">
        <v>232</v>
      </c>
    </row>
    <row r="40" spans="2:3" x14ac:dyDescent="0.35">
      <c r="B40" s="113" t="s">
        <v>245</v>
      </c>
      <c r="C40" s="110" t="s">
        <v>225</v>
      </c>
    </row>
    <row r="41" spans="2:3" x14ac:dyDescent="0.35">
      <c r="B41" s="113" t="s">
        <v>246</v>
      </c>
      <c r="C41" s="110" t="s">
        <v>233</v>
      </c>
    </row>
    <row r="42" spans="2:3" x14ac:dyDescent="0.35">
      <c r="B42" s="113" t="s">
        <v>247</v>
      </c>
      <c r="C42" s="110" t="s">
        <v>226</v>
      </c>
    </row>
    <row r="43" spans="2:3" x14ac:dyDescent="0.35">
      <c r="B43" s="113" t="s">
        <v>248</v>
      </c>
      <c r="C43" s="110" t="s">
        <v>234</v>
      </c>
    </row>
    <row r="44" spans="2:3" x14ac:dyDescent="0.35">
      <c r="B44" s="113" t="s">
        <v>249</v>
      </c>
      <c r="C44" s="110" t="s">
        <v>227</v>
      </c>
    </row>
    <row r="45" spans="2:3" x14ac:dyDescent="0.35">
      <c r="B45" s="113" t="s">
        <v>250</v>
      </c>
      <c r="C45" s="110" t="s">
        <v>235</v>
      </c>
    </row>
    <row r="46" spans="2:3" x14ac:dyDescent="0.35">
      <c r="B46" s="113" t="s">
        <v>251</v>
      </c>
      <c r="C46" s="110" t="s">
        <v>228</v>
      </c>
    </row>
    <row r="47" spans="2:3" x14ac:dyDescent="0.35">
      <c r="B47" s="113" t="s">
        <v>252</v>
      </c>
      <c r="C47" s="110" t="s">
        <v>236</v>
      </c>
    </row>
    <row r="48" spans="2:3" x14ac:dyDescent="0.35">
      <c r="B48" s="113" t="s">
        <v>253</v>
      </c>
      <c r="C48" s="110" t="s">
        <v>258</v>
      </c>
    </row>
    <row r="49" spans="2:3" x14ac:dyDescent="0.35">
      <c r="B49" s="113" t="s">
        <v>254</v>
      </c>
      <c r="C49" s="110" t="s">
        <v>257</v>
      </c>
    </row>
    <row r="50" spans="2:3" x14ac:dyDescent="0.35">
      <c r="B50" s="114" t="s">
        <v>353</v>
      </c>
      <c r="C50" s="111" t="s">
        <v>354</v>
      </c>
    </row>
    <row r="51" spans="2:3" x14ac:dyDescent="0.35">
      <c r="B51" s="114" t="s">
        <v>352</v>
      </c>
      <c r="C51" s="111" t="s">
        <v>355</v>
      </c>
    </row>
    <row r="52" spans="2:3" x14ac:dyDescent="0.35">
      <c r="B52" s="114" t="s">
        <v>356</v>
      </c>
      <c r="C52" s="111" t="s">
        <v>337</v>
      </c>
    </row>
    <row r="53" spans="2:3" x14ac:dyDescent="0.35">
      <c r="B53" s="114" t="s">
        <v>339</v>
      </c>
      <c r="C53" s="111" t="s">
        <v>340</v>
      </c>
    </row>
    <row r="54" spans="2:3" x14ac:dyDescent="0.35">
      <c r="B54" s="114" t="s">
        <v>341</v>
      </c>
      <c r="C54" s="111" t="s">
        <v>342</v>
      </c>
    </row>
    <row r="55" spans="2:3" x14ac:dyDescent="0.35">
      <c r="B55" s="113" t="s">
        <v>255</v>
      </c>
      <c r="C55" s="110" t="s">
        <v>256</v>
      </c>
    </row>
    <row r="56" spans="2:3" x14ac:dyDescent="0.35">
      <c r="B56" s="113" t="s">
        <v>51</v>
      </c>
      <c r="C56" s="110" t="s">
        <v>197</v>
      </c>
    </row>
    <row r="57" spans="2:3" x14ac:dyDescent="0.35">
      <c r="B57" s="113" t="s">
        <v>52</v>
      </c>
      <c r="C57" s="110" t="s">
        <v>198</v>
      </c>
    </row>
    <row r="58" spans="2:3" x14ac:dyDescent="0.35">
      <c r="B58" s="113" t="s">
        <v>53</v>
      </c>
      <c r="C58" s="110" t="s">
        <v>199</v>
      </c>
    </row>
    <row r="59" spans="2:3" x14ac:dyDescent="0.35">
      <c r="B59" s="113" t="s">
        <v>54</v>
      </c>
      <c r="C59" s="110" t="s">
        <v>200</v>
      </c>
    </row>
    <row r="60" spans="2:3" x14ac:dyDescent="0.35">
      <c r="B60" s="113" t="s">
        <v>55</v>
      </c>
      <c r="C60" s="110" t="s">
        <v>201</v>
      </c>
    </row>
    <row r="61" spans="2:3" x14ac:dyDescent="0.35">
      <c r="B61" s="113" t="s">
        <v>56</v>
      </c>
      <c r="C61" s="110" t="s">
        <v>202</v>
      </c>
    </row>
    <row r="62" spans="2:3" x14ac:dyDescent="0.35">
      <c r="B62" s="113" t="s">
        <v>57</v>
      </c>
      <c r="C62" s="110" t="s">
        <v>203</v>
      </c>
    </row>
    <row r="63" spans="2:3" x14ac:dyDescent="0.35">
      <c r="B63" s="113" t="s">
        <v>58</v>
      </c>
      <c r="C63" s="110" t="s">
        <v>204</v>
      </c>
    </row>
    <row r="64" spans="2:3" x14ac:dyDescent="0.35">
      <c r="B64" s="113" t="s">
        <v>59</v>
      </c>
      <c r="C64" s="116" t="s">
        <v>205</v>
      </c>
    </row>
    <row r="65" spans="2:3" x14ac:dyDescent="0.35">
      <c r="B65" s="113" t="s">
        <v>60</v>
      </c>
      <c r="C65" s="110" t="s">
        <v>206</v>
      </c>
    </row>
    <row r="66" spans="2:3" x14ac:dyDescent="0.35">
      <c r="B66" s="113" t="s">
        <v>61</v>
      </c>
      <c r="C66" s="110" t="s">
        <v>207</v>
      </c>
    </row>
    <row r="67" spans="2:3" x14ac:dyDescent="0.35">
      <c r="B67" s="113" t="s">
        <v>62</v>
      </c>
      <c r="C67" s="110" t="s">
        <v>63</v>
      </c>
    </row>
    <row r="68" spans="2:3" x14ac:dyDescent="0.35">
      <c r="B68" s="113" t="s">
        <v>64</v>
      </c>
      <c r="C68" s="110" t="s">
        <v>65</v>
      </c>
    </row>
    <row r="69" spans="2:3" x14ac:dyDescent="0.35">
      <c r="B69" s="113" t="s">
        <v>66</v>
      </c>
      <c r="C69" s="110" t="s">
        <v>208</v>
      </c>
    </row>
    <row r="70" spans="2:3" x14ac:dyDescent="0.35">
      <c r="B70" s="113" t="s">
        <v>69</v>
      </c>
      <c r="C70" s="110" t="s">
        <v>209</v>
      </c>
    </row>
    <row r="71" spans="2:3" x14ac:dyDescent="0.35">
      <c r="B71" s="113" t="s">
        <v>70</v>
      </c>
      <c r="C71" s="110" t="s">
        <v>210</v>
      </c>
    </row>
    <row r="72" spans="2:3" x14ac:dyDescent="0.35">
      <c r="B72" s="113" t="s">
        <v>71</v>
      </c>
      <c r="C72" s="110" t="s">
        <v>211</v>
      </c>
    </row>
    <row r="73" spans="2:3" x14ac:dyDescent="0.35">
      <c r="B73" s="113" t="s">
        <v>72</v>
      </c>
      <c r="C73" s="110" t="s">
        <v>212</v>
      </c>
    </row>
    <row r="74" spans="2:3" x14ac:dyDescent="0.35">
      <c r="B74" s="113" t="s">
        <v>73</v>
      </c>
      <c r="C74" s="110" t="s">
        <v>213</v>
      </c>
    </row>
    <row r="75" spans="2:3" x14ac:dyDescent="0.35">
      <c r="B75" s="113" t="s">
        <v>149</v>
      </c>
      <c r="C75" s="110" t="s">
        <v>214</v>
      </c>
    </row>
    <row r="76" spans="2:3" x14ac:dyDescent="0.35">
      <c r="B76" s="113" t="s">
        <v>150</v>
      </c>
      <c r="C76" s="110" t="s">
        <v>215</v>
      </c>
    </row>
    <row r="77" spans="2:3" x14ac:dyDescent="0.35">
      <c r="B77" s="113" t="s">
        <v>127</v>
      </c>
      <c r="C77" s="110" t="s">
        <v>216</v>
      </c>
    </row>
    <row r="78" spans="2:3" x14ac:dyDescent="0.35">
      <c r="B78" s="113" t="s">
        <v>128</v>
      </c>
      <c r="C78" s="110" t="s">
        <v>217</v>
      </c>
    </row>
    <row r="79" spans="2:3" x14ac:dyDescent="0.35">
      <c r="B79" s="113" t="s">
        <v>74</v>
      </c>
      <c r="C79" s="110" t="s">
        <v>75</v>
      </c>
    </row>
    <row r="80" spans="2:3" x14ac:dyDescent="0.35">
      <c r="B80" s="113" t="s">
        <v>129</v>
      </c>
      <c r="C80" s="110" t="s">
        <v>220</v>
      </c>
    </row>
    <row r="81" spans="2:3" x14ac:dyDescent="0.35">
      <c r="B81" s="113" t="s">
        <v>76</v>
      </c>
      <c r="C81" s="110" t="s">
        <v>77</v>
      </c>
    </row>
    <row r="82" spans="2:3" x14ac:dyDescent="0.35">
      <c r="B82" s="113" t="s">
        <v>78</v>
      </c>
      <c r="C82" s="110" t="s">
        <v>79</v>
      </c>
    </row>
    <row r="83" spans="2:3" x14ac:dyDescent="0.35">
      <c r="B83" s="114" t="s">
        <v>281</v>
      </c>
      <c r="C83" s="111" t="s">
        <v>263</v>
      </c>
    </row>
    <row r="84" spans="2:3" x14ac:dyDescent="0.35">
      <c r="B84" s="114" t="s">
        <v>282</v>
      </c>
      <c r="C84" s="111" t="s">
        <v>264</v>
      </c>
    </row>
    <row r="85" spans="2:3" x14ac:dyDescent="0.35">
      <c r="B85" s="114" t="s">
        <v>286</v>
      </c>
      <c r="C85" s="111" t="s">
        <v>287</v>
      </c>
    </row>
    <row r="86" spans="2:3" x14ac:dyDescent="0.35">
      <c r="B86" s="114" t="s">
        <v>288</v>
      </c>
      <c r="C86" s="111" t="s">
        <v>289</v>
      </c>
    </row>
    <row r="87" spans="2:3" x14ac:dyDescent="0.35">
      <c r="B87" s="114" t="s">
        <v>283</v>
      </c>
      <c r="C87" s="111" t="s">
        <v>266</v>
      </c>
    </row>
    <row r="88" spans="2:3" x14ac:dyDescent="0.35">
      <c r="B88" s="115" t="s">
        <v>285</v>
      </c>
      <c r="C88" s="111" t="s">
        <v>279</v>
      </c>
    </row>
    <row r="89" spans="2:3" x14ac:dyDescent="0.35">
      <c r="B89" s="114" t="s">
        <v>284</v>
      </c>
      <c r="C89" s="111" t="s">
        <v>280</v>
      </c>
    </row>
    <row r="90" spans="2:3" x14ac:dyDescent="0.35">
      <c r="B90" s="114" t="s">
        <v>357</v>
      </c>
      <c r="C90" s="111" t="s">
        <v>358</v>
      </c>
    </row>
    <row r="91" spans="2:3" x14ac:dyDescent="0.35">
      <c r="B91" s="114" t="s">
        <v>359</v>
      </c>
      <c r="C91" s="111" t="s">
        <v>360</v>
      </c>
    </row>
    <row r="92" spans="2:3" x14ac:dyDescent="0.35">
      <c r="B92" s="114" t="s">
        <v>363</v>
      </c>
      <c r="C92" s="111" t="s">
        <v>361</v>
      </c>
    </row>
    <row r="93" spans="2:3" x14ac:dyDescent="0.35">
      <c r="B93" s="114" t="s">
        <v>364</v>
      </c>
      <c r="C93" s="111" t="s">
        <v>362</v>
      </c>
    </row>
    <row r="94" spans="2:3" x14ac:dyDescent="0.35">
      <c r="B94" s="113" t="s">
        <v>84</v>
      </c>
      <c r="C94" s="110" t="s">
        <v>85</v>
      </c>
    </row>
    <row r="95" spans="2:3" x14ac:dyDescent="0.35">
      <c r="B95" s="113" t="s">
        <v>92</v>
      </c>
      <c r="C95" s="110" t="s">
        <v>93</v>
      </c>
    </row>
    <row r="96" spans="2:3" x14ac:dyDescent="0.35">
      <c r="B96" s="113" t="s">
        <v>94</v>
      </c>
      <c r="C96" s="110" t="s">
        <v>95</v>
      </c>
    </row>
    <row r="97" spans="2:3" x14ac:dyDescent="0.35">
      <c r="B97" s="113" t="s">
        <v>96</v>
      </c>
      <c r="C97" s="110" t="s">
        <v>97</v>
      </c>
    </row>
    <row r="98" spans="2:3" x14ac:dyDescent="0.35">
      <c r="B98" s="113" t="s">
        <v>98</v>
      </c>
      <c r="C98" s="110" t="s">
        <v>99</v>
      </c>
    </row>
    <row r="99" spans="2:3" x14ac:dyDescent="0.35">
      <c r="B99" s="113" t="s">
        <v>100</v>
      </c>
      <c r="C99" s="110" t="s">
        <v>101</v>
      </c>
    </row>
    <row r="100" spans="2:3" x14ac:dyDescent="0.35">
      <c r="B100" s="113" t="s">
        <v>102</v>
      </c>
      <c r="C100" s="110" t="s">
        <v>103</v>
      </c>
    </row>
    <row r="101" spans="2:3" x14ac:dyDescent="0.35">
      <c r="B101" s="113" t="s">
        <v>104</v>
      </c>
      <c r="C101" s="110" t="s">
        <v>105</v>
      </c>
    </row>
    <row r="102" spans="2:3" x14ac:dyDescent="0.35">
      <c r="B102" s="113" t="s">
        <v>106</v>
      </c>
      <c r="C102" s="110" t="s">
        <v>107</v>
      </c>
    </row>
    <row r="103" spans="2:3" x14ac:dyDescent="0.35">
      <c r="B103" s="113" t="s">
        <v>108</v>
      </c>
      <c r="C103" s="110" t="s">
        <v>109</v>
      </c>
    </row>
    <row r="104" spans="2:3" x14ac:dyDescent="0.35">
      <c r="B104" s="113" t="s">
        <v>110</v>
      </c>
      <c r="C104" s="110" t="s">
        <v>111</v>
      </c>
    </row>
    <row r="105" spans="2:3" x14ac:dyDescent="0.35">
      <c r="B105" s="113" t="s">
        <v>114</v>
      </c>
      <c r="C105" s="110" t="s">
        <v>115</v>
      </c>
    </row>
    <row r="106" spans="2:3" x14ac:dyDescent="0.35">
      <c r="B106" s="113" t="s">
        <v>116</v>
      </c>
      <c r="C106" s="110" t="s">
        <v>117</v>
      </c>
    </row>
    <row r="107" spans="2:3" x14ac:dyDescent="0.35">
      <c r="B107" s="113" t="s">
        <v>119</v>
      </c>
      <c r="C107" s="110" t="s">
        <v>120</v>
      </c>
    </row>
    <row r="108" spans="2:3" x14ac:dyDescent="0.35">
      <c r="B108" s="113" t="s">
        <v>182</v>
      </c>
      <c r="C108" s="110" t="s">
        <v>152</v>
      </c>
    </row>
    <row r="109" spans="2:3" x14ac:dyDescent="0.35">
      <c r="B109" s="113" t="s">
        <v>183</v>
      </c>
      <c r="C109" s="110" t="s">
        <v>155</v>
      </c>
    </row>
    <row r="110" spans="2:3" x14ac:dyDescent="0.35">
      <c r="B110" s="113" t="s">
        <v>184</v>
      </c>
      <c r="C110" s="110" t="s">
        <v>190</v>
      </c>
    </row>
    <row r="111" spans="2:3" x14ac:dyDescent="0.35">
      <c r="B111" s="114" t="s">
        <v>191</v>
      </c>
      <c r="C111" s="111" t="s">
        <v>189</v>
      </c>
    </row>
    <row r="112" spans="2:3" ht="14.5" customHeight="1" x14ac:dyDescent="0.35"/>
    <row r="120" ht="14.5" customHeight="1" x14ac:dyDescent="0.35"/>
    <row r="128" ht="14.5" customHeight="1" x14ac:dyDescent="0.35"/>
    <row r="131" ht="14.5" customHeight="1" x14ac:dyDescent="0.35"/>
    <row r="134" ht="14.5" customHeight="1" x14ac:dyDescent="0.35"/>
    <row r="137" ht="14.5" customHeight="1" x14ac:dyDescent="0.35"/>
    <row r="140" ht="14.5" customHeight="1" x14ac:dyDescent="0.35"/>
    <row r="142" ht="14.5" customHeight="1" x14ac:dyDescent="0.35"/>
    <row r="145" ht="14.5" customHeight="1" x14ac:dyDescent="0.35"/>
    <row r="153" ht="14.5" customHeight="1" x14ac:dyDescent="0.35"/>
    <row r="161" ht="14.5" customHeight="1" x14ac:dyDescent="0.35"/>
    <row r="169" ht="14.5" customHeight="1" x14ac:dyDescent="0.35"/>
    <row r="178" ht="14.5" customHeight="1" x14ac:dyDescent="0.35"/>
    <row r="187" ht="14.5" customHeight="1" x14ac:dyDescent="0.35"/>
    <row r="197" ht="14.5" customHeight="1" x14ac:dyDescent="0.35"/>
    <row r="208" ht="14.5" customHeight="1" x14ac:dyDescent="0.35"/>
    <row r="219" ht="14.5" customHeight="1" x14ac:dyDescent="0.35"/>
    <row r="226" ht="14.5" customHeight="1" x14ac:dyDescent="0.35"/>
    <row r="233" ht="14.5" customHeight="1" x14ac:dyDescent="0.35"/>
    <row r="243" ht="14.5" customHeight="1" x14ac:dyDescent="0.35"/>
    <row r="253" ht="14.5" customHeight="1" x14ac:dyDescent="0.35"/>
    <row r="261" ht="14.5" customHeight="1" x14ac:dyDescent="0.35"/>
    <row r="269" ht="14.5" customHeight="1" x14ac:dyDescent="0.35"/>
    <row r="277" ht="14.5" customHeight="1" x14ac:dyDescent="0.35"/>
    <row r="285" ht="14.5" customHeight="1" x14ac:dyDescent="0.35"/>
    <row r="293" ht="14.5" customHeight="1" x14ac:dyDescent="0.35"/>
    <row r="301" ht="14.5" customHeight="1" x14ac:dyDescent="0.35"/>
    <row r="308" ht="14.5" customHeight="1" x14ac:dyDescent="0.35"/>
    <row r="315" ht="14.5" customHeight="1" x14ac:dyDescent="0.35"/>
    <row r="322" ht="14.5" customHeight="1" x14ac:dyDescent="0.35"/>
    <row r="329" ht="14.5" customHeight="1" x14ac:dyDescent="0.35"/>
    <row r="337" ht="14.5" customHeight="1" x14ac:dyDescent="0.35"/>
    <row r="345" ht="14.5" customHeight="1" x14ac:dyDescent="0.35"/>
    <row r="347" ht="14.5" customHeight="1" x14ac:dyDescent="0.35"/>
    <row r="350" ht="14.5" customHeight="1" x14ac:dyDescent="0.35"/>
    <row r="358" ht="14.5" customHeight="1" x14ac:dyDescent="0.35"/>
    <row r="366" ht="14.5" customHeight="1" x14ac:dyDescent="0.35"/>
    <row r="374" ht="14.5" customHeight="1" x14ac:dyDescent="0.35"/>
    <row r="383" ht="14.5" customHeight="1" x14ac:dyDescent="0.35"/>
    <row r="392" ht="14.5" customHeight="1" x14ac:dyDescent="0.35"/>
    <row r="402" ht="14.5" customHeight="1" x14ac:dyDescent="0.35"/>
    <row r="411" ht="14.5" customHeight="1" x14ac:dyDescent="0.35"/>
    <row r="420" ht="14.5" customHeight="1" x14ac:dyDescent="0.35"/>
    <row r="429" ht="14.5" customHeight="1" x14ac:dyDescent="0.35"/>
    <row r="438" ht="14.5" customHeight="1" x14ac:dyDescent="0.35"/>
    <row r="447" ht="14.5" customHeight="1" x14ac:dyDescent="0.35"/>
    <row r="457" ht="14.5" customHeight="1" x14ac:dyDescent="0.35"/>
    <row r="467" ht="14.5" customHeight="1" x14ac:dyDescent="0.35"/>
    <row r="476" ht="14.5" customHeight="1" x14ac:dyDescent="0.35"/>
    <row r="485" ht="14.5" customHeight="1" x14ac:dyDescent="0.35"/>
    <row r="493" ht="14.5" customHeight="1" x14ac:dyDescent="0.35"/>
    <row r="501" ht="14.5" customHeight="1" x14ac:dyDescent="0.35"/>
    <row r="509" ht="14.5" customHeight="1" x14ac:dyDescent="0.35"/>
    <row r="517" ht="14.5" customHeight="1" x14ac:dyDescent="0.35"/>
    <row r="528" ht="14.5" customHeight="1" x14ac:dyDescent="0.35"/>
    <row r="539" ht="14.5" customHeight="1" x14ac:dyDescent="0.35"/>
    <row r="547" ht="14.5" customHeight="1" x14ac:dyDescent="0.35"/>
    <row r="555" ht="14.5" customHeight="1" x14ac:dyDescent="0.35"/>
    <row r="562" ht="14.5" customHeight="1" x14ac:dyDescent="0.35"/>
    <row r="569" ht="14.5" customHeight="1" x14ac:dyDescent="0.35"/>
    <row r="572" ht="14.5" customHeight="1" x14ac:dyDescent="0.35"/>
    <row r="575" ht="14.5" customHeight="1" x14ac:dyDescent="0.35"/>
    <row r="578" ht="14.5" customHeight="1" x14ac:dyDescent="0.35"/>
    <row r="581" ht="14.5" customHeight="1" x14ac:dyDescent="0.35"/>
    <row r="590" ht="14.5" customHeight="1" x14ac:dyDescent="0.35"/>
    <row r="594" ht="14.5" customHeight="1" x14ac:dyDescent="0.35"/>
    <row r="604" ht="14.5" customHeight="1" x14ac:dyDescent="0.35"/>
    <row r="615" ht="14.5" customHeight="1" x14ac:dyDescent="0.35"/>
    <row r="618" ht="14.5" customHeight="1" x14ac:dyDescent="0.35"/>
    <row r="621" ht="14.5" customHeight="1" x14ac:dyDescent="0.35"/>
    <row r="626" ht="14.5" customHeight="1" x14ac:dyDescent="0.35"/>
    <row r="631" ht="14.5" customHeight="1" x14ac:dyDescent="0.35"/>
    <row r="639" ht="14.5" customHeight="1" x14ac:dyDescent="0.35"/>
    <row r="647" ht="14.5" customHeight="1" x14ac:dyDescent="0.35"/>
    <row r="655" ht="14.5" customHeight="1" x14ac:dyDescent="0.35"/>
    <row r="664" ht="14.5" customHeight="1" x14ac:dyDescent="0.35"/>
    <row r="673" ht="14.5" customHeight="1" x14ac:dyDescent="0.35"/>
    <row r="682" ht="14.5" customHeight="1" x14ac:dyDescent="0.35"/>
    <row r="691" ht="14.5" customHeight="1" x14ac:dyDescent="0.35"/>
    <row r="701" ht="14.5" customHeight="1" x14ac:dyDescent="0.35"/>
    <row r="711" ht="14.5" customHeight="1" x14ac:dyDescent="0.35"/>
    <row r="721" ht="14.5" customHeight="1" x14ac:dyDescent="0.35"/>
    <row r="731" ht="14.5" customHeight="1" x14ac:dyDescent="0.35"/>
    <row r="741" ht="14.5" customHeight="1" x14ac:dyDescent="0.35"/>
    <row r="751" ht="14.5" customHeight="1" x14ac:dyDescent="0.35"/>
    <row r="761" ht="14.5" customHeight="1" x14ac:dyDescent="0.35"/>
    <row r="771" ht="14.5" customHeight="1" x14ac:dyDescent="0.35"/>
    <row r="780" ht="14.5" customHeight="1" x14ac:dyDescent="0.35"/>
    <row r="789" ht="14.5" customHeight="1" x14ac:dyDescent="0.35"/>
    <row r="797" ht="14.5" customHeight="1" x14ac:dyDescent="0.35"/>
    <row r="805" ht="14.5" customHeight="1" x14ac:dyDescent="0.35"/>
    <row r="809" ht="14.5" customHeight="1" x14ac:dyDescent="0.35"/>
    <row r="813" ht="14.5" customHeight="1" x14ac:dyDescent="0.35"/>
    <row r="818" ht="14.5" customHeight="1" x14ac:dyDescent="0.35"/>
    <row r="823" ht="14.5" customHeight="1" x14ac:dyDescent="0.35"/>
    <row r="834" ht="14.5" customHeigh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RESUME</vt:lpstr>
      <vt:lpstr>SUMMARY</vt:lpstr>
      <vt:lpstr>REKOMENDASI</vt:lpstr>
      <vt:lpstr>Sheet1</vt:lpstr>
      <vt:lpstr>REKOMENDASI!Print_Area</vt:lpstr>
      <vt:lpstr>SUMMARY!Print_Area</vt:lpstr>
      <vt:lpstr>REKOMENDASI!Print_Titles</vt:lpstr>
      <vt:lpstr>SUMMARY!Print_Titles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Dell001</dc:creator>
  <cp:lastModifiedBy>RizkiLidia@outlook.com</cp:lastModifiedBy>
  <cp:lastPrinted>2026-08-05T03:48:23Z</cp:lastPrinted>
  <dcterms:created xsi:type="dcterms:W3CDTF">2018-09-29T07:04:00Z</dcterms:created>
  <dcterms:modified xsi:type="dcterms:W3CDTF">2026-08-05T04:15:12Z</dcterms:modified>
</cp:coreProperties>
</file>