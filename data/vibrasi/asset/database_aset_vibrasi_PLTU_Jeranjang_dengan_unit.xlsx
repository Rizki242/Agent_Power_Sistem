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80" windowWidth="18880" windowHeight="7990" activeTab="1"/>
  </bookViews>
  <sheets>
    <sheet name="Summary" sheetId="1" r:id="rId1"/>
    <sheet name="Asset_Master" sheetId="2" r:id="rId2"/>
    <sheet name="Report_Records" sheetId="3" r:id="rId3"/>
    <sheet name="Data_Quality" sheetId="4" r:id="rId4"/>
    <sheet name="Field_Dictionary" sheetId="5" r:id="rId5"/>
    <sheet name="UNIT_1" sheetId="6" r:id="rId6"/>
    <sheet name="UNIT_2" sheetId="7" r:id="rId7"/>
    <sheet name="UNIT_3" sheetId="8" r:id="rId8"/>
    <sheet name="COMMON" sheetId="9" r:id="rId9"/>
  </sheets>
  <calcPr calcId="145621"/>
</workbook>
</file>

<file path=xl/calcChain.xml><?xml version="1.0" encoding="utf-8"?>
<calcChain xmlns="http://schemas.openxmlformats.org/spreadsheetml/2006/main">
  <c r="AV70" i="3" l="1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V3" i="3"/>
  <c r="AV2" i="3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T2" i="2"/>
  <c r="B9" i="1"/>
  <c r="H8" i="1"/>
  <c r="E8" i="1"/>
  <c r="B8" i="1"/>
  <c r="H7" i="1"/>
  <c r="E7" i="1"/>
  <c r="B7" i="1"/>
  <c r="H6" i="1"/>
  <c r="E6" i="1"/>
  <c r="B6" i="1"/>
  <c r="H5" i="1"/>
  <c r="H9" i="1" s="1"/>
  <c r="E5" i="1"/>
  <c r="E9" i="1" s="1"/>
  <c r="B5" i="1"/>
</calcChain>
</file>

<file path=xl/sharedStrings.xml><?xml version="1.0" encoding="utf-8"?>
<sst xmlns="http://schemas.openxmlformats.org/spreadsheetml/2006/main" count="4820" uniqueCount="694">
  <si>
    <t>DATABASE ASET VIBRASI — PLTU JERANJANG</t>
  </si>
  <si>
    <t>KPI</t>
  </si>
  <si>
    <t>Nilai</t>
  </si>
  <si>
    <t>Status</t>
  </si>
  <si>
    <t>Jumlah</t>
  </si>
  <si>
    <t>Unit / Area</t>
  </si>
  <si>
    <t>Jumlah Aset</t>
  </si>
  <si>
    <t>Total report record</t>
  </si>
  <si>
    <t>NORMAL</t>
  </si>
  <si>
    <t>UNIT 1</t>
  </si>
  <si>
    <t>Aset logis unik</t>
  </si>
  <si>
    <t>PREWARNING</t>
  </si>
  <si>
    <t>UNIT 2</t>
  </si>
  <si>
    <t>KKS kosong (record)</t>
  </si>
  <si>
    <t>WARNING</t>
  </si>
  <si>
    <t>UNIT 3</t>
  </si>
  <si>
    <t>Status NORMAL</t>
  </si>
  <si>
    <t>ALARM</t>
  </si>
  <si>
    <t>COMMON</t>
  </si>
  <si>
    <t>Status non-NORMAL</t>
  </si>
  <si>
    <t>TOTAL</t>
  </si>
  <si>
    <t>Catatan Ekstraksi</t>
  </si>
  <si>
    <t>Sumber</t>
  </si>
  <si>
    <t>VIbrasi dataset.pdf — 139 halaman</t>
  </si>
  <si>
    <t>Cakupan</t>
  </si>
  <si>
    <t>69 detail report record; 68 identitas aset logis</t>
  </si>
  <si>
    <t>Prinsip</t>
  </si>
  <si>
    <t>Nilai sumber dipertahankan. Typo/spelling class tidak diubah; versi normalized disimpan pada kolom terpisah.</t>
  </si>
  <si>
    <t>Kualitas</t>
  </si>
  <si>
    <t>Nilai kosong pada PDF tetap kosong. Metadata aset berulang tetap dipertahankan di Report_Records.</t>
  </si>
  <si>
    <t>Asset ID</t>
  </si>
  <si>
    <t>Equipment</t>
  </si>
  <si>
    <t>KKS</t>
  </si>
  <si>
    <t>Equipment Class (Source)</t>
  </si>
  <si>
    <t>Equipment Class (Normalized)</t>
  </si>
  <si>
    <t>Asset Category (Derived)</t>
  </si>
  <si>
    <t>PM Week</t>
  </si>
  <si>
    <t>Measurement Date</t>
  </si>
  <si>
    <t>Status Vibrasi</t>
  </si>
  <si>
    <t>Component 1</t>
  </si>
  <si>
    <t>Component 2</t>
  </si>
  <si>
    <t>C1 Type/Mfg</t>
  </si>
  <si>
    <t>C1 Speed</t>
  </si>
  <si>
    <t>C1 Power</t>
  </si>
  <si>
    <t>C1 Bearing Type</t>
  </si>
  <si>
    <t>C1 Inboard Bearing</t>
  </si>
  <si>
    <t>C1 Outboard Bearing</t>
  </si>
  <si>
    <t>C1 Rotor Bar</t>
  </si>
  <si>
    <t>C1 Foundation</t>
  </si>
  <si>
    <t>C1 House Power</t>
  </si>
  <si>
    <t>C1 Brake Horse Power</t>
  </si>
  <si>
    <t>C1 Current</t>
  </si>
  <si>
    <t>C1 Rated Capacity</t>
  </si>
  <si>
    <t>C1 Rated Active Power</t>
  </si>
  <si>
    <t>C1 Rated Stator Voltage</t>
  </si>
  <si>
    <t>C1 Rated Stator Current</t>
  </si>
  <si>
    <t>C1 Rated Speed</t>
  </si>
  <si>
    <t>C1 Rated Frequency</t>
  </si>
  <si>
    <t>C2 Type/Mfg</t>
  </si>
  <si>
    <t>C2 Manufacturer</t>
  </si>
  <si>
    <t>C2 Speed</t>
  </si>
  <si>
    <t>C2 Power</t>
  </si>
  <si>
    <t>C2 Capacity</t>
  </si>
  <si>
    <t>C2 Pressure</t>
  </si>
  <si>
    <t>C2 Flow Rate</t>
  </si>
  <si>
    <t>C2 Bearing Type</t>
  </si>
  <si>
    <t>C2 Inboard Bearing</t>
  </si>
  <si>
    <t>C2 Onboard Bearing</t>
  </si>
  <si>
    <t>C2 Total Blade</t>
  </si>
  <si>
    <t>C2 NCR</t>
  </si>
  <si>
    <t>C2 Ekstraction</t>
  </si>
  <si>
    <t>C2 Stages</t>
  </si>
  <si>
    <t>C2 Governoor Type</t>
  </si>
  <si>
    <t>Source Pages</t>
  </si>
  <si>
    <t>Data Quality Note</t>
  </si>
  <si>
    <t>Unit Group (Derived)</t>
  </si>
  <si>
    <t>AST-001</t>
  </si>
  <si>
    <t>Motor ID Fan 1#1</t>
  </si>
  <si>
    <t>LJ10HNC10AN001-001</t>
  </si>
  <si>
    <t>ISO 10816-3 (GROUP 1 RIGID)</t>
  </si>
  <si>
    <t>Fan</t>
  </si>
  <si>
    <t>W37</t>
  </si>
  <si>
    <t>MOTOR</t>
  </si>
  <si>
    <t>FAN</t>
  </si>
  <si>
    <t>YKK4003-4</t>
  </si>
  <si>
    <t>985</t>
  </si>
  <si>
    <t>355 Kw</t>
  </si>
  <si>
    <t>NU324</t>
  </si>
  <si>
    <t>6324</t>
  </si>
  <si>
    <t>-</t>
  </si>
  <si>
    <t>Rigid</t>
  </si>
  <si>
    <t>1</t>
  </si>
  <si>
    <t>AST-002</t>
  </si>
  <si>
    <t>Motor ID Fan 2#1</t>
  </si>
  <si>
    <t>LJ10HNC10AN002-001</t>
  </si>
  <si>
    <t>W39</t>
  </si>
  <si>
    <t>3</t>
  </si>
  <si>
    <t>AST-003</t>
  </si>
  <si>
    <t>Motor Primary Air Fan 1#1</t>
  </si>
  <si>
    <t>LJ10HLB10AN001-001</t>
  </si>
  <si>
    <t>YKK 4001-4</t>
  </si>
  <si>
    <t>1480 r/min</t>
  </si>
  <si>
    <t>280 kW</t>
  </si>
  <si>
    <t>Roller Bearing</t>
  </si>
  <si>
    <t>6224</t>
  </si>
  <si>
    <t>QALG-217D</t>
  </si>
  <si>
    <t>1450 r/min</t>
  </si>
  <si>
    <t>13500 Pa</t>
  </si>
  <si>
    <t>50000 m2/h</t>
  </si>
  <si>
    <t>5</t>
  </si>
  <si>
    <t>AST-004</t>
  </si>
  <si>
    <t>Motor Primary Air Fan 2#1</t>
  </si>
  <si>
    <t>LJ10HLB10AN002-001</t>
  </si>
  <si>
    <t>7</t>
  </si>
  <si>
    <t>AST-005</t>
  </si>
  <si>
    <t>Motor Secondary Air Fan 1#1</t>
  </si>
  <si>
    <t>LJ10HLB10AN003-001</t>
  </si>
  <si>
    <t>9</t>
  </si>
  <si>
    <t>AST-006</t>
  </si>
  <si>
    <t>Motor Secondary Air Fan 2#1</t>
  </si>
  <si>
    <t>LJ10HLB10AN004-001</t>
  </si>
  <si>
    <t>11</t>
  </si>
  <si>
    <t>AST-007</t>
  </si>
  <si>
    <t>Turbin-Generator#1</t>
  </si>
  <si>
    <t>LJ10MAA10HB010-001</t>
  </si>
  <si>
    <t>ISO 10816-2</t>
  </si>
  <si>
    <t>Turbine-Generator</t>
  </si>
  <si>
    <t>GENERATOR</t>
  </si>
  <si>
    <t>TURBINE</t>
  </si>
  <si>
    <t>China Changjiang Energy Corp.</t>
  </si>
  <si>
    <t>37.5 MVA</t>
  </si>
  <si>
    <t>30 MW</t>
  </si>
  <si>
    <t>6.3 kV Phase 3 Wire</t>
  </si>
  <si>
    <t>3000 r/min</t>
  </si>
  <si>
    <t>50 Hz</t>
  </si>
  <si>
    <t>6</t>
  </si>
  <si>
    <t>19</t>
  </si>
  <si>
    <t>Digital Electric Hidroulic (Woodard 505)</t>
  </si>
  <si>
    <t>13</t>
  </si>
  <si>
    <t>AST-008</t>
  </si>
  <si>
    <t>Motor Condensat Pump 2#1</t>
  </si>
  <si>
    <t>LJ10LCB10AP020-001</t>
  </si>
  <si>
    <t>ISO 10816-3 (GROUP 2 RIGID)</t>
  </si>
  <si>
    <t>Pump</t>
  </si>
  <si>
    <t>W36</t>
  </si>
  <si>
    <t>POMPA</t>
  </si>
  <si>
    <t>YLB 250-2-4</t>
  </si>
  <si>
    <t>1430 rpm</t>
  </si>
  <si>
    <t>75 kW</t>
  </si>
  <si>
    <t>5LDIN</t>
  </si>
  <si>
    <t>1480 rpm</t>
  </si>
  <si>
    <t>53 kW</t>
  </si>
  <si>
    <t>120 m3/h</t>
  </si>
  <si>
    <t>15</t>
  </si>
  <si>
    <t>AST-009</t>
  </si>
  <si>
    <t>Motor Vacuum Pump 1#1</t>
  </si>
  <si>
    <t>LJ10MAG10AP011-001</t>
  </si>
  <si>
    <t>Y2 - 250-6</t>
  </si>
  <si>
    <t>980 rpm</t>
  </si>
  <si>
    <t>37 kW</t>
  </si>
  <si>
    <t>17</t>
  </si>
  <si>
    <t>AST-010</t>
  </si>
  <si>
    <t>Motor Vacuum Pump 2#1</t>
  </si>
  <si>
    <t>LJ10MAG10AP012-001</t>
  </si>
  <si>
    <t>AST-011</t>
  </si>
  <si>
    <t>Motor Boiler Feed Pump 1#1</t>
  </si>
  <si>
    <t>LJ10LAC10AP001-001</t>
  </si>
  <si>
    <t>SY23372-1028, QINGJIANG</t>
  </si>
  <si>
    <t>2980 rpm</t>
  </si>
  <si>
    <t>1000</t>
  </si>
  <si>
    <t>NU 224EC</t>
  </si>
  <si>
    <t>6224/C3</t>
  </si>
  <si>
    <t>SHENYANG AST PUMP MANUFACTURING CO.,LTD</t>
  </si>
  <si>
    <t>140</t>
  </si>
  <si>
    <t>21</t>
  </si>
  <si>
    <t>AST-012</t>
  </si>
  <si>
    <t>Motor CCCWP 1#1</t>
  </si>
  <si>
    <t>LJ10PGB10AP001-001</t>
  </si>
  <si>
    <t>Y2 - 280-4</t>
  </si>
  <si>
    <t>23</t>
  </si>
  <si>
    <t>AST-013</t>
  </si>
  <si>
    <t>Motor CCCWP 2#1</t>
  </si>
  <si>
    <t>LJ10PGB10AP002-001</t>
  </si>
  <si>
    <t>25</t>
  </si>
  <si>
    <t>AST-014</t>
  </si>
  <si>
    <t>Motor CWP 355 Kw 1#1</t>
  </si>
  <si>
    <t>LJ10PAC10AP001-001</t>
  </si>
  <si>
    <t>ISO 10816-3 (GROUP 1 RIGID))</t>
  </si>
  <si>
    <t>YLKK400-6</t>
  </si>
  <si>
    <t>991</t>
  </si>
  <si>
    <t>315</t>
  </si>
  <si>
    <t>27</t>
  </si>
  <si>
    <t>Class dinormalisasi pada kolom terpisah; nilai sumber dipertahankan</t>
  </si>
  <si>
    <t>AST-015</t>
  </si>
  <si>
    <t>Motor CWP 355 Kw 2#1</t>
  </si>
  <si>
    <t>LJ10PAC10AP002-001</t>
  </si>
  <si>
    <t>29</t>
  </si>
  <si>
    <t>AST-016</t>
  </si>
  <si>
    <t>Motor BWRO 1#1</t>
  </si>
  <si>
    <t>LJ10GCK10AP005-001</t>
  </si>
  <si>
    <t>AEUBKG020015FMBP3</t>
  </si>
  <si>
    <t>2920 r/min</t>
  </si>
  <si>
    <t>11 kw</t>
  </si>
  <si>
    <t>7309B</t>
  </si>
  <si>
    <t>6307C3</t>
  </si>
  <si>
    <t>A96536974P11003</t>
  </si>
  <si>
    <t>11 Kw</t>
  </si>
  <si>
    <t>21 m3/h</t>
  </si>
  <si>
    <t>32</t>
  </si>
  <si>
    <t>AST-017</t>
  </si>
  <si>
    <t>Motor SWRO 2#1</t>
  </si>
  <si>
    <t>LJ10GCK10AP008-001</t>
  </si>
  <si>
    <t>2970 r/min</t>
  </si>
  <si>
    <t>75</t>
  </si>
  <si>
    <t>34</t>
  </si>
  <si>
    <t>AST-018</t>
  </si>
  <si>
    <t>AC OIL PUMP UNIT 1</t>
  </si>
  <si>
    <t>W38</t>
  </si>
  <si>
    <t>36</t>
  </si>
  <si>
    <t>KKS kosong pada sumber PDF</t>
  </si>
  <si>
    <t>AST-019</t>
  </si>
  <si>
    <t>Motor ID Fan 1#2</t>
  </si>
  <si>
    <t>LJ20HNC10AN001-001</t>
  </si>
  <si>
    <t>38</t>
  </si>
  <si>
    <t>AST-020</t>
  </si>
  <si>
    <t>Motor ID Fan 2#2</t>
  </si>
  <si>
    <t>LJ20HNC10AN002-001</t>
  </si>
  <si>
    <t>40</t>
  </si>
  <si>
    <t>AST-021</t>
  </si>
  <si>
    <t>Motor Primary Air Fan 1#2</t>
  </si>
  <si>
    <t>LJ20HLB10AN001-001</t>
  </si>
  <si>
    <t>42</t>
  </si>
  <si>
    <t>AST-022</t>
  </si>
  <si>
    <t>Motor Primary Air Fan 2#2</t>
  </si>
  <si>
    <t>LJ20HLB10AN002-001</t>
  </si>
  <si>
    <t>44</t>
  </si>
  <si>
    <t>AST-023</t>
  </si>
  <si>
    <t>Motor Secondary Air Fan 1#2</t>
  </si>
  <si>
    <t>LJ20HLB10AN003-001</t>
  </si>
  <si>
    <t>46</t>
  </si>
  <si>
    <t>AST-024</t>
  </si>
  <si>
    <t>Motor Secondary Air Fan 2#2</t>
  </si>
  <si>
    <t>LJ20HLB10AN004-001</t>
  </si>
  <si>
    <t>48</t>
  </si>
  <si>
    <t>AST-025</t>
  </si>
  <si>
    <t>Turbin-Generator#2</t>
  </si>
  <si>
    <t>LJ20MAA10HB010-001</t>
  </si>
  <si>
    <t>50</t>
  </si>
  <si>
    <t>AST-026</t>
  </si>
  <si>
    <t>Motor Condensat Pump 1#2</t>
  </si>
  <si>
    <t>LJ20LCB10AP010-001</t>
  </si>
  <si>
    <t>52</t>
  </si>
  <si>
    <t>AST-027</t>
  </si>
  <si>
    <t>Motor Vacuum Pump 1#2</t>
  </si>
  <si>
    <t>LJ20MAG10AP011-001</t>
  </si>
  <si>
    <t>54</t>
  </si>
  <si>
    <t>AST-028</t>
  </si>
  <si>
    <t>Motor Vacuum Pump 2#2</t>
  </si>
  <si>
    <t>LJ20MAG10AP012-001</t>
  </si>
  <si>
    <t>56</t>
  </si>
  <si>
    <t>AST-029</t>
  </si>
  <si>
    <t>Motor Boiler Feed Pump 2#2</t>
  </si>
  <si>
    <t>LJ20LAC10AP002-001</t>
  </si>
  <si>
    <t>58</t>
  </si>
  <si>
    <t>AST-030</t>
  </si>
  <si>
    <t>Motor CCCWP 1#2</t>
  </si>
  <si>
    <t>LJ20PGB10AP001-001</t>
  </si>
  <si>
    <t>60</t>
  </si>
  <si>
    <t>AST-031</t>
  </si>
  <si>
    <t>Motor CCCWP 2#2</t>
  </si>
  <si>
    <t>LJ20PGB10AP002-001</t>
  </si>
  <si>
    <t>62</t>
  </si>
  <si>
    <t>AST-032</t>
  </si>
  <si>
    <t>Motor CWP 355 Kw 1#2</t>
  </si>
  <si>
    <t>LJ20PAC10AP001-001</t>
  </si>
  <si>
    <t>64</t>
  </si>
  <si>
    <t>AST-033</t>
  </si>
  <si>
    <t>Motor CWP 355 Kw 2#2</t>
  </si>
  <si>
    <t>LJ20PAC10AP002-001</t>
  </si>
  <si>
    <t>66</t>
  </si>
  <si>
    <t>AST-034</t>
  </si>
  <si>
    <t>ACA OIL PUMP UNIT 2</t>
  </si>
  <si>
    <t>68, 70</t>
  </si>
  <si>
    <t>KKS kosong pada sumber PDF; Metadata aset yang sama muncul pada halaman 68, 70; Lebih dari satu report record dengan metadata aset yang sama</t>
  </si>
  <si>
    <t>AST-035</t>
  </si>
  <si>
    <t>Motor ID Fan 1#3</t>
  </si>
  <si>
    <t>LJ03HNC10AN001-001</t>
  </si>
  <si>
    <t>YKK 4504-6</t>
  </si>
  <si>
    <t>990</t>
  </si>
  <si>
    <t>450</t>
  </si>
  <si>
    <t>NU228E/C3</t>
  </si>
  <si>
    <t>6226/C3</t>
  </si>
  <si>
    <t>25 SB-P</t>
  </si>
  <si>
    <t>2980 r/min</t>
  </si>
  <si>
    <t>165 m3/h</t>
  </si>
  <si>
    <t>Journal Bearing</t>
  </si>
  <si>
    <t>72</t>
  </si>
  <si>
    <t>AST-036</t>
  </si>
  <si>
    <t>Motor ID Fan 2#3</t>
  </si>
  <si>
    <t>LJ03HNC20AN001-001</t>
  </si>
  <si>
    <t>74</t>
  </si>
  <si>
    <t>AST-037</t>
  </si>
  <si>
    <t>Motor Primary Air Fan#3</t>
  </si>
  <si>
    <t>LJ03HLB10AN001-001</t>
  </si>
  <si>
    <t>YKK 4504-4</t>
  </si>
  <si>
    <t>1490</t>
  </si>
  <si>
    <t>630</t>
  </si>
  <si>
    <t>NU226E/C3</t>
  </si>
  <si>
    <t>6228/C3</t>
  </si>
  <si>
    <t>G6-30 19.50</t>
  </si>
  <si>
    <t>1485 r/min</t>
  </si>
  <si>
    <t>630 Kw</t>
  </si>
  <si>
    <t>400871 m2/h</t>
  </si>
  <si>
    <t>76</t>
  </si>
  <si>
    <t>AST-038</t>
  </si>
  <si>
    <t>Motor Secondary Air Fan#3</t>
  </si>
  <si>
    <t>LJ03HLB20AN001-001</t>
  </si>
  <si>
    <t>1485</t>
  </si>
  <si>
    <t>400</t>
  </si>
  <si>
    <t>NU224EC</t>
  </si>
  <si>
    <t>G6-40 16.20</t>
  </si>
  <si>
    <t>400 Kw</t>
  </si>
  <si>
    <t>87120 m2/h</t>
  </si>
  <si>
    <t>78</t>
  </si>
  <si>
    <t>AST-039</t>
  </si>
  <si>
    <t>Motor Recirculating Air Fan 2#3</t>
  </si>
  <si>
    <t>LJ03PAD11AN001-001</t>
  </si>
  <si>
    <t>Y2-250M-4-B3</t>
  </si>
  <si>
    <t>1480</t>
  </si>
  <si>
    <t>55</t>
  </si>
  <si>
    <t>Ball Bearing</t>
  </si>
  <si>
    <t>6314/CM</t>
  </si>
  <si>
    <t>6313/CM</t>
  </si>
  <si>
    <t>80</t>
  </si>
  <si>
    <t>AST-040</t>
  </si>
  <si>
    <t>Turbin-Generator#3</t>
  </si>
  <si>
    <t>ISO 10816-2 (GROUP 2 RIGID)</t>
  </si>
  <si>
    <t>Luoyang Generating Equipment Co., Ltd</t>
  </si>
  <si>
    <t>6.3 kV</t>
  </si>
  <si>
    <t>3437 A</t>
  </si>
  <si>
    <t>Qingdao Jieneng Steam Turbine</t>
  </si>
  <si>
    <t>18</t>
  </si>
  <si>
    <t>82</t>
  </si>
  <si>
    <t>AST-041</t>
  </si>
  <si>
    <t>Motor Condensat Pump 1#3</t>
  </si>
  <si>
    <t>LJ03LCB10AP001-001</t>
  </si>
  <si>
    <t>HN2-225</t>
  </si>
  <si>
    <t>45 Kw</t>
  </si>
  <si>
    <t>6313-2z</t>
  </si>
  <si>
    <t>Shandong Shuanglun Group Co.,Ltd</t>
  </si>
  <si>
    <t>2950 r/min</t>
  </si>
  <si>
    <t>52.5 m2/h</t>
  </si>
  <si>
    <t>84</t>
  </si>
  <si>
    <t>AST-042</t>
  </si>
  <si>
    <t>Motor Condensat Pump 2#3</t>
  </si>
  <si>
    <t>LJ03LCB10AP002-001</t>
  </si>
  <si>
    <t>86</t>
  </si>
  <si>
    <t>AST-043</t>
  </si>
  <si>
    <t>Motor Water jet Pump 2#3</t>
  </si>
  <si>
    <t>LJ03MAJ10AP002-001</t>
  </si>
  <si>
    <t>HM2-20012-2</t>
  </si>
  <si>
    <t>37 Kw</t>
  </si>
  <si>
    <t>6313</t>
  </si>
  <si>
    <t>S125.100-200A</t>
  </si>
  <si>
    <t>2900 r/min</t>
  </si>
  <si>
    <t>160 m2/h</t>
  </si>
  <si>
    <t>88</t>
  </si>
  <si>
    <t>AST-044</t>
  </si>
  <si>
    <t>Motor Boiler Feed Pump 1#3</t>
  </si>
  <si>
    <t>LJ03LAB11AP001-001</t>
  </si>
  <si>
    <t>YKS450-2</t>
  </si>
  <si>
    <t>2979 r/min</t>
  </si>
  <si>
    <t>1000 Kw</t>
  </si>
  <si>
    <t>NU1022M/C3 6022/c3</t>
  </si>
  <si>
    <t>25SB-P</t>
  </si>
  <si>
    <t>822 Kw</t>
  </si>
  <si>
    <t>165 m2/h</t>
  </si>
  <si>
    <t>90</t>
  </si>
  <si>
    <t>AST-045</t>
  </si>
  <si>
    <t>Motor CCWP 1#3</t>
  </si>
  <si>
    <t>LJ00PGB11AP001-001</t>
  </si>
  <si>
    <t>EN60034 IEC 60034/60072</t>
  </si>
  <si>
    <t>55 Kw</t>
  </si>
  <si>
    <t>200SS35</t>
  </si>
  <si>
    <t>500 m2/h</t>
  </si>
  <si>
    <t>92</t>
  </si>
  <si>
    <t>AST-046</t>
  </si>
  <si>
    <t>Motor CCWP 2#3</t>
  </si>
  <si>
    <t>LJ00PGB21AP001-001</t>
  </si>
  <si>
    <t>94</t>
  </si>
  <si>
    <t>AST-047</t>
  </si>
  <si>
    <t>Motor CWP 355 Kw 1#3</t>
  </si>
  <si>
    <t>LJ00PAB11AP001-001</t>
  </si>
  <si>
    <t>YKKL-450-6TH</t>
  </si>
  <si>
    <t>989</t>
  </si>
  <si>
    <t>355</t>
  </si>
  <si>
    <t>6226</t>
  </si>
  <si>
    <t>7330B</t>
  </si>
  <si>
    <t>96</t>
  </si>
  <si>
    <t>AST-048</t>
  </si>
  <si>
    <t>Motor BWRO 1#3</t>
  </si>
  <si>
    <t>LJ00GCK21AP001-001</t>
  </si>
  <si>
    <t>DPVSF18-120</t>
  </si>
  <si>
    <t>2924</t>
  </si>
  <si>
    <t>98</t>
  </si>
  <si>
    <t>AST-049</t>
  </si>
  <si>
    <t>Motor SWRO 1#3</t>
  </si>
  <si>
    <t>LJ00GCF11AT002-001</t>
  </si>
  <si>
    <t>100</t>
  </si>
  <si>
    <t>AST-050</t>
  </si>
  <si>
    <t>FIRE FIGHTING JOCKEY PUMP 3B</t>
  </si>
  <si>
    <t>FSV2H15A0T65B</t>
  </si>
  <si>
    <t>2930</t>
  </si>
  <si>
    <t>11 kW</t>
  </si>
  <si>
    <t>6310 C3</t>
  </si>
  <si>
    <t>6308 C3</t>
  </si>
  <si>
    <t>15 HP</t>
  </si>
  <si>
    <t>22,2 / 12,8 A</t>
  </si>
  <si>
    <t>102</t>
  </si>
  <si>
    <t>AST-051</t>
  </si>
  <si>
    <t>FIRE FIGHTING PUMP WITH MOTOR UNIT 3</t>
  </si>
  <si>
    <t>AEEBKB020175FM</t>
  </si>
  <si>
    <t>2955</t>
  </si>
  <si>
    <t>132 kW</t>
  </si>
  <si>
    <t>6314 C3</t>
  </si>
  <si>
    <t>175 HP</t>
  </si>
  <si>
    <t>239 - 219 A</t>
  </si>
  <si>
    <t>104</t>
  </si>
  <si>
    <t>AST-052</t>
  </si>
  <si>
    <t>FIRE FIGHTING PUMP WITH DIESEL UNIT 3</t>
  </si>
  <si>
    <t>JU6HUE3A</t>
  </si>
  <si>
    <t>175 BHP</t>
  </si>
  <si>
    <t>106</t>
  </si>
  <si>
    <t>AST-053</t>
  </si>
  <si>
    <t>AC OIL PUMP UNIT 3</t>
  </si>
  <si>
    <t>108</t>
  </si>
  <si>
    <t>AST-054</t>
  </si>
  <si>
    <t>JACKING OIL PUMP 3A</t>
  </si>
  <si>
    <t>110</t>
  </si>
  <si>
    <t>AST-055</t>
  </si>
  <si>
    <t>BC 4.1</t>
  </si>
  <si>
    <t>LJ00EBA11AF004-001</t>
  </si>
  <si>
    <t>ISO 10816-3 (GROUP 2 EXLIBLE)</t>
  </si>
  <si>
    <t>ISO 10816-3 (GROUP 2 FLEXIBLE)</t>
  </si>
  <si>
    <t>Belt Conveyor</t>
  </si>
  <si>
    <t>Y2-200L-4</t>
  </si>
  <si>
    <t>1470 r/min</t>
  </si>
  <si>
    <t>30 Kw</t>
  </si>
  <si>
    <t>290820</t>
  </si>
  <si>
    <t>300 t/h</t>
  </si>
  <si>
    <t>112</t>
  </si>
  <si>
    <t>AST-056</t>
  </si>
  <si>
    <t>BC 4.2</t>
  </si>
  <si>
    <t>LJ00EBA21AF004-001</t>
  </si>
  <si>
    <t>DRIVE</t>
  </si>
  <si>
    <t>114</t>
  </si>
  <si>
    <t>AST-057</t>
  </si>
  <si>
    <t>BC 5.1</t>
  </si>
  <si>
    <t>LJ00EBA11AF005-001</t>
  </si>
  <si>
    <t>Y2-2805-6</t>
  </si>
  <si>
    <t>980 r/min</t>
  </si>
  <si>
    <t>290822</t>
  </si>
  <si>
    <t>116</t>
  </si>
  <si>
    <t>AST-058</t>
  </si>
  <si>
    <t>BC 5.2</t>
  </si>
  <si>
    <t>LJ00EBA21AF005-001</t>
  </si>
  <si>
    <t>118</t>
  </si>
  <si>
    <t>AST-059</t>
  </si>
  <si>
    <t>BC 7.1</t>
  </si>
  <si>
    <t>LJ00EBA11AF006-001</t>
  </si>
  <si>
    <t>Y2-315S-6</t>
  </si>
  <si>
    <t>990 r/min</t>
  </si>
  <si>
    <t>75 Kw</t>
  </si>
  <si>
    <t>290821</t>
  </si>
  <si>
    <t>120</t>
  </si>
  <si>
    <t>AST-060</t>
  </si>
  <si>
    <t>BC 7. 2</t>
  </si>
  <si>
    <t>LJ00EBA21AF006-001</t>
  </si>
  <si>
    <t>122</t>
  </si>
  <si>
    <t>AST-061</t>
  </si>
  <si>
    <t>BC 8.1</t>
  </si>
  <si>
    <t>LJ00EBA11AF007-001</t>
  </si>
  <si>
    <t>1460 r/min</t>
  </si>
  <si>
    <t>15 Kw</t>
  </si>
  <si>
    <t>124</t>
  </si>
  <si>
    <t>AST-062</t>
  </si>
  <si>
    <t>BC 8.2</t>
  </si>
  <si>
    <t>LJ00EBA21AF007-001</t>
  </si>
  <si>
    <t>126</t>
  </si>
  <si>
    <t>AST-063</t>
  </si>
  <si>
    <t>BC 10.1</t>
  </si>
  <si>
    <t>LJ00EBA11AF008-001</t>
  </si>
  <si>
    <t>ISO 10816-3 (GROUP 2 FLECIBLE)</t>
  </si>
  <si>
    <t>18.5 Kw</t>
  </si>
  <si>
    <t>128</t>
  </si>
  <si>
    <t>AST-064</t>
  </si>
  <si>
    <t>BC 10.2</t>
  </si>
  <si>
    <t>LJ00EBA21AF008-001</t>
  </si>
  <si>
    <t>130</t>
  </si>
  <si>
    <t>AST-065</t>
  </si>
  <si>
    <t>ROLLER SCREEN 1</t>
  </si>
  <si>
    <t>ISO 10816-3 (GROUP 2 FLECXBLE)</t>
  </si>
  <si>
    <t>Roller Screen</t>
  </si>
  <si>
    <t>Y160L-4</t>
  </si>
  <si>
    <t>Flexible</t>
  </si>
  <si>
    <t>132</t>
  </si>
  <si>
    <t>AST-066</t>
  </si>
  <si>
    <t>ROLLER SCREEN 2</t>
  </si>
  <si>
    <t>LJ00EBC20AT002-001</t>
  </si>
  <si>
    <t>134</t>
  </si>
  <si>
    <t>AST-067</t>
  </si>
  <si>
    <t>Motor Crusser 185kW 1</t>
  </si>
  <si>
    <t>LJ00EBC10AT001-001</t>
  </si>
  <si>
    <t>Crusher</t>
  </si>
  <si>
    <t>CRUSHER</t>
  </si>
  <si>
    <t>Y2-355L2-8</t>
  </si>
  <si>
    <t>740 r/min</t>
  </si>
  <si>
    <t>185Kw</t>
  </si>
  <si>
    <t>136</t>
  </si>
  <si>
    <t>AST-068</t>
  </si>
  <si>
    <t>Motor Crusser 185kW 2</t>
  </si>
  <si>
    <t>LJ00EBC10AT002-001</t>
  </si>
  <si>
    <t>138</t>
  </si>
  <si>
    <t>Record ID</t>
  </si>
  <si>
    <t>Source Page</t>
  </si>
  <si>
    <t>Raw Specs (Audit)</t>
  </si>
  <si>
    <t>REC-001</t>
  </si>
  <si>
    <t>Type, Mfg : YKK4003-4 Type, Mfg. : | Speed : 985 Speed : | Power : 355 Kw Capacity : | Bearing Type : Bearing Type : | Inboard Bearing : NU324 Inboard Bearing : - | Outboard Bearing : 6324 Onboard Bearing : - | Rotor Bar : - Total Blade - | Foundation : Rigid</t>
  </si>
  <si>
    <t>REC-002</t>
  </si>
  <si>
    <t>REC-003</t>
  </si>
  <si>
    <t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t>
  </si>
  <si>
    <t>REC-004</t>
  </si>
  <si>
    <t>REC-005</t>
  </si>
  <si>
    <t>REC-006</t>
  </si>
  <si>
    <t>REC-007</t>
  </si>
  <si>
    <t>Type, Mfg : China Changjiang Energy Corp. Manufacturer : China Changjiang Energy Corp. | Rated Capacity : 37.5 MVA Speed : 3000 r/min | Rated Active Power : 30 MW Ekstraction : 6 | Rated Stator Voltage : 6.3 kV Phase 3 Wire NCR : 30 MW | Rated Stator Current : Stages : 19 | Rated Speed : 3000 r/min | Governoor Type : Digital Electric Hidroulic (Woodard 505) | Rated Frequency : 50 Hz | :</t>
  </si>
  <si>
    <t>REC-008</t>
  </si>
  <si>
    <t>Type, Mfg : YLB 250-2-4 Type, Mfg. : 5LDIN | Speed : 1430 rpm Speed : 1480 rpm | Power : 75 kW Power : 53 kW | Bearing Type : - Capacity : 120 m3/h | Inboard Bearing : - Type Bearing : | Outboard Bearing : - Inboard Bearing : - | Rotor Bar : - Onboard Bearing : - | Foundation : Rigid Total Impeler 5</t>
  </si>
  <si>
    <t>REC-009</t>
  </si>
  <si>
    <t>Type, Mfg : Y2 - 250-6 Type, Mfg. : | Speed : 980 rpm Speed : | Power : 37 kW Power : | Bearing Type : Capacity : | Inboard Bearing : Type Bearing : | Outboard Bearing : Inboard Bearing : - | Rotor Bar : - Onboard Bearing : - | Foundation : Rigid Total Impeler / blade 18</t>
  </si>
  <si>
    <t>REC-010</t>
  </si>
  <si>
    <t>Type, Mfg : Y2 - 250-6 Type, Mfg. : | Speed : 980 rpm Speed : | Power : 37 kW Power : | Bearing Type : Capacity : | Inboard Bearing : Type Bearing : | Outboard Bearing : Inboard Bearing : - | Rotor Bar : - Onboard Bearing : - | Foundation : Rigid Total Impeler 5</t>
  </si>
  <si>
    <t>REC-011</t>
  </si>
  <si>
    <t>Type, Mfg : SY23372-1028, QINGJIANG Type, Mfg. : SHENYANG AST PUMP MANUFACTURING CO.,LTD | Speed : 2980 rpm Speed : 2980 rpm | Power : 1000 Capacity : 140 | Bearing Type : Bearing Type : | Inboard Bearing : NU 224EC Inboard Bearing : - | Outboard Bearing : 6224/C3 Onboard Bearing : - | Rotor Bar : - Total Blade - | Foundation : Rigid</t>
  </si>
  <si>
    <t>REC-012</t>
  </si>
  <si>
    <t>Type, Mfg : Y2 - 280-4 Type, Mfg. : | Speed : 980 rpm Speed : | Power : 75 kW Power : | Bearing Type : - Capacity : | Inboard Bearing : - Type Bearing : | Outboard Bearing : - Inboard Bearing : - | Rotor Bar : - Onboard Bearing : - | Foundation : Rigid Total Impeler 5</t>
  </si>
  <si>
    <t>REC-013</t>
  </si>
  <si>
    <t>Type, Mfg : Y2 - 280-4 Type, Mfg. : | Speed : 980 rpm Speed : | Power : 75 kW Power : | Bearing Type : Capacity : | Inboard Bearing : Type Bearing : | Outboard Bearing : Inboard Bearing : - | Rotor Bar : - Onboard Bearing : - | Foundation : Rigid Total Impeler 5</t>
  </si>
  <si>
    <t>REC-014</t>
  </si>
  <si>
    <t>Type, Mfg : YLKK400-6 Type, Mfg. : | Speed : 991 Speed : | Power : 315 Bearing Type : | Bearing Type : Inboard Bearing : | Inboard Bearing : Onboard Bearing : | Outboard Bearing : Total Blade : | Rotor Bar : - | Foundation : Rigid</t>
  </si>
  <si>
    <t>REC-015</t>
  </si>
  <si>
    <t>REC-016</t>
  </si>
  <si>
    <t>Type, Mfg : AEUBKG020015FMBP3 Type, Mfg. : A96536974P11003 | Speed : 2920 r/min Speed : 2920 r/min | Power : 11 kw Power : 11 Kw | Bearing Type : Roller Bearing Capacity : 21 m3/h | Inboard Bearing : 7309B Inboard Bearing : - | Outboard Bearing : 6307C3 Onboard Bearing : - | Rotor Bar : - Total Blade - | Foundation : Rigid</t>
  </si>
  <si>
    <t>REC-017</t>
  </si>
  <si>
    <t>Type, Mfg : Type, Mfg. : | Speed : 2970 r/min Speed : | Power : 75 Power : | Bearing Type : Capacity : | Inboard Bearing : Inboard Bearing : - | Outboard Bearing : Onboard Bearing : - | Rotor Bar : - Total Blade - | Foundation : Rigid</t>
  </si>
  <si>
    <t>REC-018</t>
  </si>
  <si>
    <t>REC-019</t>
  </si>
  <si>
    <t>REC-020</t>
  </si>
  <si>
    <t>REC-021</t>
  </si>
  <si>
    <t>REC-022</t>
  </si>
  <si>
    <t>REC-023</t>
  </si>
  <si>
    <t>REC-024</t>
  </si>
  <si>
    <t>REC-025</t>
  </si>
  <si>
    <t>REC-026</t>
  </si>
  <si>
    <t>Type, Mfg : YLB 250-2-4 Type, Mfg. : | Speed : 1430 rpm Speed : | Power : 75 kW Power : | Bearing Type : - Capacity : | Inboard Bearing : - Type Bearing : | Outboard Bearing : - Inboard Bearing : - | Rotor Bar : - Onboard Bearing : - | Foundation : Rigid Total Impeler 5</t>
  </si>
  <si>
    <t>REC-027</t>
  </si>
  <si>
    <t>Type, Mfg : Y2 - 250-6 Type, Mfg. : | Speed : 980 rpm Speed : | Power : 37 kW Power : | Bearing Type : Capacity : | Inboard Bearing : Type Bearing : | Outboard Bearing : Inboard Bearing : - | Rotor Bar : - Onboard Bearing : - | Foundation : Rigid Total Impeler</t>
  </si>
  <si>
    <t>REC-028</t>
  </si>
  <si>
    <t>REC-029</t>
  </si>
  <si>
    <t>REC-030</t>
  </si>
  <si>
    <t>REC-031</t>
  </si>
  <si>
    <t>REC-032</t>
  </si>
  <si>
    <t>REC-033</t>
  </si>
  <si>
    <t>REC-034</t>
  </si>
  <si>
    <t>KKS kosong pada sumber PDF; Metadata aset yang sama muncul pada halaman 68, 70</t>
  </si>
  <si>
    <t>REC-035</t>
  </si>
  <si>
    <t>REC-036</t>
  </si>
  <si>
    <t>Type, Mfg : YKK 4504-6 Type, Mfg. : 25 SB-P | Speed : 990 Speed : 2980 r/min | Power : 450 Capacity : 165 m3/h | Bearing Type : Roller Bearing Bearing Type : Journal Bearing | Inboard Bearing : NU228E/C3 Inboard Bearing : - | Outboard Bearing : 6226/C3 Onboard Bearing : - | Rotor Bar : - Total Blade - | Foundation : Rigid</t>
  </si>
  <si>
    <t>REC-037</t>
  </si>
  <si>
    <t>REC-038</t>
  </si>
  <si>
    <t>Type, Mfg : YKK 4504-4 Type, Mfg. : G6-30 19.50 | Speed : 1490 Speed : 1485 r/min | Power : 630 Power : 630 Kw | Bearing Type : Roller Bearing Flow Rate : 400871 m2/h | Inboard Bearing : NU226E/C3 Bearing Type : Journal Bearing | Outboard Bearing : 6228/C3 Inboard Bearing : - | Rotor Bar : - Onboard Bearing : - | Foundation : Rigid Total Blade : -</t>
  </si>
  <si>
    <t>REC-039</t>
  </si>
  <si>
    <t>Type, Mfg : YKK 4504-4 Type, Mfg. : G6-40 16.20 | Speed : 1485 Speed : 1485 r/min | Power : 400 Power : 400 Kw | Bearing Type : Roller Bearing Flow Rate : 87120 m2/h | Inboard Bearing : NU224EC Bearing Type : Journal Bearing | Outboard Bearing : 6224/C3 Inboard Bearing : - | Rotor Bar : - Onboard Bearing : - | Foundation : Rigid Total Blade : -</t>
  </si>
  <si>
    <t>REC-040</t>
  </si>
  <si>
    <t>Type, Mfg : Y2-250M-4-B3 Type, Mfg. : | Speed : 1480 Speed : | Power : 55 Bearing Type : | Bearing Type : Ball Bearing Inboard Bearing : | Inboard Bearing : 6314/CM Onboard Bearing : | Outboard Bearing : 6313/CM Total Blade : | Rotor Bar : - | Foundation : Rigid</t>
  </si>
  <si>
    <t>REC-041</t>
  </si>
  <si>
    <t>Type, Mfg : Luoyang Generating Equipment Co., Ltd Manufacturer : Qingdao Jieneng Steam Turbine | Rated Capacity : 37.5 MVA Speed : 3000 r/min | Rated Active Power : 30 MW Ekstraction : 6 | Rated Stator Voltage : 6.3 kV NCR : 30 MW | Rated Stator Current : 3437 A Stages : 18 | Rated Speed : 3000 r/min Digital electric Hidraulic (Woodward | Governoor Type : | Rated Frequency : 50 Hz 505) | :</t>
  </si>
  <si>
    <t>REC-042</t>
  </si>
  <si>
    <t>Type, Mfg : HN2-225 Type, Mfg. : Shandong Shuanglun Group Co.,Ltd | Speed : 2970 r/min Speed : 2950 r/min | Power : 45 Kw Power : 45 Kw | Bearing Type : Roller Bearing Capacity : 52.5 m2/h | Inboard Bearing : 6313-2z Type Bearing : Roller Bearing | Outboard Bearing : 6313-2z Inboard Bearing : - | Rotor Bar : - Onboard Bearing : - | Foundation : Rigid Total Impeler 5</t>
  </si>
  <si>
    <t>REC-043</t>
  </si>
  <si>
    <t>Type, Mfg : HN2-225 Type, Mfg. : Shandong Shuanglun Group Co.,Ltd | Speed : 2970 r/min Speed : 2950 r/min | Power : 45 Kw Power : 45 Kw | Bearing Type : Roller Bearing Capacity : 52.5 m2/h | Inboard Bearing : 6313-2z Inboard Bearing : - | Outboard Bearing : 6313-2z Onboard Bearing : - | Rotor Bar : - Total Blade - | Foundation : Rigid</t>
  </si>
  <si>
    <t>REC-044</t>
  </si>
  <si>
    <t>Type, Mfg : HM2-20012-2 Type, Mfg. : S125.100-200A | Speed : 2950 r/min Speed : 2900 r/min | Power : 37 Kw Power : 37 Kw | Bearing Type : Roller Bearing Capacity : 160 m2/h | Inboard Bearing : 6313 Inboard Bearing : - | Outboard Bearing : 6313 Onboard Bearing : - | Rotor Bar : - Total Blade - | Foundation : Rigid</t>
  </si>
  <si>
    <t>REC-045</t>
  </si>
  <si>
    <t>Type, Mfg : YKS450-2 Type, Mfg. : 25SB-P | Speed : 2979 r/min Speed : 2980 r/min | Power : 1000 Kw Power : 822 Kw | Bearing Type : Roller Bearing Capacity : 165 m2/h | Inboard Bearing : NU1022M/C3 6022/c3 Inboard Bearing : - | Outboard Bearing : NU1022M/C3 6022/c3 Onboard Bearing : - | Rotor Bar : - Total Blade - | Foundation : Rigid</t>
  </si>
  <si>
    <t>REC-046</t>
  </si>
  <si>
    <t>Type, Mfg : EN60034 IEC 60034/60072 Type, Mfg. : 200SS35 | Speed : 1480 r/min Speed : 1480 r/min | Power : 55 Kw Power : 55 Kw | Bearing Type : Roller Bearing Capacity : 500 m2/h | Inboard Bearing : - Inboard Bearing : - | Outboard Bearing : - Onboard Bearing : - | Rotor Bar : - Total Blade 6 | Foundation : Rigid</t>
  </si>
  <si>
    <t>REC-047</t>
  </si>
  <si>
    <t>REC-048</t>
  </si>
  <si>
    <t>Type, Mfg : YKKL-450-6TH Type, Mfg. : | Speed : 989 Speed : | Power : 355 Bearing Type : | Bearing Type : Roller Bearing Inboard Bearing : | Inboard Bearing : 6226 Onboard Bearing : | Outboard Bearing : 7330B Total Blade : | Rotor Bar : - | Foundation : Rigid</t>
  </si>
  <si>
    <t>REC-049</t>
  </si>
  <si>
    <t>Type, Mfg : DPVSF18-120 Type, Mfg. : | Speed : 2924 Speed : | Power : 11 Power : | Bearing Type : Roller Bearing Capacity : | Inboard Bearing : Inboard Bearing : - | Outboard Bearing : Onboard Bearing : - | Rotor Bar : - Total Blade - | Foundation : Rigid</t>
  </si>
  <si>
    <t>REC-050</t>
  </si>
  <si>
    <t>Type, Mfg : Type, Mfg. : | Speed : Speed : | Power : Power : | Bearing Type : Capacity : | Inboard Bearing : Inboard Bearing : - | Outboard Bearing : Onboard Bearing : - | Rotor Bar : - Total Blade - | Foundation : Rigid</t>
  </si>
  <si>
    <t>REC-051</t>
  </si>
  <si>
    <t>Type, Mfg : FSV2H15A0T65B Type, Mfg. : | Speed : 2930 Speed : | Power : 11 kW Power : | House Power : 15 HP Capacity : | Inboard Bearing : 6310 C3 Inboard Bearing : - | Outboard Bearing : 6308 C3 Onboard Bearing : - | Current : 22,2 / 12,8 A Total Blade - | Foundation : Rigid</t>
  </si>
  <si>
    <t>REC-052</t>
  </si>
  <si>
    <t>Type, Mfg : AEEBKB020175FM Type, Mfg. : | Speed : 2955 Speed : | Power : 132 kW Power : | House Power : 175 HP Capacity : | Inboard Bearing : 6314 C3 Inboard Bearing : | Outboard Bearing : 6314 C3 Onboard Bearing : | Current : 239 - 219 A Total Blade | Foundation : Rigid</t>
  </si>
  <si>
    <t>REC-053</t>
  </si>
  <si>
    <t>Type, Mfg : JU6HUE3A Type, Mfg. : | Speed : 3000 r/min Speed : | Brake Horse Power : 175 BHP Power : | Bearing Type : Capacity : | Inboard Bearing : - Inboard Bearing : | Outboard Bearing : - Onboard Bearing : | Rotor Bar : - Total Blade | Foundation : Rigid</t>
  </si>
  <si>
    <t>REC-054</t>
  </si>
  <si>
    <t>REC-055</t>
  </si>
  <si>
    <t>REC-056</t>
  </si>
  <si>
    <t>Type, Mfg : Y2-200L-4 Type, Mfg. : 290820 | Speed : 1470 r/min Speed : - | Power : 30 Kw Power : 30 Kw | Bearing Type : Roller Bearing Capacity : 300 t/h | Inboard Bearing : - Type Bearing : Roller Bearing | Outboard Bearing : - Inboard Bearing : - | Rotor Bar : - Onboard Bearing : - | Foundation : Rigid</t>
  </si>
  <si>
    <t>REC-057</t>
  </si>
  <si>
    <t>REC-058</t>
  </si>
  <si>
    <t>Type, Mfg : Y2-2805-6 Type, Mfg. : 290822 | Speed : 980 r/min Speed : - | Power : 45 Kw Power : 45 Kw | Bearing Type : Roller Bearing Capacity : 300 t/h | Inboard Bearing : - Type Bearing : Roller Bearing | Outboard Bearing : - Inboard Bearing : - | Rotor Bar : - Onboard Bearing : - | Foundation : Rigid</t>
  </si>
  <si>
    <t>REC-059</t>
  </si>
  <si>
    <t>REC-060</t>
  </si>
  <si>
    <t>Type, Mfg : Y2-315S-6 Type, Mfg. : 290821 | Speed : 990 r/min Speed : - | Power : 75 Kw Power : 30 Kw | Bearing Type : Roller Bearing Capacity : 300 t/h | Inboard Bearing : - Type Bearing : Roller Bearing | Outboard Bearing : - Inboard Bearing : - | Rotor Bar : - Onboard Bearing : - | Foundation : Rigid</t>
  </si>
  <si>
    <t>REC-061</t>
  </si>
  <si>
    <t>REC-062</t>
  </si>
  <si>
    <t>Type, Mfg : Type, Mfg. : - | Speed : 1460 r/min Speed : - | Power : 15 Kw Power : - | Bearing Type : Roller Bearing Capacity : - | Inboard Bearing : - Type Bearing : - | Outboard Bearing : - Inboard Bearing : - | Rotor Bar : - Onboard Bearing : - | Foundation : Rigid</t>
  </si>
  <si>
    <t>REC-063</t>
  </si>
  <si>
    <t>REC-064</t>
  </si>
  <si>
    <t>Type, Mfg : Type, Mfg. : - | Speed : 1470 r/min Speed : - | Power : 18.5 Kw Power : - | Bearing Type : Roller Bearing Capacity : - | Inboard Bearing : - Type Bearing : - | Outboard Bearing : - Inboard Bearing : - | Rotor Bar : - Onboard Bearing : - | Foundation : Rigid</t>
  </si>
  <si>
    <t>REC-065</t>
  </si>
  <si>
    <t>REC-066</t>
  </si>
  <si>
    <t>Type, Mfg : Y160L-4 Type, Mfg. : - | Speed : 1460 r/min Speed : - | Power : 15 Kw Power : - | Bearing Type : Capacity : - | Inboard Bearing : - Inboard Bearing : - | Outboard Bearing : - Onboard Bearing : - | Rotor Bar : - Total Blade - | Foundation : Flexible</t>
  </si>
  <si>
    <t>REC-067</t>
  </si>
  <si>
    <t>REC-068</t>
  </si>
  <si>
    <t>Type, Mfg : Y2-355L2-8 Type, Mfg. : - | Speed : 740 r/min Speed : - | Power : 185Kw Power : - | Bearing Type : Roller Bearing Capacity : - | Inboard Bearing : Type Bearing : - | Outboard Bearing : Inboard Bearing : - | Rotor Bar : - Onboard Bearing : - | Foundation : Rigid Total Impeler -</t>
  </si>
  <si>
    <t>REC-069</t>
  </si>
  <si>
    <t>Issue</t>
  </si>
  <si>
    <t>Record/Asset</t>
  </si>
  <si>
    <t>Equipment / Source Value</t>
  </si>
  <si>
    <t>Source Page(s)</t>
  </si>
  <si>
    <t>Keterangan</t>
  </si>
  <si>
    <t>KKS kosong</t>
  </si>
  <si>
    <t>KKS memang kosong pada sumber PDF</t>
  </si>
  <si>
    <t>68</t>
  </si>
  <si>
    <t>70</t>
  </si>
  <si>
    <t>Metadata aset berulang</t>
  </si>
  <si>
    <t>Report record dipertahankan terpisah</t>
  </si>
  <si>
    <t>Spelling class sumber</t>
  </si>
  <si>
    <t>Normalized: ISO 10816-3 (GROUP 1 RIGID)</t>
  </si>
  <si>
    <t>Normalized: ISO 10816-3 (GROUP 2 FLEXIBLE)</t>
  </si>
  <si>
    <t>Field</t>
  </si>
  <si>
    <t>Jenis</t>
  </si>
  <si>
    <t>Derived</t>
  </si>
  <si>
    <t>ID internal AST-xxx untuk identitas aset berdasarkan Equipment + KKS.</t>
  </si>
  <si>
    <t>ID REC-xxx untuk setiap halaman DETAIL REPORT VIBRASI.</t>
  </si>
  <si>
    <t>Source</t>
  </si>
  <si>
    <t>Nama EQUIPMENT persis dari PDF.</t>
  </si>
  <si>
    <t>Kode KKS; blank dipertahankan bila sumber kosong.</t>
  </si>
  <si>
    <t>Class/standard persis dari PDF, termasuk spelling/typo.</t>
  </si>
  <si>
    <t>Normalisasi spelling class agar mudah difilter; tidak mengganti nilai sumber.</t>
  </si>
  <si>
    <t>PM WEEK pada report.</t>
  </si>
  <si>
    <t>TGL PENGUKURAN pada report.</t>
  </si>
  <si>
    <t>NORMAL / PREWARNING / WARNING / ALARM pada report.</t>
  </si>
  <si>
    <t>Component 1 / Component 2</t>
  </si>
  <si>
    <t>Heading pasangan equipment seperti MOTOR-FAN, MOTOR-POMPA, GENERATOR-TURBINE.</t>
  </si>
  <si>
    <t>C1 ... / C2 ...</t>
  </si>
  <si>
    <t>Spesifikasi kiri/kanan: Type/Mfg, Speed, Power, Bearing, Capacity, Pressure, dll.</t>
  </si>
  <si>
    <t>Kategori praktis untuk aplikasi berdasarkan nama/heading aset.</t>
  </si>
  <si>
    <t>Audit</t>
  </si>
  <si>
    <t>Halaman PDF asal metadata.</t>
  </si>
  <si>
    <t>Teks baris spesifikasi hasil ekstraksi untuk pengecekan kembali.</t>
  </si>
  <si>
    <t>Pengelompokan UNIT 1 / UNIT 2 / UNIT 3 / COMMON berdasarkan urutan section report PDF dan penamaan aset. Boundary halaman detail report: ≤36 Unit 1, 38–70 Unit 2, 72–110 Unit 3, ≥112 Common.</t>
  </si>
  <si>
    <t>Grouped Sheets</t>
  </si>
  <si>
    <t>View</t>
  </si>
  <si>
    <t>Sheet UNIT_1, UNIT_2, UNIT_3, dan COMMON adalah tampilan ringkas aset berdasarkan Unit Group; Asset_Master tetap menyimpan data lengkap.</t>
  </si>
  <si>
    <t>Unit Group</t>
  </si>
  <si>
    <t>Asset Category</t>
  </si>
  <si>
    <t>Equipment Class</t>
  </si>
  <si>
    <t>2024-09-09</t>
  </si>
  <si>
    <t>2024-09-23</t>
  </si>
  <si>
    <t>2024-09-02</t>
  </si>
  <si>
    <t>2024-09-10</t>
  </si>
  <si>
    <t>2024-09-24</t>
  </si>
  <si>
    <t>2024-09-16</t>
  </si>
  <si>
    <t>2024-09-25</t>
  </si>
  <si>
    <t>2024-09-11</t>
  </si>
  <si>
    <t>2024-09-26</t>
  </si>
  <si>
    <t>2024-09-17</t>
  </si>
  <si>
    <t>2024-09-03</t>
  </si>
  <si>
    <t>2024-09-18</t>
  </si>
  <si>
    <t>2024-09-04</t>
  </si>
  <si>
    <t>2024-09-19</t>
  </si>
  <si>
    <t>2024-09-13</t>
  </si>
  <si>
    <t>2024-09-12</t>
  </si>
  <si>
    <t>2024-09-05</t>
  </si>
  <si>
    <t>2024-09-20</t>
  </si>
  <si>
    <t>2024-09-06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</si>
</sst>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4" x14ac:knownFonts="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FF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32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E5E7EB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DBEAFE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A3412"/>
      </font>
      <fill>
        <patternFill>
          <bgColor rgb="FFFED7A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</font>
      <fill>
        <patternFill patternType="solid">
          <bgColor rgb="FFE5E7EB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DBEAFE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9A3412"/>
      </font>
      <fill>
        <patternFill>
          <bgColor rgb="FFFED7A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AssetMasterTable" displayName="AssetMasterTable" ref="A1:AS69" totalsRowShown="0">
  <tableColumns count="45">
    <tableColumn id="1" name="Asset ID"/>
    <tableColumn id="2" name="Equipment"/>
    <tableColumn id="3" name="KKS"/>
    <tableColumn id="4" name="Equipment Class (Source)"/>
    <tableColumn id="5" name="Equipment Class (Normalized)"/>
    <tableColumn id="6" name="Asset Category (Derived)"/>
    <tableColumn id="7" name="PM Week"/>
    <tableColumn id="8" name="Measurement Date"/>
    <tableColumn id="9" name="Status Vibrasi"/>
    <tableColumn id="10" name="Component 1"/>
    <tableColumn id="11" name="Component 2"/>
    <tableColumn id="12" name="C1 Type/Mfg"/>
    <tableColumn id="13" name="C1 Speed"/>
    <tableColumn id="14" name="C1 Power"/>
    <tableColumn id="15" name="C1 Bearing Type"/>
    <tableColumn id="16" name="C1 Inboard Bearing"/>
    <tableColumn id="17" name="C1 Outboard Bearing"/>
    <tableColumn id="18" name="C1 Rotor Bar"/>
    <tableColumn id="19" name="C1 Foundation"/>
    <tableColumn id="20" name="C1 House Power"/>
    <tableColumn id="21" name="C1 Brake Horse Power"/>
    <tableColumn id="22" name="C1 Current"/>
    <tableColumn id="23" name="C1 Rated Capacity"/>
    <tableColumn id="24" name="C1 Rated Active Power"/>
    <tableColumn id="25" name="C1 Rated Stator Voltage"/>
    <tableColumn id="26" name="C1 Rated Stator Current"/>
    <tableColumn id="27" name="C1 Rated Speed"/>
    <tableColumn id="28" name="C1 Rated Frequency"/>
    <tableColumn id="29" name="C2 Type/Mfg"/>
    <tableColumn id="30" name="C2 Manufacturer"/>
    <tableColumn id="31" name="C2 Speed"/>
    <tableColumn id="32" name="C2 Power"/>
    <tableColumn id="33" name="C2 Capacity"/>
    <tableColumn id="34" name="C2 Pressure"/>
    <tableColumn id="35" name="C2 Flow Rate"/>
    <tableColumn id="36" name="C2 Bearing Type"/>
    <tableColumn id="37" name="C2 Inboard Bearing"/>
    <tableColumn id="38" name="C2 Onboard Bearing"/>
    <tableColumn id="39" name="C2 Total Blade"/>
    <tableColumn id="40" name="C2 NCR"/>
    <tableColumn id="41" name="C2 Ekstraction"/>
    <tableColumn id="42" name="C2 Stages"/>
    <tableColumn id="43" name="C2 Governoor Type"/>
    <tableColumn id="44" name="Source Pages"/>
    <tableColumn id="45" name="Data Quality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RecordsTable" displayName="ReportRecordsTable" ref="A1:AU70" totalsRowShown="0">
  <tableColumns count="47">
    <tableColumn id="1" name="Record ID"/>
    <tableColumn id="2" name="Asset ID"/>
    <tableColumn id="3" name="Equipment"/>
    <tableColumn id="4" name="KKS"/>
    <tableColumn id="5" name="Equipment Class (Source)"/>
    <tableColumn id="6" name="Equipment Class (Normalized)"/>
    <tableColumn id="7" name="PM Week"/>
    <tableColumn id="8" name="Measurement Date"/>
    <tableColumn id="9" name="Status Vibrasi"/>
    <tableColumn id="10" name="Component 1"/>
    <tableColumn id="11" name="Component 2"/>
    <tableColumn id="12" name="C1 Type/Mfg"/>
    <tableColumn id="13" name="C1 Speed"/>
    <tableColumn id="14" name="C1 Power"/>
    <tableColumn id="15" name="C1 Bearing Type"/>
    <tableColumn id="16" name="C1 Inboard Bearing"/>
    <tableColumn id="17" name="C1 Outboard Bearing"/>
    <tableColumn id="18" name="C1 Rotor Bar"/>
    <tableColumn id="19" name="C1 Foundation"/>
    <tableColumn id="20" name="C1 House Power"/>
    <tableColumn id="21" name="C1 Brake Horse Power"/>
    <tableColumn id="22" name="C1 Current"/>
    <tableColumn id="23" name="C1 Rated Capacity"/>
    <tableColumn id="24" name="C1 Rated Active Power"/>
    <tableColumn id="25" name="C1 Rated Stator Voltage"/>
    <tableColumn id="26" name="C1 Rated Stator Current"/>
    <tableColumn id="27" name="C1 Rated Speed"/>
    <tableColumn id="28" name="C1 Rated Frequency"/>
    <tableColumn id="29" name="C2 Type/Mfg"/>
    <tableColumn id="30" name="C2 Manufacturer"/>
    <tableColumn id="31" name="C2 Speed"/>
    <tableColumn id="32" name="C2 Power"/>
    <tableColumn id="33" name="C2 Capacity"/>
    <tableColumn id="34" name="C2 Pressure"/>
    <tableColumn id="35" name="C2 Flow Rate"/>
    <tableColumn id="36" name="C2 Bearing Type"/>
    <tableColumn id="37" name="C2 Inboard Bearing"/>
    <tableColumn id="38" name="C2 Onboard Bearing"/>
    <tableColumn id="39" name="C2 Total Blade"/>
    <tableColumn id="40" name="C2 NCR"/>
    <tableColumn id="41" name="C2 Ekstraction"/>
    <tableColumn id="42" name="C2 Stages"/>
    <tableColumn id="43" name="C2 Governoor Type"/>
    <tableColumn id="44" name="Asset Category (Derived)"/>
    <tableColumn id="45" name="Source Page"/>
    <tableColumn id="46" name="Data Quality Note"/>
    <tableColumn id="47" name="Raw Specs (Audit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QualityTable" displayName="DataQualityTable" ref="A1:F15" totalsRowShown="0">
  <tableColumns count="6">
    <tableColumn id="1" name="Issue"/>
    <tableColumn id="2" name="Record/Asset"/>
    <tableColumn id="3" name="Equipment / Source Value"/>
    <tableColumn id="4" name="KKS"/>
    <tableColumn id="5" name="Source Page(s)"/>
    <tableColumn id="6" name="Keterang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IT1AssetsTable" displayName="UNIT1AssetsTable" ref="A1:W19" totalsRowShown="0">
  <tableColumns count="23">
    <tableColumn id="1" name="Unit Group"/>
    <tableColumn id="2" name="Asset ID"/>
    <tableColumn id="3" name="Equipment"/>
    <tableColumn id="4" name="KKS"/>
    <tableColumn id="5" name="Asset Category"/>
    <tableColumn id="6" name="Equipment Class"/>
    <tableColumn id="7" name="PM Week"/>
    <tableColumn id="8" name="Measurement Date"/>
    <tableColumn id="9" name="Status Vibrasi"/>
    <tableColumn id="10" name="Component 1"/>
    <tableColumn id="11" name="C1 Type/Mfg"/>
    <tableColumn id="12" name="C1 Speed"/>
    <tableColumn id="13" name="C1 Power"/>
    <tableColumn id="14" name="C1 Bearing Type"/>
    <tableColumn id="15" name="C1 Inboard Bearing"/>
    <tableColumn id="16" name="C1 Outboard Bearing"/>
    <tableColumn id="17" name="C1 Foundation"/>
    <tableColumn id="18" name="Component 2"/>
    <tableColumn id="19" name="C2 Type/Mfg"/>
    <tableColumn id="20" name="C2 Speed"/>
    <tableColumn id="21" name="C2 Power"/>
    <tableColumn id="22" name="C2 Capacity"/>
    <tableColumn id="23" name="Source Pag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NIT2AssetsTable" displayName="UNIT2AssetsTable" ref="A1:W17" totalsRowShown="0">
  <tableColumns count="23">
    <tableColumn id="1" name="Unit Group"/>
    <tableColumn id="2" name="Asset ID"/>
    <tableColumn id="3" name="Equipment"/>
    <tableColumn id="4" name="KKS"/>
    <tableColumn id="5" name="Asset Category"/>
    <tableColumn id="6" name="Equipment Class"/>
    <tableColumn id="7" name="PM Week"/>
    <tableColumn id="8" name="Measurement Date"/>
    <tableColumn id="9" name="Status Vibrasi"/>
    <tableColumn id="10" name="Component 1"/>
    <tableColumn id="11" name="C1 Type/Mfg"/>
    <tableColumn id="12" name="C1 Speed"/>
    <tableColumn id="13" name="C1 Power"/>
    <tableColumn id="14" name="C1 Bearing Type"/>
    <tableColumn id="15" name="C1 Inboard Bearing"/>
    <tableColumn id="16" name="C1 Outboard Bearing"/>
    <tableColumn id="17" name="C1 Foundation"/>
    <tableColumn id="18" name="Component 2"/>
    <tableColumn id="19" name="C2 Type/Mfg"/>
    <tableColumn id="20" name="C2 Speed"/>
    <tableColumn id="21" name="C2 Power"/>
    <tableColumn id="22" name="C2 Capacity"/>
    <tableColumn id="23" name="Source Pag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NIT3AssetsTable" displayName="UNIT3AssetsTable" ref="A1:W21" totalsRowShown="0">
  <tableColumns count="23">
    <tableColumn id="1" name="Unit Group"/>
    <tableColumn id="2" name="Asset ID"/>
    <tableColumn id="3" name="Equipment"/>
    <tableColumn id="4" name="KKS"/>
    <tableColumn id="5" name="Asset Category"/>
    <tableColumn id="6" name="Equipment Class"/>
    <tableColumn id="7" name="PM Week"/>
    <tableColumn id="8" name="Measurement Date"/>
    <tableColumn id="9" name="Status Vibrasi"/>
    <tableColumn id="10" name="Component 1"/>
    <tableColumn id="11" name="C1 Type/Mfg"/>
    <tableColumn id="12" name="C1 Speed"/>
    <tableColumn id="13" name="C1 Power"/>
    <tableColumn id="14" name="C1 Bearing Type"/>
    <tableColumn id="15" name="C1 Inboard Bearing"/>
    <tableColumn id="16" name="C1 Outboard Bearing"/>
    <tableColumn id="17" name="C1 Foundation"/>
    <tableColumn id="18" name="Component 2"/>
    <tableColumn id="19" name="C2 Type/Mfg"/>
    <tableColumn id="20" name="C2 Speed"/>
    <tableColumn id="21" name="C2 Power"/>
    <tableColumn id="22" name="C2 Capacity"/>
    <tableColumn id="23" name="Source Pag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MONAssetsTable" displayName="COMMONAssetsTable" ref="A1:W15" totalsRowShown="0">
  <tableColumns count="23">
    <tableColumn id="1" name="Unit Group"/>
    <tableColumn id="2" name="Asset ID"/>
    <tableColumn id="3" name="Equipment"/>
    <tableColumn id="4" name="KKS"/>
    <tableColumn id="5" name="Asset Category"/>
    <tableColumn id="6" name="Equipment Class"/>
    <tableColumn id="7" name="PM Week"/>
    <tableColumn id="8" name="Measurement Date"/>
    <tableColumn id="9" name="Status Vibrasi"/>
    <tableColumn id="10" name="Component 1"/>
    <tableColumn id="11" name="C1 Type/Mfg"/>
    <tableColumn id="12" name="C1 Speed"/>
    <tableColumn id="13" name="C1 Power"/>
    <tableColumn id="14" name="C1 Bearing Type"/>
    <tableColumn id="15" name="C1 Inboard Bearing"/>
    <tableColumn id="16" name="C1 Outboard Bearing"/>
    <tableColumn id="17" name="C1 Foundation"/>
    <tableColumn id="18" name="Component 2"/>
    <tableColumn id="19" name="C2 Type/Mfg"/>
    <tableColumn id="20" name="C2 Speed"/>
    <tableColumn id="21" name="C2 Power"/>
    <tableColumn id="22" name="C2 Capacity"/>
    <tableColumn id="23" name="Source Pa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H2"/>
    </sheetView>
  </sheetViews>
  <sheetFormatPr defaultRowHeight="14.5" x14ac:dyDescent="0.35"/>
  <cols>
    <col min="1" max="1" width="24" customWidth="1"/>
    <col min="2" max="2" width="32" customWidth="1"/>
    <col min="3" max="6" width="14" customWidth="1"/>
    <col min="7" max="8" width="18" customWidth="1"/>
  </cols>
  <sheetData>
    <row r="1" spans="1:8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5">
      <c r="A2" s="7"/>
      <c r="B2" s="7"/>
      <c r="C2" s="7"/>
      <c r="D2" s="7"/>
      <c r="E2" s="7"/>
      <c r="F2" s="7"/>
      <c r="G2" s="7"/>
      <c r="H2" s="7"/>
    </row>
    <row r="4" spans="1:8" x14ac:dyDescent="0.35">
      <c r="A4" s="1" t="s">
        <v>1</v>
      </c>
      <c r="B4" s="1" t="s">
        <v>2</v>
      </c>
      <c r="D4" s="1" t="s">
        <v>3</v>
      </c>
      <c r="E4" s="1" t="s">
        <v>4</v>
      </c>
      <c r="G4" s="6" t="s">
        <v>5</v>
      </c>
      <c r="H4" s="6" t="s">
        <v>6</v>
      </c>
    </row>
    <row r="5" spans="1:8" x14ac:dyDescent="0.35">
      <c r="A5" t="s">
        <v>7</v>
      </c>
      <c r="B5">
        <f>COUNTA(Report_Records!A2:A500)</f>
        <v>69</v>
      </c>
      <c r="D5" t="s">
        <v>8</v>
      </c>
      <c r="E5">
        <f>COUNTIF(Report_Records!I2:I500,"NORMAL")</f>
        <v>28</v>
      </c>
      <c r="G5" t="s">
        <v>9</v>
      </c>
      <c r="H5">
        <f>COUNTIF(Asset_Master!AT2:AT69,"UNIT 1")</f>
        <v>18</v>
      </c>
    </row>
    <row r="6" spans="1:8" x14ac:dyDescent="0.35">
      <c r="A6" t="s">
        <v>10</v>
      </c>
      <c r="B6">
        <f>COUNTA(Asset_Master!A2:A500)</f>
        <v>68</v>
      </c>
      <c r="D6" t="s">
        <v>11</v>
      </c>
      <c r="E6">
        <f>COUNTIF(Report_Records!I2:I500,"PREWARNING")</f>
        <v>39</v>
      </c>
      <c r="G6" t="s">
        <v>12</v>
      </c>
      <c r="H6">
        <f>COUNTIF(Asset_Master!AT2:AT69,"UNIT 2")</f>
        <v>16</v>
      </c>
    </row>
    <row r="7" spans="1:8" x14ac:dyDescent="0.35">
      <c r="A7" t="s">
        <v>13</v>
      </c>
      <c r="B7">
        <f>COUNTBLANK(Report_Records!D2:D70)</f>
        <v>9</v>
      </c>
      <c r="D7" t="s">
        <v>14</v>
      </c>
      <c r="E7">
        <f>COUNTIF(Report_Records!I2:I500,"WARNING")</f>
        <v>1</v>
      </c>
      <c r="G7" t="s">
        <v>15</v>
      </c>
      <c r="H7">
        <f>COUNTIF(Asset_Master!AT2:AT69,"UNIT 3")</f>
        <v>20</v>
      </c>
    </row>
    <row r="8" spans="1:8" x14ac:dyDescent="0.35">
      <c r="A8" t="s">
        <v>16</v>
      </c>
      <c r="B8">
        <f>COUNTIF(Report_Records!I2:I500,"NORMAL")</f>
        <v>28</v>
      </c>
      <c r="D8" t="s">
        <v>17</v>
      </c>
      <c r="E8">
        <f>COUNTIF(Report_Records!I2:I500,"ALARM")</f>
        <v>1</v>
      </c>
      <c r="G8" t="s">
        <v>18</v>
      </c>
      <c r="H8">
        <f>COUNTIF(Asset_Master!AT2:AT69,"COMMON")</f>
        <v>14</v>
      </c>
    </row>
    <row r="9" spans="1:8" x14ac:dyDescent="0.35">
      <c r="A9" t="s">
        <v>19</v>
      </c>
      <c r="B9">
        <f>COUNTIF(Report_Records!I2:I500,"PREWARNING")+COUNTIF(Report_Records!I2:I500,"WARNING")+COUNTIF(Report_Records!I2:I500,"ALARM")</f>
        <v>41</v>
      </c>
      <c r="D9" t="s">
        <v>20</v>
      </c>
      <c r="E9">
        <f>SUM(E5:E8)</f>
        <v>69</v>
      </c>
      <c r="G9" t="s">
        <v>20</v>
      </c>
      <c r="H9">
        <f>SUM(H5:H8)</f>
        <v>68</v>
      </c>
    </row>
    <row r="12" spans="1:8" x14ac:dyDescent="0.35">
      <c r="A12" s="8" t="s">
        <v>21</v>
      </c>
      <c r="B12" s="8"/>
      <c r="C12" s="8"/>
      <c r="D12" s="8"/>
      <c r="E12" s="8"/>
      <c r="F12" s="8"/>
      <c r="G12" s="8"/>
      <c r="H12" s="8"/>
    </row>
    <row r="13" spans="1:8" x14ac:dyDescent="0.35">
      <c r="A13" s="2" t="s">
        <v>22</v>
      </c>
      <c r="B13" s="9" t="s">
        <v>23</v>
      </c>
      <c r="C13" s="9"/>
      <c r="D13" s="9"/>
      <c r="E13" s="9"/>
      <c r="F13" s="9"/>
      <c r="G13" s="9"/>
      <c r="H13" s="9"/>
    </row>
    <row r="14" spans="1:8" x14ac:dyDescent="0.35">
      <c r="A14" s="2" t="s">
        <v>24</v>
      </c>
      <c r="B14" s="9" t="s">
        <v>25</v>
      </c>
      <c r="C14" s="9"/>
      <c r="D14" s="9"/>
      <c r="E14" s="9"/>
      <c r="F14" s="9"/>
      <c r="G14" s="9"/>
      <c r="H14" s="9"/>
    </row>
    <row r="15" spans="1:8" x14ac:dyDescent="0.35">
      <c r="A15" s="2" t="s">
        <v>26</v>
      </c>
      <c r="B15" s="9" t="s">
        <v>27</v>
      </c>
      <c r="C15" s="9"/>
      <c r="D15" s="9"/>
      <c r="E15" s="9"/>
      <c r="F15" s="9"/>
      <c r="G15" s="9"/>
      <c r="H15" s="9"/>
    </row>
    <row r="16" spans="1:8" x14ac:dyDescent="0.35">
      <c r="A16" s="2" t="s">
        <v>28</v>
      </c>
      <c r="B16" s="9" t="s">
        <v>29</v>
      </c>
      <c r="C16" s="9"/>
      <c r="D16" s="9"/>
      <c r="E16" s="9"/>
      <c r="F16" s="9"/>
      <c r="G16" s="9"/>
      <c r="H16" s="9"/>
    </row>
  </sheetData>
  <mergeCells count="6">
    <mergeCell ref="B16:H16"/>
    <mergeCell ref="A1:H2"/>
    <mergeCell ref="A12:H12"/>
    <mergeCell ref="B13:H13"/>
    <mergeCell ref="B14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9"/>
  <sheetViews>
    <sheetView tabSelected="1" workbookViewId="0">
      <selection activeCell="G1" sqref="G1:G1048576"/>
    </sheetView>
  </sheetViews>
  <sheetFormatPr defaultRowHeight="14.5" x14ac:dyDescent="0.35"/>
  <cols>
    <col min="1" max="1" width="12" customWidth="1"/>
    <col min="2" max="2" width="14" customWidth="1"/>
    <col min="3" max="3" width="30" customWidth="1"/>
    <col min="4" max="4" width="24" customWidth="1"/>
    <col min="5" max="6" width="30" customWidth="1"/>
    <col min="7" max="11" width="17" customWidth="1"/>
    <col min="12" max="43" width="18" customWidth="1"/>
    <col min="44" max="45" width="34" customWidth="1"/>
    <col min="46" max="46" width="18" customWidth="1"/>
  </cols>
  <sheetData>
    <row r="1" spans="1:46" ht="29" x14ac:dyDescent="0.3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3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3" t="s">
        <v>72</v>
      </c>
      <c r="AR1" s="3" t="s">
        <v>73</v>
      </c>
      <c r="AS1" s="3" t="s">
        <v>74</v>
      </c>
      <c r="AT1" s="5" t="s">
        <v>75</v>
      </c>
    </row>
    <row r="2" spans="1:46" ht="29" x14ac:dyDescent="0.35">
      <c r="A2" s="2" t="s">
        <v>76</v>
      </c>
      <c r="B2" s="2" t="s">
        <v>77</v>
      </c>
      <c r="C2" s="2" t="s">
        <v>78</v>
      </c>
      <c r="D2" s="2" t="s">
        <v>79</v>
      </c>
      <c r="E2" s="2" t="s">
        <v>79</v>
      </c>
      <c r="F2" s="2" t="s">
        <v>80</v>
      </c>
      <c r="G2" s="2" t="s">
        <v>81</v>
      </c>
      <c r="H2" s="4">
        <v>45544</v>
      </c>
      <c r="I2" s="2" t="s">
        <v>8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/>
      <c r="P2" s="2" t="s">
        <v>87</v>
      </c>
      <c r="Q2" s="2" t="s">
        <v>88</v>
      </c>
      <c r="R2" s="2" t="s">
        <v>89</v>
      </c>
      <c r="S2" s="2" t="s">
        <v>90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89</v>
      </c>
      <c r="AL2" s="2" t="s">
        <v>89</v>
      </c>
      <c r="AM2" s="2"/>
      <c r="AN2" s="2"/>
      <c r="AO2" s="2"/>
      <c r="AP2" s="2"/>
      <c r="AQ2" s="2"/>
      <c r="AR2" s="2" t="s">
        <v>91</v>
      </c>
      <c r="AS2" s="2"/>
      <c r="AT2" t="str">
        <f t="shared" ref="AT2:AT33" si="0">IF(VALUE(LEFT(AR2,FIND(",",AR2&amp;",")-1))&lt;=36,"UNIT 1",IF(VALUE(LEFT(AR2,FIND(",",AR2&amp;",")-1))&lt;=70,"UNIT 2",IF(VALUE(LEFT(AR2,FIND(",",AR2&amp;",")-1))&lt;=110,"UNIT 3","COMMON")))</f>
        <v>UNIT 1</v>
      </c>
    </row>
    <row r="3" spans="1:46" ht="29" x14ac:dyDescent="0.35">
      <c r="A3" s="2" t="s">
        <v>92</v>
      </c>
      <c r="B3" s="2" t="s">
        <v>93</v>
      </c>
      <c r="C3" s="2" t="s">
        <v>94</v>
      </c>
      <c r="D3" s="2" t="s">
        <v>79</v>
      </c>
      <c r="E3" s="2" t="s">
        <v>79</v>
      </c>
      <c r="F3" s="2" t="s">
        <v>80</v>
      </c>
      <c r="G3" s="2" t="s">
        <v>95</v>
      </c>
      <c r="H3" s="4">
        <v>45558</v>
      </c>
      <c r="I3" s="2" t="s">
        <v>11</v>
      </c>
      <c r="J3" s="2" t="s">
        <v>82</v>
      </c>
      <c r="K3" s="2" t="s">
        <v>83</v>
      </c>
      <c r="L3" s="2" t="s">
        <v>84</v>
      </c>
      <c r="M3" s="2" t="s">
        <v>85</v>
      </c>
      <c r="N3" s="2" t="s">
        <v>86</v>
      </c>
      <c r="O3" s="2"/>
      <c r="P3" s="2" t="s">
        <v>87</v>
      </c>
      <c r="Q3" s="2" t="s">
        <v>88</v>
      </c>
      <c r="R3" s="2" t="s">
        <v>89</v>
      </c>
      <c r="S3" s="2" t="s">
        <v>90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89</v>
      </c>
      <c r="AL3" s="2" t="s">
        <v>89</v>
      </c>
      <c r="AM3" s="2"/>
      <c r="AN3" s="2"/>
      <c r="AO3" s="2"/>
      <c r="AP3" s="2"/>
      <c r="AQ3" s="2"/>
      <c r="AR3" s="2" t="s">
        <v>96</v>
      </c>
      <c r="AS3" s="2"/>
      <c r="AT3" t="str">
        <f t="shared" si="0"/>
        <v>UNIT 1</v>
      </c>
    </row>
    <row r="4" spans="1:46" ht="29" x14ac:dyDescent="0.35">
      <c r="A4" s="2" t="s">
        <v>97</v>
      </c>
      <c r="B4" s="2" t="s">
        <v>98</v>
      </c>
      <c r="C4" s="2" t="s">
        <v>99</v>
      </c>
      <c r="D4" s="2" t="s">
        <v>79</v>
      </c>
      <c r="E4" s="2" t="s">
        <v>79</v>
      </c>
      <c r="F4" s="2" t="s">
        <v>80</v>
      </c>
      <c r="G4" s="2" t="s">
        <v>81</v>
      </c>
      <c r="H4" s="4">
        <v>45544</v>
      </c>
      <c r="I4" s="2" t="s">
        <v>8</v>
      </c>
      <c r="J4" s="2" t="s">
        <v>82</v>
      </c>
      <c r="K4" s="2" t="s">
        <v>83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87</v>
      </c>
      <c r="Q4" s="2" t="s">
        <v>104</v>
      </c>
      <c r="R4" s="2" t="s">
        <v>89</v>
      </c>
      <c r="S4" s="2" t="s">
        <v>90</v>
      </c>
      <c r="T4" s="2"/>
      <c r="U4" s="2"/>
      <c r="V4" s="2"/>
      <c r="W4" s="2"/>
      <c r="X4" s="2"/>
      <c r="Y4" s="2"/>
      <c r="Z4" s="2"/>
      <c r="AA4" s="2"/>
      <c r="AB4" s="2"/>
      <c r="AC4" s="2" t="s">
        <v>105</v>
      </c>
      <c r="AD4" s="2"/>
      <c r="AE4" s="2" t="s">
        <v>106</v>
      </c>
      <c r="AF4" s="2"/>
      <c r="AG4" s="2"/>
      <c r="AH4" s="2" t="s">
        <v>107</v>
      </c>
      <c r="AI4" s="2" t="s">
        <v>108</v>
      </c>
      <c r="AJ4" s="2" t="s">
        <v>89</v>
      </c>
      <c r="AK4" s="2" t="s">
        <v>89</v>
      </c>
      <c r="AL4" s="2" t="s">
        <v>89</v>
      </c>
      <c r="AM4" s="2" t="s">
        <v>89</v>
      </c>
      <c r="AN4" s="2"/>
      <c r="AO4" s="2"/>
      <c r="AP4" s="2"/>
      <c r="AQ4" s="2"/>
      <c r="AR4" s="2" t="s">
        <v>109</v>
      </c>
      <c r="AS4" s="2"/>
      <c r="AT4" t="str">
        <f t="shared" si="0"/>
        <v>UNIT 1</v>
      </c>
    </row>
    <row r="5" spans="1:46" ht="29" x14ac:dyDescent="0.35">
      <c r="A5" s="2" t="s">
        <v>110</v>
      </c>
      <c r="B5" s="2" t="s">
        <v>111</v>
      </c>
      <c r="C5" s="2" t="s">
        <v>112</v>
      </c>
      <c r="D5" s="2" t="s">
        <v>79</v>
      </c>
      <c r="E5" s="2" t="s">
        <v>79</v>
      </c>
      <c r="F5" s="2" t="s">
        <v>80</v>
      </c>
      <c r="G5" s="2" t="s">
        <v>95</v>
      </c>
      <c r="H5" s="4">
        <v>45558</v>
      </c>
      <c r="I5" s="2" t="s">
        <v>8</v>
      </c>
      <c r="J5" s="2" t="s">
        <v>82</v>
      </c>
      <c r="K5" s="2" t="s">
        <v>83</v>
      </c>
      <c r="L5" s="2" t="s">
        <v>100</v>
      </c>
      <c r="M5" s="2" t="s">
        <v>101</v>
      </c>
      <c r="N5" s="2" t="s">
        <v>102</v>
      </c>
      <c r="O5" s="2" t="s">
        <v>103</v>
      </c>
      <c r="P5" s="2" t="s">
        <v>87</v>
      </c>
      <c r="Q5" s="2" t="s">
        <v>104</v>
      </c>
      <c r="R5" s="2" t="s">
        <v>89</v>
      </c>
      <c r="S5" s="2" t="s">
        <v>90</v>
      </c>
      <c r="T5" s="2"/>
      <c r="U5" s="2"/>
      <c r="V5" s="2"/>
      <c r="W5" s="2"/>
      <c r="X5" s="2"/>
      <c r="Y5" s="2"/>
      <c r="Z5" s="2"/>
      <c r="AA5" s="2"/>
      <c r="AB5" s="2"/>
      <c r="AC5" s="2" t="s">
        <v>105</v>
      </c>
      <c r="AD5" s="2"/>
      <c r="AE5" s="2" t="s">
        <v>106</v>
      </c>
      <c r="AF5" s="2"/>
      <c r="AG5" s="2"/>
      <c r="AH5" s="2" t="s">
        <v>107</v>
      </c>
      <c r="AI5" s="2" t="s">
        <v>108</v>
      </c>
      <c r="AJ5" s="2" t="s">
        <v>89</v>
      </c>
      <c r="AK5" s="2" t="s">
        <v>89</v>
      </c>
      <c r="AL5" s="2" t="s">
        <v>89</v>
      </c>
      <c r="AM5" s="2" t="s">
        <v>89</v>
      </c>
      <c r="AN5" s="2"/>
      <c r="AO5" s="2"/>
      <c r="AP5" s="2"/>
      <c r="AQ5" s="2"/>
      <c r="AR5" s="2" t="s">
        <v>113</v>
      </c>
      <c r="AS5" s="2"/>
      <c r="AT5" t="str">
        <f t="shared" si="0"/>
        <v>UNIT 1</v>
      </c>
    </row>
    <row r="6" spans="1:46" ht="43.5" x14ac:dyDescent="0.35">
      <c r="A6" s="2" t="s">
        <v>114</v>
      </c>
      <c r="B6" s="2" t="s">
        <v>115</v>
      </c>
      <c r="C6" s="2" t="s">
        <v>116</v>
      </c>
      <c r="D6" s="2" t="s">
        <v>79</v>
      </c>
      <c r="E6" s="2" t="s">
        <v>79</v>
      </c>
      <c r="F6" s="2" t="s">
        <v>80</v>
      </c>
      <c r="G6" s="2" t="s">
        <v>81</v>
      </c>
      <c r="H6" s="4">
        <v>45544</v>
      </c>
      <c r="I6" s="2" t="s">
        <v>8</v>
      </c>
      <c r="J6" s="2" t="s">
        <v>82</v>
      </c>
      <c r="K6" s="2" t="s">
        <v>83</v>
      </c>
      <c r="L6" s="2" t="s">
        <v>100</v>
      </c>
      <c r="M6" s="2" t="s">
        <v>101</v>
      </c>
      <c r="N6" s="2" t="s">
        <v>102</v>
      </c>
      <c r="O6" s="2" t="s">
        <v>103</v>
      </c>
      <c r="P6" s="2" t="s">
        <v>87</v>
      </c>
      <c r="Q6" s="2" t="s">
        <v>104</v>
      </c>
      <c r="R6" s="2" t="s">
        <v>89</v>
      </c>
      <c r="S6" s="2" t="s">
        <v>90</v>
      </c>
      <c r="T6" s="2"/>
      <c r="U6" s="2"/>
      <c r="V6" s="2"/>
      <c r="W6" s="2"/>
      <c r="X6" s="2"/>
      <c r="Y6" s="2"/>
      <c r="Z6" s="2"/>
      <c r="AA6" s="2"/>
      <c r="AB6" s="2"/>
      <c r="AC6" s="2" t="s">
        <v>105</v>
      </c>
      <c r="AD6" s="2"/>
      <c r="AE6" s="2" t="s">
        <v>106</v>
      </c>
      <c r="AF6" s="2"/>
      <c r="AG6" s="2"/>
      <c r="AH6" s="2" t="s">
        <v>107</v>
      </c>
      <c r="AI6" s="2" t="s">
        <v>108</v>
      </c>
      <c r="AJ6" s="2" t="s">
        <v>89</v>
      </c>
      <c r="AK6" s="2" t="s">
        <v>89</v>
      </c>
      <c r="AL6" s="2" t="s">
        <v>89</v>
      </c>
      <c r="AM6" s="2" t="s">
        <v>89</v>
      </c>
      <c r="AN6" s="2"/>
      <c r="AO6" s="2"/>
      <c r="AP6" s="2"/>
      <c r="AQ6" s="2"/>
      <c r="AR6" s="2" t="s">
        <v>117</v>
      </c>
      <c r="AS6" s="2"/>
      <c r="AT6" t="str">
        <f t="shared" si="0"/>
        <v>UNIT 1</v>
      </c>
    </row>
    <row r="7" spans="1:46" ht="43.5" x14ac:dyDescent="0.35">
      <c r="A7" s="2" t="s">
        <v>118</v>
      </c>
      <c r="B7" s="2" t="s">
        <v>119</v>
      </c>
      <c r="C7" s="2" t="s">
        <v>120</v>
      </c>
      <c r="D7" s="2" t="s">
        <v>79</v>
      </c>
      <c r="E7" s="2" t="s">
        <v>79</v>
      </c>
      <c r="F7" s="2" t="s">
        <v>80</v>
      </c>
      <c r="G7" s="2" t="s">
        <v>95</v>
      </c>
      <c r="H7" s="4">
        <v>45558</v>
      </c>
      <c r="I7" s="2" t="s">
        <v>11</v>
      </c>
      <c r="J7" s="2" t="s">
        <v>82</v>
      </c>
      <c r="K7" s="2" t="s">
        <v>83</v>
      </c>
      <c r="L7" s="2" t="s">
        <v>100</v>
      </c>
      <c r="M7" s="2" t="s">
        <v>101</v>
      </c>
      <c r="N7" s="2" t="s">
        <v>102</v>
      </c>
      <c r="O7" s="2" t="s">
        <v>103</v>
      </c>
      <c r="P7" s="2" t="s">
        <v>87</v>
      </c>
      <c r="Q7" s="2" t="s">
        <v>104</v>
      </c>
      <c r="R7" s="2" t="s">
        <v>89</v>
      </c>
      <c r="S7" s="2" t="s">
        <v>90</v>
      </c>
      <c r="T7" s="2"/>
      <c r="U7" s="2"/>
      <c r="V7" s="2"/>
      <c r="W7" s="2"/>
      <c r="X7" s="2"/>
      <c r="Y7" s="2"/>
      <c r="Z7" s="2"/>
      <c r="AA7" s="2"/>
      <c r="AB7" s="2"/>
      <c r="AC7" s="2" t="s">
        <v>105</v>
      </c>
      <c r="AD7" s="2"/>
      <c r="AE7" s="2" t="s">
        <v>106</v>
      </c>
      <c r="AF7" s="2"/>
      <c r="AG7" s="2"/>
      <c r="AH7" s="2" t="s">
        <v>107</v>
      </c>
      <c r="AI7" s="2" t="s">
        <v>108</v>
      </c>
      <c r="AJ7" s="2" t="s">
        <v>89</v>
      </c>
      <c r="AK7" s="2" t="s">
        <v>89</v>
      </c>
      <c r="AL7" s="2" t="s">
        <v>89</v>
      </c>
      <c r="AM7" s="2" t="s">
        <v>89</v>
      </c>
      <c r="AN7" s="2"/>
      <c r="AO7" s="2"/>
      <c r="AP7" s="2"/>
      <c r="AQ7" s="2"/>
      <c r="AR7" s="2" t="s">
        <v>121</v>
      </c>
      <c r="AS7" s="2"/>
      <c r="AT7" t="str">
        <f t="shared" si="0"/>
        <v>UNIT 1</v>
      </c>
    </row>
    <row r="8" spans="1:46" ht="43.5" x14ac:dyDescent="0.35">
      <c r="A8" s="2" t="s">
        <v>122</v>
      </c>
      <c r="B8" s="2" t="s">
        <v>123</v>
      </c>
      <c r="C8" s="2" t="s">
        <v>124</v>
      </c>
      <c r="D8" s="2" t="s">
        <v>125</v>
      </c>
      <c r="E8" s="2" t="s">
        <v>125</v>
      </c>
      <c r="F8" s="2" t="s">
        <v>126</v>
      </c>
      <c r="G8" s="2" t="s">
        <v>81</v>
      </c>
      <c r="H8" s="4">
        <v>45544</v>
      </c>
      <c r="I8" s="2" t="s">
        <v>8</v>
      </c>
      <c r="J8" s="2" t="s">
        <v>127</v>
      </c>
      <c r="K8" s="2" t="s">
        <v>128</v>
      </c>
      <c r="L8" s="2" t="s">
        <v>129</v>
      </c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130</v>
      </c>
      <c r="X8" s="2" t="s">
        <v>131</v>
      </c>
      <c r="Y8" s="2" t="s">
        <v>132</v>
      </c>
      <c r="Z8" s="2"/>
      <c r="AA8" s="2" t="s">
        <v>133</v>
      </c>
      <c r="AB8" s="2" t="s">
        <v>134</v>
      </c>
      <c r="AC8" s="2"/>
      <c r="AD8" s="2" t="s">
        <v>129</v>
      </c>
      <c r="AE8" s="2" t="s">
        <v>133</v>
      </c>
      <c r="AF8" s="2"/>
      <c r="AG8" s="2"/>
      <c r="AH8" s="2"/>
      <c r="AI8" s="2"/>
      <c r="AJ8" s="2"/>
      <c r="AK8" s="2"/>
      <c r="AL8" s="2"/>
      <c r="AM8" s="2"/>
      <c r="AN8" s="2" t="s">
        <v>131</v>
      </c>
      <c r="AO8" s="2" t="s">
        <v>135</v>
      </c>
      <c r="AP8" s="2" t="s">
        <v>136</v>
      </c>
      <c r="AQ8" s="2" t="s">
        <v>137</v>
      </c>
      <c r="AR8" s="2" t="s">
        <v>138</v>
      </c>
      <c r="AS8" s="2"/>
      <c r="AT8" t="str">
        <f t="shared" si="0"/>
        <v>UNIT 1</v>
      </c>
    </row>
    <row r="9" spans="1:46" ht="43.5" x14ac:dyDescent="0.35">
      <c r="A9" s="2" t="s">
        <v>139</v>
      </c>
      <c r="B9" s="2" t="s">
        <v>140</v>
      </c>
      <c r="C9" s="2" t="s">
        <v>141</v>
      </c>
      <c r="D9" s="2" t="s">
        <v>142</v>
      </c>
      <c r="E9" s="2" t="s">
        <v>142</v>
      </c>
      <c r="F9" s="2" t="s">
        <v>143</v>
      </c>
      <c r="G9" s="2" t="s">
        <v>144</v>
      </c>
      <c r="H9" s="4">
        <v>45537</v>
      </c>
      <c r="I9" s="2" t="s">
        <v>11</v>
      </c>
      <c r="J9" s="2" t="s">
        <v>82</v>
      </c>
      <c r="K9" s="2" t="s">
        <v>145</v>
      </c>
      <c r="L9" s="2" t="s">
        <v>146</v>
      </c>
      <c r="M9" s="2" t="s">
        <v>147</v>
      </c>
      <c r="N9" s="2" t="s">
        <v>148</v>
      </c>
      <c r="O9" s="2" t="s">
        <v>89</v>
      </c>
      <c r="P9" s="2" t="s">
        <v>89</v>
      </c>
      <c r="Q9" s="2" t="s">
        <v>89</v>
      </c>
      <c r="R9" s="2" t="s">
        <v>89</v>
      </c>
      <c r="S9" s="2" t="s">
        <v>90</v>
      </c>
      <c r="T9" s="2"/>
      <c r="U9" s="2"/>
      <c r="V9" s="2"/>
      <c r="W9" s="2"/>
      <c r="X9" s="2"/>
      <c r="Y9" s="2"/>
      <c r="Z9" s="2"/>
      <c r="AA9" s="2"/>
      <c r="AB9" s="2"/>
      <c r="AC9" s="2" t="s">
        <v>149</v>
      </c>
      <c r="AD9" s="2"/>
      <c r="AE9" s="2" t="s">
        <v>150</v>
      </c>
      <c r="AF9" s="2" t="s">
        <v>151</v>
      </c>
      <c r="AG9" s="2" t="s">
        <v>152</v>
      </c>
      <c r="AH9" s="2"/>
      <c r="AI9" s="2"/>
      <c r="AJ9" s="2"/>
      <c r="AK9" s="2" t="s">
        <v>89</v>
      </c>
      <c r="AL9" s="2" t="s">
        <v>89</v>
      </c>
      <c r="AM9" s="2"/>
      <c r="AN9" s="2"/>
      <c r="AO9" s="2"/>
      <c r="AP9" s="2"/>
      <c r="AQ9" s="2"/>
      <c r="AR9" s="2" t="s">
        <v>153</v>
      </c>
      <c r="AS9" s="2"/>
      <c r="AT9" t="str">
        <f t="shared" si="0"/>
        <v>UNIT 1</v>
      </c>
    </row>
    <row r="10" spans="1:46" ht="29" x14ac:dyDescent="0.35">
      <c r="A10" s="2" t="s">
        <v>154</v>
      </c>
      <c r="B10" s="2" t="s">
        <v>155</v>
      </c>
      <c r="C10" s="2" t="s">
        <v>156</v>
      </c>
      <c r="D10" s="2" t="s">
        <v>142</v>
      </c>
      <c r="E10" s="2" t="s">
        <v>142</v>
      </c>
      <c r="F10" s="2" t="s">
        <v>143</v>
      </c>
      <c r="G10" s="2" t="s">
        <v>95</v>
      </c>
      <c r="H10" s="4">
        <v>45558</v>
      </c>
      <c r="I10" s="2" t="s">
        <v>8</v>
      </c>
      <c r="J10" s="2" t="s">
        <v>82</v>
      </c>
      <c r="K10" s="2" t="s">
        <v>145</v>
      </c>
      <c r="L10" s="2" t="s">
        <v>157</v>
      </c>
      <c r="M10" s="2" t="s">
        <v>158</v>
      </c>
      <c r="N10" s="2" t="s">
        <v>159</v>
      </c>
      <c r="O10" s="2"/>
      <c r="P10" s="2"/>
      <c r="Q10" s="2"/>
      <c r="R10" s="2" t="s">
        <v>89</v>
      </c>
      <c r="S10" s="2" t="s">
        <v>90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89</v>
      </c>
      <c r="AL10" s="2" t="s">
        <v>89</v>
      </c>
      <c r="AM10" s="2"/>
      <c r="AN10" s="2"/>
      <c r="AO10" s="2"/>
      <c r="AP10" s="2"/>
      <c r="AQ10" s="2"/>
      <c r="AR10" s="2" t="s">
        <v>160</v>
      </c>
      <c r="AS10" s="2"/>
      <c r="AT10" t="str">
        <f t="shared" si="0"/>
        <v>UNIT 1</v>
      </c>
    </row>
    <row r="11" spans="1:46" ht="29" x14ac:dyDescent="0.35">
      <c r="A11" s="2" t="s">
        <v>161</v>
      </c>
      <c r="B11" s="2" t="s">
        <v>162</v>
      </c>
      <c r="C11" s="2" t="s">
        <v>163</v>
      </c>
      <c r="D11" s="2" t="s">
        <v>142</v>
      </c>
      <c r="E11" s="2" t="s">
        <v>142</v>
      </c>
      <c r="F11" s="2" t="s">
        <v>143</v>
      </c>
      <c r="G11" s="2" t="s">
        <v>95</v>
      </c>
      <c r="H11" s="4">
        <v>45558</v>
      </c>
      <c r="I11" s="2" t="s">
        <v>8</v>
      </c>
      <c r="J11" s="2" t="s">
        <v>82</v>
      </c>
      <c r="K11" s="2" t="s">
        <v>145</v>
      </c>
      <c r="L11" s="2" t="s">
        <v>157</v>
      </c>
      <c r="M11" s="2" t="s">
        <v>158</v>
      </c>
      <c r="N11" s="2" t="s">
        <v>159</v>
      </c>
      <c r="O11" s="2"/>
      <c r="P11" s="2"/>
      <c r="Q11" s="2"/>
      <c r="R11" s="2" t="s">
        <v>89</v>
      </c>
      <c r="S11" s="2" t="s">
        <v>90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89</v>
      </c>
      <c r="AL11" s="2" t="s">
        <v>89</v>
      </c>
      <c r="AM11" s="2"/>
      <c r="AN11" s="2"/>
      <c r="AO11" s="2"/>
      <c r="AP11" s="2"/>
      <c r="AQ11" s="2"/>
      <c r="AR11" s="2" t="s">
        <v>136</v>
      </c>
      <c r="AS11" s="2"/>
      <c r="AT11" t="str">
        <f t="shared" si="0"/>
        <v>UNIT 1</v>
      </c>
    </row>
    <row r="12" spans="1:46" ht="58" x14ac:dyDescent="0.35">
      <c r="A12" s="2" t="s">
        <v>164</v>
      </c>
      <c r="B12" s="2" t="s">
        <v>165</v>
      </c>
      <c r="C12" s="2" t="s">
        <v>166</v>
      </c>
      <c r="D12" s="2" t="s">
        <v>79</v>
      </c>
      <c r="E12" s="2" t="s">
        <v>79</v>
      </c>
      <c r="F12" s="2" t="s">
        <v>143</v>
      </c>
      <c r="G12" s="2" t="s">
        <v>144</v>
      </c>
      <c r="H12" s="4">
        <v>45537</v>
      </c>
      <c r="I12" s="2" t="s">
        <v>8</v>
      </c>
      <c r="J12" s="2" t="s">
        <v>82</v>
      </c>
      <c r="K12" s="2" t="s">
        <v>145</v>
      </c>
      <c r="L12" s="2" t="s">
        <v>167</v>
      </c>
      <c r="M12" s="2" t="s">
        <v>168</v>
      </c>
      <c r="N12" s="2" t="s">
        <v>169</v>
      </c>
      <c r="O12" s="2"/>
      <c r="P12" s="2" t="s">
        <v>170</v>
      </c>
      <c r="Q12" s="2" t="s">
        <v>171</v>
      </c>
      <c r="R12" s="2" t="s">
        <v>89</v>
      </c>
      <c r="S12" s="2" t="s">
        <v>90</v>
      </c>
      <c r="T12" s="2"/>
      <c r="U12" s="2"/>
      <c r="V12" s="2"/>
      <c r="W12" s="2"/>
      <c r="X12" s="2"/>
      <c r="Y12" s="2"/>
      <c r="Z12" s="2"/>
      <c r="AA12" s="2"/>
      <c r="AB12" s="2"/>
      <c r="AC12" s="2" t="s">
        <v>172</v>
      </c>
      <c r="AD12" s="2"/>
      <c r="AE12" s="2" t="s">
        <v>168</v>
      </c>
      <c r="AF12" s="2"/>
      <c r="AG12" s="2" t="s">
        <v>173</v>
      </c>
      <c r="AH12" s="2"/>
      <c r="AI12" s="2"/>
      <c r="AJ12" s="2"/>
      <c r="AK12" s="2" t="s">
        <v>89</v>
      </c>
      <c r="AL12" s="2" t="s">
        <v>89</v>
      </c>
      <c r="AM12" s="2"/>
      <c r="AN12" s="2"/>
      <c r="AO12" s="2"/>
      <c r="AP12" s="2"/>
      <c r="AQ12" s="2"/>
      <c r="AR12" s="2" t="s">
        <v>174</v>
      </c>
      <c r="AS12" s="2"/>
      <c r="AT12" t="str">
        <f t="shared" si="0"/>
        <v>UNIT 1</v>
      </c>
    </row>
    <row r="13" spans="1:46" ht="29" x14ac:dyDescent="0.35">
      <c r="A13" s="2" t="s">
        <v>175</v>
      </c>
      <c r="B13" s="2" t="s">
        <v>176</v>
      </c>
      <c r="C13" s="2" t="s">
        <v>177</v>
      </c>
      <c r="D13" s="2" t="s">
        <v>142</v>
      </c>
      <c r="E13" s="2" t="s">
        <v>142</v>
      </c>
      <c r="F13" s="2" t="s">
        <v>143</v>
      </c>
      <c r="G13" s="2" t="s">
        <v>81</v>
      </c>
      <c r="H13" s="4">
        <v>45545</v>
      </c>
      <c r="I13" s="2" t="s">
        <v>11</v>
      </c>
      <c r="J13" s="2" t="s">
        <v>82</v>
      </c>
      <c r="K13" s="2" t="s">
        <v>145</v>
      </c>
      <c r="L13" s="2" t="s">
        <v>178</v>
      </c>
      <c r="M13" s="2" t="s">
        <v>158</v>
      </c>
      <c r="N13" s="2" t="s">
        <v>148</v>
      </c>
      <c r="O13" s="2" t="s">
        <v>89</v>
      </c>
      <c r="P13" s="2" t="s">
        <v>89</v>
      </c>
      <c r="Q13" s="2" t="s">
        <v>89</v>
      </c>
      <c r="R13" s="2" t="s">
        <v>89</v>
      </c>
      <c r="S13" s="2" t="s">
        <v>90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89</v>
      </c>
      <c r="AL13" s="2" t="s">
        <v>89</v>
      </c>
      <c r="AM13" s="2"/>
      <c r="AN13" s="2"/>
      <c r="AO13" s="2"/>
      <c r="AP13" s="2"/>
      <c r="AQ13" s="2"/>
      <c r="AR13" s="2" t="s">
        <v>179</v>
      </c>
      <c r="AS13" s="2"/>
      <c r="AT13" t="str">
        <f t="shared" si="0"/>
        <v>UNIT 1</v>
      </c>
    </row>
    <row r="14" spans="1:46" ht="29" x14ac:dyDescent="0.35">
      <c r="A14" s="2" t="s">
        <v>180</v>
      </c>
      <c r="B14" s="2" t="s">
        <v>181</v>
      </c>
      <c r="C14" s="2" t="s">
        <v>182</v>
      </c>
      <c r="D14" s="2" t="s">
        <v>142</v>
      </c>
      <c r="E14" s="2" t="s">
        <v>142</v>
      </c>
      <c r="F14" s="2" t="s">
        <v>143</v>
      </c>
      <c r="G14" s="2" t="s">
        <v>95</v>
      </c>
      <c r="H14" s="4">
        <v>45559</v>
      </c>
      <c r="I14" s="2" t="s">
        <v>8</v>
      </c>
      <c r="J14" s="2" t="s">
        <v>82</v>
      </c>
      <c r="K14" s="2" t="s">
        <v>145</v>
      </c>
      <c r="L14" s="2" t="s">
        <v>178</v>
      </c>
      <c r="M14" s="2" t="s">
        <v>158</v>
      </c>
      <c r="N14" s="2" t="s">
        <v>148</v>
      </c>
      <c r="O14" s="2"/>
      <c r="P14" s="2"/>
      <c r="Q14" s="2"/>
      <c r="R14" s="2" t="s">
        <v>89</v>
      </c>
      <c r="S14" s="2" t="s">
        <v>90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89</v>
      </c>
      <c r="AL14" s="2" t="s">
        <v>89</v>
      </c>
      <c r="AM14" s="2"/>
      <c r="AN14" s="2"/>
      <c r="AO14" s="2"/>
      <c r="AP14" s="2"/>
      <c r="AQ14" s="2"/>
      <c r="AR14" s="2" t="s">
        <v>183</v>
      </c>
      <c r="AS14" s="2"/>
      <c r="AT14" t="str">
        <f t="shared" si="0"/>
        <v>UNIT 1</v>
      </c>
    </row>
    <row r="15" spans="1:46" ht="29" x14ac:dyDescent="0.35">
      <c r="A15" s="2" t="s">
        <v>184</v>
      </c>
      <c r="B15" s="2" t="s">
        <v>185</v>
      </c>
      <c r="C15" s="2" t="s">
        <v>186</v>
      </c>
      <c r="D15" s="2" t="s">
        <v>187</v>
      </c>
      <c r="E15" s="2" t="s">
        <v>79</v>
      </c>
      <c r="F15" s="2" t="s">
        <v>143</v>
      </c>
      <c r="G15" s="2" t="s">
        <v>95</v>
      </c>
      <c r="H15" s="4">
        <v>45559</v>
      </c>
      <c r="I15" s="2" t="s">
        <v>11</v>
      </c>
      <c r="J15" s="2" t="s">
        <v>82</v>
      </c>
      <c r="K15" s="2" t="s">
        <v>145</v>
      </c>
      <c r="L15" s="2" t="s">
        <v>188</v>
      </c>
      <c r="M15" s="2" t="s">
        <v>189</v>
      </c>
      <c r="N15" s="2" t="s">
        <v>190</v>
      </c>
      <c r="O15" s="2"/>
      <c r="P15" s="2"/>
      <c r="Q15" s="2"/>
      <c r="R15" s="2" t="s">
        <v>89</v>
      </c>
      <c r="S15" s="2" t="s">
        <v>90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s">
        <v>191</v>
      </c>
      <c r="AS15" s="2" t="s">
        <v>192</v>
      </c>
      <c r="AT15" t="str">
        <f t="shared" si="0"/>
        <v>UNIT 1</v>
      </c>
    </row>
    <row r="16" spans="1:46" ht="29" x14ac:dyDescent="0.35">
      <c r="A16" s="2" t="s">
        <v>193</v>
      </c>
      <c r="B16" s="2" t="s">
        <v>194</v>
      </c>
      <c r="C16" s="2" t="s">
        <v>195</v>
      </c>
      <c r="D16" s="2" t="s">
        <v>187</v>
      </c>
      <c r="E16" s="2" t="s">
        <v>79</v>
      </c>
      <c r="F16" s="2" t="s">
        <v>143</v>
      </c>
      <c r="G16" s="2" t="s">
        <v>81</v>
      </c>
      <c r="H16" s="4">
        <v>45545</v>
      </c>
      <c r="I16" s="2" t="s">
        <v>8</v>
      </c>
      <c r="J16" s="2" t="s">
        <v>82</v>
      </c>
      <c r="K16" s="2" t="s">
        <v>145</v>
      </c>
      <c r="L16" s="2" t="s">
        <v>188</v>
      </c>
      <c r="M16" s="2" t="s">
        <v>189</v>
      </c>
      <c r="N16" s="2" t="s">
        <v>190</v>
      </c>
      <c r="O16" s="2"/>
      <c r="P16" s="2"/>
      <c r="Q16" s="2"/>
      <c r="R16" s="2" t="s">
        <v>89</v>
      </c>
      <c r="S16" s="2" t="s">
        <v>90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 t="s">
        <v>196</v>
      </c>
      <c r="AS16" s="2" t="s">
        <v>192</v>
      </c>
      <c r="AT16" t="str">
        <f t="shared" si="0"/>
        <v>UNIT 1</v>
      </c>
    </row>
    <row r="17" spans="1:46" ht="29" x14ac:dyDescent="0.35">
      <c r="A17" s="2" t="s">
        <v>197</v>
      </c>
      <c r="B17" s="2" t="s">
        <v>198</v>
      </c>
      <c r="C17" s="2" t="s">
        <v>199</v>
      </c>
      <c r="D17" s="2" t="s">
        <v>142</v>
      </c>
      <c r="E17" s="2" t="s">
        <v>142</v>
      </c>
      <c r="F17" s="2" t="s">
        <v>143</v>
      </c>
      <c r="G17" s="2" t="s">
        <v>81</v>
      </c>
      <c r="H17" s="4">
        <v>45545</v>
      </c>
      <c r="I17" s="2" t="s">
        <v>11</v>
      </c>
      <c r="J17" s="2" t="s">
        <v>82</v>
      </c>
      <c r="K17" s="2" t="s">
        <v>145</v>
      </c>
      <c r="L17" s="2" t="s">
        <v>200</v>
      </c>
      <c r="M17" s="2" t="s">
        <v>201</v>
      </c>
      <c r="N17" s="2" t="s">
        <v>202</v>
      </c>
      <c r="O17" s="2" t="s">
        <v>103</v>
      </c>
      <c r="P17" s="2" t="s">
        <v>203</v>
      </c>
      <c r="Q17" s="2" t="s">
        <v>204</v>
      </c>
      <c r="R17" s="2" t="s">
        <v>89</v>
      </c>
      <c r="S17" s="2" t="s">
        <v>90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205</v>
      </c>
      <c r="AD17" s="2"/>
      <c r="AE17" s="2" t="s">
        <v>201</v>
      </c>
      <c r="AF17" s="2" t="s">
        <v>206</v>
      </c>
      <c r="AG17" s="2" t="s">
        <v>207</v>
      </c>
      <c r="AH17" s="2"/>
      <c r="AI17" s="2"/>
      <c r="AJ17" s="2"/>
      <c r="AK17" s="2" t="s">
        <v>89</v>
      </c>
      <c r="AL17" s="2" t="s">
        <v>89</v>
      </c>
      <c r="AM17" s="2"/>
      <c r="AN17" s="2"/>
      <c r="AO17" s="2"/>
      <c r="AP17" s="2"/>
      <c r="AQ17" s="2"/>
      <c r="AR17" s="2" t="s">
        <v>208</v>
      </c>
      <c r="AS17" s="2"/>
      <c r="AT17" t="str">
        <f t="shared" si="0"/>
        <v>UNIT 1</v>
      </c>
    </row>
    <row r="18" spans="1:46" ht="29" x14ac:dyDescent="0.35">
      <c r="A18" s="2" t="s">
        <v>209</v>
      </c>
      <c r="B18" s="2" t="s">
        <v>210</v>
      </c>
      <c r="C18" s="2" t="s">
        <v>211</v>
      </c>
      <c r="D18" s="2" t="s">
        <v>142</v>
      </c>
      <c r="E18" s="2" t="s">
        <v>142</v>
      </c>
      <c r="F18" s="2" t="s">
        <v>143</v>
      </c>
      <c r="G18" s="2" t="s">
        <v>95</v>
      </c>
      <c r="H18" s="4">
        <v>45559</v>
      </c>
      <c r="I18" s="2" t="s">
        <v>8</v>
      </c>
      <c r="J18" s="2" t="s">
        <v>82</v>
      </c>
      <c r="K18" s="2" t="s">
        <v>145</v>
      </c>
      <c r="L18" s="2"/>
      <c r="M18" s="2" t="s">
        <v>212</v>
      </c>
      <c r="N18" s="2" t="s">
        <v>213</v>
      </c>
      <c r="O18" s="2"/>
      <c r="P18" s="2"/>
      <c r="Q18" s="2"/>
      <c r="R18" s="2" t="s">
        <v>89</v>
      </c>
      <c r="S18" s="2" t="s">
        <v>90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89</v>
      </c>
      <c r="AL18" s="2" t="s">
        <v>89</v>
      </c>
      <c r="AM18" s="2"/>
      <c r="AN18" s="2"/>
      <c r="AO18" s="2"/>
      <c r="AP18" s="2"/>
      <c r="AQ18" s="2"/>
      <c r="AR18" s="2" t="s">
        <v>214</v>
      </c>
      <c r="AS18" s="2"/>
      <c r="AT18" t="str">
        <f t="shared" si="0"/>
        <v>UNIT 1</v>
      </c>
    </row>
    <row r="19" spans="1:46" ht="29" x14ac:dyDescent="0.35">
      <c r="A19" s="2" t="s">
        <v>215</v>
      </c>
      <c r="B19" s="2" t="s">
        <v>216</v>
      </c>
      <c r="C19" s="2"/>
      <c r="D19" s="2" t="s">
        <v>142</v>
      </c>
      <c r="E19" s="2" t="s">
        <v>142</v>
      </c>
      <c r="F19" s="2" t="s">
        <v>143</v>
      </c>
      <c r="G19" s="2" t="s">
        <v>217</v>
      </c>
      <c r="H19" s="4">
        <v>45551</v>
      </c>
      <c r="I19" s="2" t="s">
        <v>11</v>
      </c>
      <c r="J19" s="2" t="s">
        <v>82</v>
      </c>
      <c r="K19" s="2" t="s">
        <v>145</v>
      </c>
      <c r="L19" s="2" t="s">
        <v>157</v>
      </c>
      <c r="M19" s="2" t="s">
        <v>158</v>
      </c>
      <c r="N19" s="2" t="s">
        <v>159</v>
      </c>
      <c r="O19" s="2"/>
      <c r="P19" s="2"/>
      <c r="Q19" s="2"/>
      <c r="R19" s="2" t="s">
        <v>89</v>
      </c>
      <c r="S19" s="2" t="s">
        <v>90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89</v>
      </c>
      <c r="AL19" s="2" t="s">
        <v>89</v>
      </c>
      <c r="AM19" s="2"/>
      <c r="AN19" s="2"/>
      <c r="AO19" s="2"/>
      <c r="AP19" s="2"/>
      <c r="AQ19" s="2"/>
      <c r="AR19" s="2" t="s">
        <v>218</v>
      </c>
      <c r="AS19" s="2" t="s">
        <v>219</v>
      </c>
      <c r="AT19" t="str">
        <f t="shared" si="0"/>
        <v>UNIT 1</v>
      </c>
    </row>
    <row r="20" spans="1:46" ht="29" x14ac:dyDescent="0.35">
      <c r="A20" s="2" t="s">
        <v>220</v>
      </c>
      <c r="B20" s="2" t="s">
        <v>221</v>
      </c>
      <c r="C20" s="2" t="s">
        <v>222</v>
      </c>
      <c r="D20" s="2" t="s">
        <v>79</v>
      </c>
      <c r="E20" s="2" t="s">
        <v>79</v>
      </c>
      <c r="F20" s="2" t="s">
        <v>80</v>
      </c>
      <c r="G20" s="2" t="s">
        <v>95</v>
      </c>
      <c r="H20" s="4">
        <v>45559</v>
      </c>
      <c r="I20" s="2" t="s">
        <v>8</v>
      </c>
      <c r="J20" s="2" t="s">
        <v>82</v>
      </c>
      <c r="K20" s="2" t="s">
        <v>83</v>
      </c>
      <c r="L20" s="2" t="s">
        <v>84</v>
      </c>
      <c r="M20" s="2" t="s">
        <v>85</v>
      </c>
      <c r="N20" s="2" t="s">
        <v>86</v>
      </c>
      <c r="O20" s="2"/>
      <c r="P20" s="2" t="s">
        <v>87</v>
      </c>
      <c r="Q20" s="2" t="s">
        <v>88</v>
      </c>
      <c r="R20" s="2" t="s">
        <v>89</v>
      </c>
      <c r="S20" s="2" t="s">
        <v>90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89</v>
      </c>
      <c r="AL20" s="2" t="s">
        <v>89</v>
      </c>
      <c r="AM20" s="2"/>
      <c r="AN20" s="2"/>
      <c r="AO20" s="2"/>
      <c r="AP20" s="2"/>
      <c r="AQ20" s="2"/>
      <c r="AR20" s="2" t="s">
        <v>223</v>
      </c>
      <c r="AS20" s="2"/>
      <c r="AT20" t="str">
        <f t="shared" si="0"/>
        <v>UNIT 2</v>
      </c>
    </row>
    <row r="21" spans="1:46" ht="29" x14ac:dyDescent="0.35">
      <c r="A21" s="2" t="s">
        <v>224</v>
      </c>
      <c r="B21" s="2" t="s">
        <v>225</v>
      </c>
      <c r="C21" s="2" t="s">
        <v>226</v>
      </c>
      <c r="D21" s="2" t="s">
        <v>79</v>
      </c>
      <c r="E21" s="2" t="s">
        <v>79</v>
      </c>
      <c r="F21" s="2" t="s">
        <v>80</v>
      </c>
      <c r="G21" s="2" t="s">
        <v>81</v>
      </c>
      <c r="H21" s="4">
        <v>45545</v>
      </c>
      <c r="I21" s="2" t="s">
        <v>11</v>
      </c>
      <c r="J21" s="2" t="s">
        <v>82</v>
      </c>
      <c r="K21" s="2" t="s">
        <v>83</v>
      </c>
      <c r="L21" s="2" t="s">
        <v>84</v>
      </c>
      <c r="M21" s="2" t="s">
        <v>85</v>
      </c>
      <c r="N21" s="2" t="s">
        <v>86</v>
      </c>
      <c r="O21" s="2"/>
      <c r="P21" s="2" t="s">
        <v>87</v>
      </c>
      <c r="Q21" s="2" t="s">
        <v>88</v>
      </c>
      <c r="R21" s="2" t="s">
        <v>89</v>
      </c>
      <c r="S21" s="2" t="s">
        <v>90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">
        <v>89</v>
      </c>
      <c r="AL21" s="2" t="s">
        <v>89</v>
      </c>
      <c r="AM21" s="2"/>
      <c r="AN21" s="2"/>
      <c r="AO21" s="2"/>
      <c r="AP21" s="2"/>
      <c r="AQ21" s="2"/>
      <c r="AR21" s="2" t="s">
        <v>227</v>
      </c>
      <c r="AS21" s="2"/>
      <c r="AT21" t="str">
        <f t="shared" si="0"/>
        <v>UNIT 2</v>
      </c>
    </row>
    <row r="22" spans="1:46" ht="29" x14ac:dyDescent="0.35">
      <c r="A22" s="2" t="s">
        <v>228</v>
      </c>
      <c r="B22" s="2" t="s">
        <v>229</v>
      </c>
      <c r="C22" s="2" t="s">
        <v>230</v>
      </c>
      <c r="D22" s="2" t="s">
        <v>79</v>
      </c>
      <c r="E22" s="2" t="s">
        <v>79</v>
      </c>
      <c r="F22" s="2" t="s">
        <v>80</v>
      </c>
      <c r="G22" s="2" t="s">
        <v>95</v>
      </c>
      <c r="H22" s="4">
        <v>45560</v>
      </c>
      <c r="I22" s="2" t="s">
        <v>8</v>
      </c>
      <c r="J22" s="2" t="s">
        <v>82</v>
      </c>
      <c r="K22" s="2" t="s">
        <v>83</v>
      </c>
      <c r="L22" s="2" t="s">
        <v>100</v>
      </c>
      <c r="M22" s="2" t="s">
        <v>101</v>
      </c>
      <c r="N22" s="2" t="s">
        <v>102</v>
      </c>
      <c r="O22" s="2" t="s">
        <v>103</v>
      </c>
      <c r="P22" s="2" t="s">
        <v>87</v>
      </c>
      <c r="Q22" s="2" t="s">
        <v>104</v>
      </c>
      <c r="R22" s="2" t="s">
        <v>89</v>
      </c>
      <c r="S22" s="2" t="s">
        <v>90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105</v>
      </c>
      <c r="AD22" s="2"/>
      <c r="AE22" s="2" t="s">
        <v>106</v>
      </c>
      <c r="AF22" s="2"/>
      <c r="AG22" s="2"/>
      <c r="AH22" s="2" t="s">
        <v>107</v>
      </c>
      <c r="AI22" s="2" t="s">
        <v>108</v>
      </c>
      <c r="AJ22" s="2" t="s">
        <v>89</v>
      </c>
      <c r="AK22" s="2" t="s">
        <v>89</v>
      </c>
      <c r="AL22" s="2" t="s">
        <v>89</v>
      </c>
      <c r="AM22" s="2" t="s">
        <v>89</v>
      </c>
      <c r="AN22" s="2"/>
      <c r="AO22" s="2"/>
      <c r="AP22" s="2"/>
      <c r="AQ22" s="2"/>
      <c r="AR22" s="2" t="s">
        <v>231</v>
      </c>
      <c r="AS22" s="2"/>
      <c r="AT22" t="str">
        <f t="shared" si="0"/>
        <v>UNIT 2</v>
      </c>
    </row>
    <row r="23" spans="1:46" ht="29" x14ac:dyDescent="0.35">
      <c r="A23" s="2" t="s">
        <v>232</v>
      </c>
      <c r="B23" s="2" t="s">
        <v>233</v>
      </c>
      <c r="C23" s="2" t="s">
        <v>234</v>
      </c>
      <c r="D23" s="2" t="s">
        <v>79</v>
      </c>
      <c r="E23" s="2" t="s">
        <v>79</v>
      </c>
      <c r="F23" s="2" t="s">
        <v>80</v>
      </c>
      <c r="G23" s="2" t="s">
        <v>81</v>
      </c>
      <c r="H23" s="4">
        <v>45546</v>
      </c>
      <c r="I23" s="2" t="s">
        <v>8</v>
      </c>
      <c r="J23" s="2" t="s">
        <v>82</v>
      </c>
      <c r="K23" s="2" t="s">
        <v>83</v>
      </c>
      <c r="L23" s="2" t="s">
        <v>100</v>
      </c>
      <c r="M23" s="2" t="s">
        <v>101</v>
      </c>
      <c r="N23" s="2" t="s">
        <v>102</v>
      </c>
      <c r="O23" s="2" t="s">
        <v>103</v>
      </c>
      <c r="P23" s="2" t="s">
        <v>87</v>
      </c>
      <c r="Q23" s="2" t="s">
        <v>104</v>
      </c>
      <c r="R23" s="2" t="s">
        <v>89</v>
      </c>
      <c r="S23" s="2" t="s">
        <v>90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105</v>
      </c>
      <c r="AD23" s="2"/>
      <c r="AE23" s="2" t="s">
        <v>106</v>
      </c>
      <c r="AF23" s="2"/>
      <c r="AG23" s="2"/>
      <c r="AH23" s="2" t="s">
        <v>107</v>
      </c>
      <c r="AI23" s="2" t="s">
        <v>108</v>
      </c>
      <c r="AJ23" s="2" t="s">
        <v>89</v>
      </c>
      <c r="AK23" s="2" t="s">
        <v>89</v>
      </c>
      <c r="AL23" s="2" t="s">
        <v>89</v>
      </c>
      <c r="AM23" s="2" t="s">
        <v>89</v>
      </c>
      <c r="AN23" s="2"/>
      <c r="AO23" s="2"/>
      <c r="AP23" s="2"/>
      <c r="AQ23" s="2"/>
      <c r="AR23" s="2" t="s">
        <v>235</v>
      </c>
      <c r="AS23" s="2"/>
      <c r="AT23" t="str">
        <f t="shared" si="0"/>
        <v>UNIT 2</v>
      </c>
    </row>
    <row r="24" spans="1:46" ht="43.5" x14ac:dyDescent="0.35">
      <c r="A24" s="2" t="s">
        <v>236</v>
      </c>
      <c r="B24" s="2" t="s">
        <v>237</v>
      </c>
      <c r="C24" s="2" t="s">
        <v>238</v>
      </c>
      <c r="D24" s="2" t="s">
        <v>79</v>
      </c>
      <c r="E24" s="2" t="s">
        <v>79</v>
      </c>
      <c r="F24" s="2" t="s">
        <v>80</v>
      </c>
      <c r="G24" s="2" t="s">
        <v>95</v>
      </c>
      <c r="H24" s="4">
        <v>45560</v>
      </c>
      <c r="I24" s="2" t="s">
        <v>11</v>
      </c>
      <c r="J24" s="2" t="s">
        <v>82</v>
      </c>
      <c r="K24" s="2" t="s">
        <v>83</v>
      </c>
      <c r="L24" s="2" t="s">
        <v>100</v>
      </c>
      <c r="M24" s="2" t="s">
        <v>101</v>
      </c>
      <c r="N24" s="2" t="s">
        <v>102</v>
      </c>
      <c r="O24" s="2" t="s">
        <v>103</v>
      </c>
      <c r="P24" s="2" t="s">
        <v>87</v>
      </c>
      <c r="Q24" s="2" t="s">
        <v>104</v>
      </c>
      <c r="R24" s="2" t="s">
        <v>89</v>
      </c>
      <c r="S24" s="2" t="s">
        <v>90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105</v>
      </c>
      <c r="AD24" s="2"/>
      <c r="AE24" s="2" t="s">
        <v>106</v>
      </c>
      <c r="AF24" s="2"/>
      <c r="AG24" s="2"/>
      <c r="AH24" s="2" t="s">
        <v>107</v>
      </c>
      <c r="AI24" s="2" t="s">
        <v>108</v>
      </c>
      <c r="AJ24" s="2" t="s">
        <v>89</v>
      </c>
      <c r="AK24" s="2" t="s">
        <v>89</v>
      </c>
      <c r="AL24" s="2" t="s">
        <v>89</v>
      </c>
      <c r="AM24" s="2" t="s">
        <v>89</v>
      </c>
      <c r="AN24" s="2"/>
      <c r="AO24" s="2"/>
      <c r="AP24" s="2"/>
      <c r="AQ24" s="2"/>
      <c r="AR24" s="2" t="s">
        <v>239</v>
      </c>
      <c r="AS24" s="2"/>
      <c r="AT24" t="str">
        <f t="shared" si="0"/>
        <v>UNIT 2</v>
      </c>
    </row>
    <row r="25" spans="1:46" ht="43.5" x14ac:dyDescent="0.35">
      <c r="A25" s="2" t="s">
        <v>240</v>
      </c>
      <c r="B25" s="2" t="s">
        <v>241</v>
      </c>
      <c r="C25" s="2" t="s">
        <v>242</v>
      </c>
      <c r="D25" s="2" t="s">
        <v>79</v>
      </c>
      <c r="E25" s="2" t="s">
        <v>79</v>
      </c>
      <c r="F25" s="2" t="s">
        <v>80</v>
      </c>
      <c r="G25" s="2" t="s">
        <v>81</v>
      </c>
      <c r="H25" s="4">
        <v>45546</v>
      </c>
      <c r="I25" s="2" t="s">
        <v>8</v>
      </c>
      <c r="J25" s="2" t="s">
        <v>82</v>
      </c>
      <c r="K25" s="2" t="s">
        <v>83</v>
      </c>
      <c r="L25" s="2" t="s">
        <v>100</v>
      </c>
      <c r="M25" s="2" t="s">
        <v>101</v>
      </c>
      <c r="N25" s="2" t="s">
        <v>102</v>
      </c>
      <c r="O25" s="2" t="s">
        <v>103</v>
      </c>
      <c r="P25" s="2" t="s">
        <v>87</v>
      </c>
      <c r="Q25" s="2" t="s">
        <v>104</v>
      </c>
      <c r="R25" s="2" t="s">
        <v>89</v>
      </c>
      <c r="S25" s="2" t="s">
        <v>90</v>
      </c>
      <c r="T25" s="2"/>
      <c r="U25" s="2"/>
      <c r="V25" s="2"/>
      <c r="W25" s="2"/>
      <c r="X25" s="2"/>
      <c r="Y25" s="2"/>
      <c r="Z25" s="2"/>
      <c r="AA25" s="2"/>
      <c r="AB25" s="2"/>
      <c r="AC25" s="2" t="s">
        <v>105</v>
      </c>
      <c r="AD25" s="2"/>
      <c r="AE25" s="2" t="s">
        <v>106</v>
      </c>
      <c r="AF25" s="2"/>
      <c r="AG25" s="2"/>
      <c r="AH25" s="2" t="s">
        <v>107</v>
      </c>
      <c r="AI25" s="2" t="s">
        <v>108</v>
      </c>
      <c r="AJ25" s="2" t="s">
        <v>89</v>
      </c>
      <c r="AK25" s="2" t="s">
        <v>89</v>
      </c>
      <c r="AL25" s="2" t="s">
        <v>89</v>
      </c>
      <c r="AM25" s="2" t="s">
        <v>89</v>
      </c>
      <c r="AN25" s="2"/>
      <c r="AO25" s="2"/>
      <c r="AP25" s="2"/>
      <c r="AQ25" s="2"/>
      <c r="AR25" s="2" t="s">
        <v>243</v>
      </c>
      <c r="AS25" s="2"/>
      <c r="AT25" t="str">
        <f t="shared" si="0"/>
        <v>UNIT 2</v>
      </c>
    </row>
    <row r="26" spans="1:46" ht="43.5" x14ac:dyDescent="0.35">
      <c r="A26" s="2" t="s">
        <v>244</v>
      </c>
      <c r="B26" s="2" t="s">
        <v>245</v>
      </c>
      <c r="C26" s="2" t="s">
        <v>246</v>
      </c>
      <c r="D26" s="2" t="s">
        <v>125</v>
      </c>
      <c r="E26" s="2" t="s">
        <v>125</v>
      </c>
      <c r="F26" s="2" t="s">
        <v>126</v>
      </c>
      <c r="G26" s="2" t="s">
        <v>95</v>
      </c>
      <c r="H26" s="4">
        <v>45560</v>
      </c>
      <c r="I26" s="2" t="s">
        <v>11</v>
      </c>
      <c r="J26" s="2" t="s">
        <v>127</v>
      </c>
      <c r="K26" s="2" t="s">
        <v>128</v>
      </c>
      <c r="L26" s="2" t="s">
        <v>129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130</v>
      </c>
      <c r="X26" s="2" t="s">
        <v>131</v>
      </c>
      <c r="Y26" s="2" t="s">
        <v>132</v>
      </c>
      <c r="Z26" s="2"/>
      <c r="AA26" s="2" t="s">
        <v>133</v>
      </c>
      <c r="AB26" s="2" t="s">
        <v>134</v>
      </c>
      <c r="AC26" s="2"/>
      <c r="AD26" s="2" t="s">
        <v>129</v>
      </c>
      <c r="AE26" s="2" t="s">
        <v>133</v>
      </c>
      <c r="AF26" s="2"/>
      <c r="AG26" s="2"/>
      <c r="AH26" s="2"/>
      <c r="AI26" s="2"/>
      <c r="AJ26" s="2"/>
      <c r="AK26" s="2"/>
      <c r="AL26" s="2"/>
      <c r="AM26" s="2"/>
      <c r="AN26" s="2" t="s">
        <v>131</v>
      </c>
      <c r="AO26" s="2" t="s">
        <v>135</v>
      </c>
      <c r="AP26" s="2" t="s">
        <v>136</v>
      </c>
      <c r="AQ26" s="2" t="s">
        <v>137</v>
      </c>
      <c r="AR26" s="2" t="s">
        <v>247</v>
      </c>
      <c r="AS26" s="2"/>
      <c r="AT26" t="str">
        <f t="shared" si="0"/>
        <v>UNIT 2</v>
      </c>
    </row>
    <row r="27" spans="1:46" ht="43.5" x14ac:dyDescent="0.35">
      <c r="A27" s="2" t="s">
        <v>248</v>
      </c>
      <c r="B27" s="2" t="s">
        <v>249</v>
      </c>
      <c r="C27" s="2" t="s">
        <v>250</v>
      </c>
      <c r="D27" s="2" t="s">
        <v>142</v>
      </c>
      <c r="E27" s="2" t="s">
        <v>142</v>
      </c>
      <c r="F27" s="2" t="s">
        <v>143</v>
      </c>
      <c r="G27" s="2" t="s">
        <v>144</v>
      </c>
      <c r="H27" s="4">
        <v>45537</v>
      </c>
      <c r="I27" s="2" t="s">
        <v>8</v>
      </c>
      <c r="J27" s="2" t="s">
        <v>82</v>
      </c>
      <c r="K27" s="2" t="s">
        <v>145</v>
      </c>
      <c r="L27" s="2" t="s">
        <v>146</v>
      </c>
      <c r="M27" s="2" t="s">
        <v>147</v>
      </c>
      <c r="N27" s="2" t="s">
        <v>148</v>
      </c>
      <c r="O27" s="2" t="s">
        <v>89</v>
      </c>
      <c r="P27" s="2" t="s">
        <v>89</v>
      </c>
      <c r="Q27" s="2" t="s">
        <v>89</v>
      </c>
      <c r="R27" s="2" t="s">
        <v>89</v>
      </c>
      <c r="S27" s="2" t="s">
        <v>90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">
        <v>89</v>
      </c>
      <c r="AL27" s="2" t="s">
        <v>89</v>
      </c>
      <c r="AM27" s="2"/>
      <c r="AN27" s="2"/>
      <c r="AO27" s="2"/>
      <c r="AP27" s="2"/>
      <c r="AQ27" s="2"/>
      <c r="AR27" s="2" t="s">
        <v>251</v>
      </c>
      <c r="AS27" s="2"/>
      <c r="AT27" t="str">
        <f t="shared" si="0"/>
        <v>UNIT 2</v>
      </c>
    </row>
    <row r="28" spans="1:46" ht="29" x14ac:dyDescent="0.35">
      <c r="A28" s="2" t="s">
        <v>252</v>
      </c>
      <c r="B28" s="2" t="s">
        <v>253</v>
      </c>
      <c r="C28" s="2" t="s">
        <v>254</v>
      </c>
      <c r="D28" s="2" t="s">
        <v>142</v>
      </c>
      <c r="E28" s="2" t="s">
        <v>142</v>
      </c>
      <c r="F28" s="2" t="s">
        <v>143</v>
      </c>
      <c r="G28" s="2" t="s">
        <v>95</v>
      </c>
      <c r="H28" s="4">
        <v>45561</v>
      </c>
      <c r="I28" s="2" t="s">
        <v>11</v>
      </c>
      <c r="J28" s="2" t="s">
        <v>82</v>
      </c>
      <c r="K28" s="2" t="s">
        <v>145</v>
      </c>
      <c r="L28" s="2" t="s">
        <v>157</v>
      </c>
      <c r="M28" s="2" t="s">
        <v>158</v>
      </c>
      <c r="N28" s="2" t="s">
        <v>159</v>
      </c>
      <c r="O28" s="2"/>
      <c r="P28" s="2"/>
      <c r="Q28" s="2"/>
      <c r="R28" s="2" t="s">
        <v>89</v>
      </c>
      <c r="S28" s="2" t="s">
        <v>90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">
        <v>89</v>
      </c>
      <c r="AL28" s="2" t="s">
        <v>89</v>
      </c>
      <c r="AM28" s="2"/>
      <c r="AN28" s="2"/>
      <c r="AO28" s="2"/>
      <c r="AP28" s="2"/>
      <c r="AQ28" s="2"/>
      <c r="AR28" s="2" t="s">
        <v>255</v>
      </c>
      <c r="AS28" s="2"/>
      <c r="AT28" t="str">
        <f t="shared" si="0"/>
        <v>UNIT 2</v>
      </c>
    </row>
    <row r="29" spans="1:46" ht="29" x14ac:dyDescent="0.35">
      <c r="A29" s="2" t="s">
        <v>256</v>
      </c>
      <c r="B29" s="2" t="s">
        <v>257</v>
      </c>
      <c r="C29" s="2" t="s">
        <v>258</v>
      </c>
      <c r="D29" s="2" t="s">
        <v>142</v>
      </c>
      <c r="E29" s="2" t="s">
        <v>142</v>
      </c>
      <c r="F29" s="2" t="s">
        <v>143</v>
      </c>
      <c r="G29" s="2" t="s">
        <v>95</v>
      </c>
      <c r="H29" s="4">
        <v>45561</v>
      </c>
      <c r="I29" s="2" t="s">
        <v>11</v>
      </c>
      <c r="J29" s="2" t="s">
        <v>82</v>
      </c>
      <c r="K29" s="2" t="s">
        <v>145</v>
      </c>
      <c r="L29" s="2" t="s">
        <v>157</v>
      </c>
      <c r="M29" s="2" t="s">
        <v>158</v>
      </c>
      <c r="N29" s="2" t="s">
        <v>159</v>
      </c>
      <c r="O29" s="2"/>
      <c r="P29" s="2"/>
      <c r="Q29" s="2"/>
      <c r="R29" s="2" t="s">
        <v>89</v>
      </c>
      <c r="S29" s="2" t="s">
        <v>90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">
        <v>89</v>
      </c>
      <c r="AL29" s="2" t="s">
        <v>89</v>
      </c>
      <c r="AM29" s="2"/>
      <c r="AN29" s="2"/>
      <c r="AO29" s="2"/>
      <c r="AP29" s="2"/>
      <c r="AQ29" s="2"/>
      <c r="AR29" s="2" t="s">
        <v>259</v>
      </c>
      <c r="AS29" s="2"/>
      <c r="AT29" t="str">
        <f t="shared" si="0"/>
        <v>UNIT 2</v>
      </c>
    </row>
    <row r="30" spans="1:46" ht="58" x14ac:dyDescent="0.35">
      <c r="A30" s="2" t="s">
        <v>260</v>
      </c>
      <c r="B30" s="2" t="s">
        <v>261</v>
      </c>
      <c r="C30" s="2" t="s">
        <v>262</v>
      </c>
      <c r="D30" s="2" t="s">
        <v>79</v>
      </c>
      <c r="E30" s="2" t="s">
        <v>79</v>
      </c>
      <c r="F30" s="2" t="s">
        <v>143</v>
      </c>
      <c r="G30" s="2" t="s">
        <v>144</v>
      </c>
      <c r="H30" s="4">
        <v>45537</v>
      </c>
      <c r="I30" s="2" t="s">
        <v>11</v>
      </c>
      <c r="J30" s="2" t="s">
        <v>82</v>
      </c>
      <c r="K30" s="2" t="s">
        <v>83</v>
      </c>
      <c r="L30" s="2" t="s">
        <v>167</v>
      </c>
      <c r="M30" s="2" t="s">
        <v>168</v>
      </c>
      <c r="N30" s="2" t="s">
        <v>169</v>
      </c>
      <c r="O30" s="2"/>
      <c r="P30" s="2" t="s">
        <v>170</v>
      </c>
      <c r="Q30" s="2" t="s">
        <v>171</v>
      </c>
      <c r="R30" s="2" t="s">
        <v>89</v>
      </c>
      <c r="S30" s="2" t="s">
        <v>90</v>
      </c>
      <c r="T30" s="2"/>
      <c r="U30" s="2"/>
      <c r="V30" s="2"/>
      <c r="W30" s="2"/>
      <c r="X30" s="2"/>
      <c r="Y30" s="2"/>
      <c r="Z30" s="2"/>
      <c r="AA30" s="2"/>
      <c r="AB30" s="2"/>
      <c r="AC30" s="2" t="s">
        <v>172</v>
      </c>
      <c r="AD30" s="2"/>
      <c r="AE30" s="2" t="s">
        <v>168</v>
      </c>
      <c r="AF30" s="2"/>
      <c r="AG30" s="2" t="s">
        <v>173</v>
      </c>
      <c r="AH30" s="2"/>
      <c r="AI30" s="2"/>
      <c r="AJ30" s="2"/>
      <c r="AK30" s="2" t="s">
        <v>89</v>
      </c>
      <c r="AL30" s="2" t="s">
        <v>89</v>
      </c>
      <c r="AM30" s="2"/>
      <c r="AN30" s="2"/>
      <c r="AO30" s="2"/>
      <c r="AP30" s="2"/>
      <c r="AQ30" s="2"/>
      <c r="AR30" s="2" t="s">
        <v>263</v>
      </c>
      <c r="AS30" s="2"/>
      <c r="AT30" t="str">
        <f t="shared" si="0"/>
        <v>UNIT 2</v>
      </c>
    </row>
    <row r="31" spans="1:46" ht="29" x14ac:dyDescent="0.35">
      <c r="A31" s="2" t="s">
        <v>264</v>
      </c>
      <c r="B31" s="2" t="s">
        <v>265</v>
      </c>
      <c r="C31" s="2" t="s">
        <v>266</v>
      </c>
      <c r="D31" s="2" t="s">
        <v>142</v>
      </c>
      <c r="E31" s="2" t="s">
        <v>142</v>
      </c>
      <c r="F31" s="2" t="s">
        <v>143</v>
      </c>
      <c r="G31" s="2" t="s">
        <v>95</v>
      </c>
      <c r="H31" s="4">
        <v>45561</v>
      </c>
      <c r="I31" s="2" t="s">
        <v>11</v>
      </c>
      <c r="J31" s="2" t="s">
        <v>82</v>
      </c>
      <c r="K31" s="2" t="s">
        <v>145</v>
      </c>
      <c r="L31" s="2" t="s">
        <v>178</v>
      </c>
      <c r="M31" s="2" t="s">
        <v>158</v>
      </c>
      <c r="N31" s="2" t="s">
        <v>148</v>
      </c>
      <c r="O31" s="2" t="s">
        <v>89</v>
      </c>
      <c r="P31" s="2" t="s">
        <v>89</v>
      </c>
      <c r="Q31" s="2" t="s">
        <v>89</v>
      </c>
      <c r="R31" s="2" t="s">
        <v>89</v>
      </c>
      <c r="S31" s="2" t="s">
        <v>90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89</v>
      </c>
      <c r="AL31" s="2" t="s">
        <v>89</v>
      </c>
      <c r="AM31" s="2"/>
      <c r="AN31" s="2"/>
      <c r="AO31" s="2"/>
      <c r="AP31" s="2"/>
      <c r="AQ31" s="2"/>
      <c r="AR31" s="2" t="s">
        <v>267</v>
      </c>
      <c r="AS31" s="2"/>
      <c r="AT31" t="str">
        <f t="shared" si="0"/>
        <v>UNIT 2</v>
      </c>
    </row>
    <row r="32" spans="1:46" ht="29" x14ac:dyDescent="0.35">
      <c r="A32" s="2" t="s">
        <v>268</v>
      </c>
      <c r="B32" s="2" t="s">
        <v>269</v>
      </c>
      <c r="C32" s="2" t="s">
        <v>270</v>
      </c>
      <c r="D32" s="2" t="s">
        <v>142</v>
      </c>
      <c r="E32" s="2" t="s">
        <v>142</v>
      </c>
      <c r="F32" s="2" t="s">
        <v>143</v>
      </c>
      <c r="G32" s="2" t="s">
        <v>95</v>
      </c>
      <c r="H32" s="4">
        <v>45561</v>
      </c>
      <c r="I32" s="2" t="s">
        <v>11</v>
      </c>
      <c r="J32" s="2" t="s">
        <v>82</v>
      </c>
      <c r="K32" s="2" t="s">
        <v>145</v>
      </c>
      <c r="L32" s="2" t="s">
        <v>178</v>
      </c>
      <c r="M32" s="2" t="s">
        <v>158</v>
      </c>
      <c r="N32" s="2" t="s">
        <v>148</v>
      </c>
      <c r="O32" s="2"/>
      <c r="P32" s="2"/>
      <c r="Q32" s="2"/>
      <c r="R32" s="2" t="s">
        <v>89</v>
      </c>
      <c r="S32" s="2" t="s">
        <v>90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89</v>
      </c>
      <c r="AL32" s="2" t="s">
        <v>89</v>
      </c>
      <c r="AM32" s="2"/>
      <c r="AN32" s="2"/>
      <c r="AO32" s="2"/>
      <c r="AP32" s="2"/>
      <c r="AQ32" s="2"/>
      <c r="AR32" s="2" t="s">
        <v>271</v>
      </c>
      <c r="AS32" s="2"/>
      <c r="AT32" t="str">
        <f t="shared" si="0"/>
        <v>UNIT 2</v>
      </c>
    </row>
    <row r="33" spans="1:46" ht="29" x14ac:dyDescent="0.35">
      <c r="A33" s="2" t="s">
        <v>272</v>
      </c>
      <c r="B33" s="2" t="s">
        <v>273</v>
      </c>
      <c r="C33" s="2" t="s">
        <v>274</v>
      </c>
      <c r="D33" s="2" t="s">
        <v>187</v>
      </c>
      <c r="E33" s="2" t="s">
        <v>79</v>
      </c>
      <c r="F33" s="2" t="s">
        <v>143</v>
      </c>
      <c r="G33" s="2" t="s">
        <v>217</v>
      </c>
      <c r="H33" s="4">
        <v>45552</v>
      </c>
      <c r="I33" s="2" t="s">
        <v>8</v>
      </c>
      <c r="J33" s="2" t="s">
        <v>82</v>
      </c>
      <c r="K33" s="2" t="s">
        <v>145</v>
      </c>
      <c r="L33" s="2" t="s">
        <v>188</v>
      </c>
      <c r="M33" s="2" t="s">
        <v>189</v>
      </c>
      <c r="N33" s="2" t="s">
        <v>190</v>
      </c>
      <c r="O33" s="2"/>
      <c r="P33" s="2"/>
      <c r="Q33" s="2"/>
      <c r="R33" s="2" t="s">
        <v>89</v>
      </c>
      <c r="S33" s="2" t="s">
        <v>90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 t="s">
        <v>275</v>
      </c>
      <c r="AS33" s="2" t="s">
        <v>192</v>
      </c>
      <c r="AT33" t="str">
        <f t="shared" si="0"/>
        <v>UNIT 2</v>
      </c>
    </row>
    <row r="34" spans="1:46" ht="29" x14ac:dyDescent="0.35">
      <c r="A34" s="2" t="s">
        <v>276</v>
      </c>
      <c r="B34" s="2" t="s">
        <v>277</v>
      </c>
      <c r="C34" s="2" t="s">
        <v>278</v>
      </c>
      <c r="D34" s="2" t="s">
        <v>187</v>
      </c>
      <c r="E34" s="2" t="s">
        <v>79</v>
      </c>
      <c r="F34" s="2" t="s">
        <v>143</v>
      </c>
      <c r="G34" s="2" t="s">
        <v>144</v>
      </c>
      <c r="H34" s="4">
        <v>45537</v>
      </c>
      <c r="I34" s="2" t="s">
        <v>8</v>
      </c>
      <c r="J34" s="2" t="s">
        <v>82</v>
      </c>
      <c r="K34" s="2" t="s">
        <v>145</v>
      </c>
      <c r="L34" s="2" t="s">
        <v>188</v>
      </c>
      <c r="M34" s="2" t="s">
        <v>189</v>
      </c>
      <c r="N34" s="2" t="s">
        <v>190</v>
      </c>
      <c r="O34" s="2"/>
      <c r="P34" s="2"/>
      <c r="Q34" s="2"/>
      <c r="R34" s="2" t="s">
        <v>89</v>
      </c>
      <c r="S34" s="2" t="s">
        <v>90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 t="s">
        <v>279</v>
      </c>
      <c r="AS34" s="2" t="s">
        <v>192</v>
      </c>
      <c r="AT34" t="str">
        <f t="shared" ref="AT34:AT69" si="1">IF(VALUE(LEFT(AR34,FIND(",",AR34&amp;",")-1))&lt;=36,"UNIT 1",IF(VALUE(LEFT(AR34,FIND(",",AR34&amp;",")-1))&lt;=70,"UNIT 2",IF(VALUE(LEFT(AR34,FIND(",",AR34&amp;",")-1))&lt;=110,"UNIT 3","COMMON")))</f>
        <v>UNIT 2</v>
      </c>
    </row>
    <row r="35" spans="1:46" ht="72.5" x14ac:dyDescent="0.35">
      <c r="A35" s="2" t="s">
        <v>280</v>
      </c>
      <c r="B35" s="2" t="s">
        <v>281</v>
      </c>
      <c r="C35" s="2"/>
      <c r="D35" s="2" t="s">
        <v>142</v>
      </c>
      <c r="E35" s="2" t="s">
        <v>142</v>
      </c>
      <c r="F35" s="2" t="s">
        <v>143</v>
      </c>
      <c r="G35" s="2" t="s">
        <v>217</v>
      </c>
      <c r="H35" s="4">
        <v>45552</v>
      </c>
      <c r="I35" s="2" t="s">
        <v>11</v>
      </c>
      <c r="J35" s="2" t="s">
        <v>82</v>
      </c>
      <c r="K35" s="2" t="s">
        <v>145</v>
      </c>
      <c r="L35" s="2" t="s">
        <v>157</v>
      </c>
      <c r="M35" s="2" t="s">
        <v>158</v>
      </c>
      <c r="N35" s="2" t="s">
        <v>159</v>
      </c>
      <c r="O35" s="2"/>
      <c r="P35" s="2"/>
      <c r="Q35" s="2"/>
      <c r="R35" s="2" t="s">
        <v>89</v>
      </c>
      <c r="S35" s="2" t="s">
        <v>90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89</v>
      </c>
      <c r="AL35" s="2" t="s">
        <v>89</v>
      </c>
      <c r="AM35" s="2"/>
      <c r="AN35" s="2"/>
      <c r="AO35" s="2"/>
      <c r="AP35" s="2"/>
      <c r="AQ35" s="2"/>
      <c r="AR35" s="2" t="s">
        <v>282</v>
      </c>
      <c r="AS35" s="2" t="s">
        <v>283</v>
      </c>
      <c r="AT35" t="str">
        <f t="shared" si="1"/>
        <v>UNIT 2</v>
      </c>
    </row>
    <row r="36" spans="1:46" ht="29" x14ac:dyDescent="0.35">
      <c r="A36" s="2" t="s">
        <v>284</v>
      </c>
      <c r="B36" s="2" t="s">
        <v>285</v>
      </c>
      <c r="C36" s="2" t="s">
        <v>286</v>
      </c>
      <c r="D36" s="2" t="s">
        <v>79</v>
      </c>
      <c r="E36" s="2" t="s">
        <v>79</v>
      </c>
      <c r="F36" s="2" t="s">
        <v>80</v>
      </c>
      <c r="G36" s="2" t="s">
        <v>217</v>
      </c>
      <c r="H36" s="4">
        <v>45552</v>
      </c>
      <c r="I36" s="2" t="s">
        <v>8</v>
      </c>
      <c r="J36" s="2" t="s">
        <v>82</v>
      </c>
      <c r="K36" s="2" t="s">
        <v>83</v>
      </c>
      <c r="L36" s="2" t="s">
        <v>287</v>
      </c>
      <c r="M36" s="2" t="s">
        <v>288</v>
      </c>
      <c r="N36" s="2" t="s">
        <v>289</v>
      </c>
      <c r="O36" s="2" t="s">
        <v>103</v>
      </c>
      <c r="P36" s="2" t="s">
        <v>290</v>
      </c>
      <c r="Q36" s="2" t="s">
        <v>291</v>
      </c>
      <c r="R36" s="2" t="s">
        <v>89</v>
      </c>
      <c r="S36" s="2" t="s">
        <v>90</v>
      </c>
      <c r="T36" s="2"/>
      <c r="U36" s="2"/>
      <c r="V36" s="2"/>
      <c r="W36" s="2"/>
      <c r="X36" s="2"/>
      <c r="Y36" s="2"/>
      <c r="Z36" s="2"/>
      <c r="AA36" s="2"/>
      <c r="AB36" s="2"/>
      <c r="AC36" s="2" t="s">
        <v>292</v>
      </c>
      <c r="AD36" s="2"/>
      <c r="AE36" s="2" t="s">
        <v>293</v>
      </c>
      <c r="AF36" s="2"/>
      <c r="AG36" s="2" t="s">
        <v>294</v>
      </c>
      <c r="AH36" s="2"/>
      <c r="AI36" s="2"/>
      <c r="AJ36" s="2" t="s">
        <v>295</v>
      </c>
      <c r="AK36" s="2" t="s">
        <v>89</v>
      </c>
      <c r="AL36" s="2" t="s">
        <v>89</v>
      </c>
      <c r="AM36" s="2"/>
      <c r="AN36" s="2"/>
      <c r="AO36" s="2"/>
      <c r="AP36" s="2"/>
      <c r="AQ36" s="2"/>
      <c r="AR36" s="2" t="s">
        <v>296</v>
      </c>
      <c r="AS36" s="2"/>
      <c r="AT36" t="str">
        <f t="shared" si="1"/>
        <v>UNIT 3</v>
      </c>
    </row>
    <row r="37" spans="1:46" ht="29" x14ac:dyDescent="0.35">
      <c r="A37" s="2" t="s">
        <v>297</v>
      </c>
      <c r="B37" s="2" t="s">
        <v>298</v>
      </c>
      <c r="C37" s="2" t="s">
        <v>299</v>
      </c>
      <c r="D37" s="2" t="s">
        <v>79</v>
      </c>
      <c r="E37" s="2" t="s">
        <v>79</v>
      </c>
      <c r="F37" s="2" t="s">
        <v>80</v>
      </c>
      <c r="G37" s="2" t="s">
        <v>144</v>
      </c>
      <c r="H37" s="4">
        <v>45538</v>
      </c>
      <c r="I37" s="2" t="s">
        <v>8</v>
      </c>
      <c r="J37" s="2" t="s">
        <v>82</v>
      </c>
      <c r="K37" s="2" t="s">
        <v>83</v>
      </c>
      <c r="L37" s="2" t="s">
        <v>287</v>
      </c>
      <c r="M37" s="2" t="s">
        <v>288</v>
      </c>
      <c r="N37" s="2" t="s">
        <v>289</v>
      </c>
      <c r="O37" s="2" t="s">
        <v>103</v>
      </c>
      <c r="P37" s="2" t="s">
        <v>290</v>
      </c>
      <c r="Q37" s="2" t="s">
        <v>291</v>
      </c>
      <c r="R37" s="2" t="s">
        <v>89</v>
      </c>
      <c r="S37" s="2" t="s">
        <v>90</v>
      </c>
      <c r="T37" s="2"/>
      <c r="U37" s="2"/>
      <c r="V37" s="2"/>
      <c r="W37" s="2"/>
      <c r="X37" s="2"/>
      <c r="Y37" s="2"/>
      <c r="Z37" s="2"/>
      <c r="AA37" s="2"/>
      <c r="AB37" s="2"/>
      <c r="AC37" s="2" t="s">
        <v>292</v>
      </c>
      <c r="AD37" s="2"/>
      <c r="AE37" s="2" t="s">
        <v>293</v>
      </c>
      <c r="AF37" s="2"/>
      <c r="AG37" s="2" t="s">
        <v>294</v>
      </c>
      <c r="AH37" s="2"/>
      <c r="AI37" s="2"/>
      <c r="AJ37" s="2" t="s">
        <v>295</v>
      </c>
      <c r="AK37" s="2" t="s">
        <v>89</v>
      </c>
      <c r="AL37" s="2" t="s">
        <v>89</v>
      </c>
      <c r="AM37" s="2"/>
      <c r="AN37" s="2"/>
      <c r="AO37" s="2"/>
      <c r="AP37" s="2"/>
      <c r="AQ37" s="2"/>
      <c r="AR37" s="2" t="s">
        <v>300</v>
      </c>
      <c r="AS37" s="2"/>
      <c r="AT37" t="str">
        <f t="shared" si="1"/>
        <v>UNIT 3</v>
      </c>
    </row>
    <row r="38" spans="1:46" ht="29" x14ac:dyDescent="0.35">
      <c r="A38" s="2" t="s">
        <v>301</v>
      </c>
      <c r="B38" s="2" t="s">
        <v>302</v>
      </c>
      <c r="C38" s="2" t="s">
        <v>303</v>
      </c>
      <c r="D38" s="2" t="s">
        <v>79</v>
      </c>
      <c r="E38" s="2" t="s">
        <v>79</v>
      </c>
      <c r="F38" s="2" t="s">
        <v>80</v>
      </c>
      <c r="G38" s="2" t="s">
        <v>144</v>
      </c>
      <c r="H38" s="4">
        <v>45538</v>
      </c>
      <c r="I38" s="2" t="s">
        <v>11</v>
      </c>
      <c r="J38" s="2" t="s">
        <v>82</v>
      </c>
      <c r="K38" s="2" t="s">
        <v>83</v>
      </c>
      <c r="L38" s="2" t="s">
        <v>304</v>
      </c>
      <c r="M38" s="2" t="s">
        <v>305</v>
      </c>
      <c r="N38" s="2" t="s">
        <v>306</v>
      </c>
      <c r="O38" s="2" t="s">
        <v>103</v>
      </c>
      <c r="P38" s="2" t="s">
        <v>307</v>
      </c>
      <c r="Q38" s="2" t="s">
        <v>308</v>
      </c>
      <c r="R38" s="2" t="s">
        <v>89</v>
      </c>
      <c r="S38" s="2" t="s">
        <v>90</v>
      </c>
      <c r="T38" s="2"/>
      <c r="U38" s="2"/>
      <c r="V38" s="2"/>
      <c r="W38" s="2"/>
      <c r="X38" s="2"/>
      <c r="Y38" s="2"/>
      <c r="Z38" s="2"/>
      <c r="AA38" s="2"/>
      <c r="AB38" s="2"/>
      <c r="AC38" s="2" t="s">
        <v>309</v>
      </c>
      <c r="AD38" s="2"/>
      <c r="AE38" s="2" t="s">
        <v>310</v>
      </c>
      <c r="AF38" s="2" t="s">
        <v>311</v>
      </c>
      <c r="AG38" s="2"/>
      <c r="AH38" s="2"/>
      <c r="AI38" s="2" t="s">
        <v>312</v>
      </c>
      <c r="AJ38" s="2" t="s">
        <v>295</v>
      </c>
      <c r="AK38" s="2" t="s">
        <v>89</v>
      </c>
      <c r="AL38" s="2" t="s">
        <v>89</v>
      </c>
      <c r="AM38" s="2" t="s">
        <v>89</v>
      </c>
      <c r="AN38" s="2"/>
      <c r="AO38" s="2"/>
      <c r="AP38" s="2"/>
      <c r="AQ38" s="2"/>
      <c r="AR38" s="2" t="s">
        <v>313</v>
      </c>
      <c r="AS38" s="2"/>
      <c r="AT38" t="str">
        <f t="shared" si="1"/>
        <v>UNIT 3</v>
      </c>
    </row>
    <row r="39" spans="1:46" ht="43.5" x14ac:dyDescent="0.35">
      <c r="A39" s="2" t="s">
        <v>314</v>
      </c>
      <c r="B39" s="2" t="s">
        <v>315</v>
      </c>
      <c r="C39" s="2" t="s">
        <v>316</v>
      </c>
      <c r="D39" s="2" t="s">
        <v>79</v>
      </c>
      <c r="E39" s="2" t="s">
        <v>79</v>
      </c>
      <c r="F39" s="2" t="s">
        <v>80</v>
      </c>
      <c r="G39" s="2" t="s">
        <v>95</v>
      </c>
      <c r="H39" s="4">
        <v>45561</v>
      </c>
      <c r="I39" s="2" t="s">
        <v>11</v>
      </c>
      <c r="J39" s="2" t="s">
        <v>82</v>
      </c>
      <c r="K39" s="2" t="s">
        <v>83</v>
      </c>
      <c r="L39" s="2" t="s">
        <v>304</v>
      </c>
      <c r="M39" s="2" t="s">
        <v>317</v>
      </c>
      <c r="N39" s="2" t="s">
        <v>318</v>
      </c>
      <c r="O39" s="2" t="s">
        <v>103</v>
      </c>
      <c r="P39" s="2" t="s">
        <v>319</v>
      </c>
      <c r="Q39" s="2" t="s">
        <v>171</v>
      </c>
      <c r="R39" s="2" t="s">
        <v>89</v>
      </c>
      <c r="S39" s="2" t="s">
        <v>90</v>
      </c>
      <c r="T39" s="2"/>
      <c r="U39" s="2"/>
      <c r="V39" s="2"/>
      <c r="W39" s="2"/>
      <c r="X39" s="2"/>
      <c r="Y39" s="2"/>
      <c r="Z39" s="2"/>
      <c r="AA39" s="2"/>
      <c r="AB39" s="2"/>
      <c r="AC39" s="2" t="s">
        <v>320</v>
      </c>
      <c r="AD39" s="2"/>
      <c r="AE39" s="2" t="s">
        <v>310</v>
      </c>
      <c r="AF39" s="2" t="s">
        <v>321</v>
      </c>
      <c r="AG39" s="2"/>
      <c r="AH39" s="2"/>
      <c r="AI39" s="2" t="s">
        <v>322</v>
      </c>
      <c r="AJ39" s="2" t="s">
        <v>295</v>
      </c>
      <c r="AK39" s="2" t="s">
        <v>89</v>
      </c>
      <c r="AL39" s="2" t="s">
        <v>89</v>
      </c>
      <c r="AM39" s="2" t="s">
        <v>89</v>
      </c>
      <c r="AN39" s="2"/>
      <c r="AO39" s="2"/>
      <c r="AP39" s="2"/>
      <c r="AQ39" s="2"/>
      <c r="AR39" s="2" t="s">
        <v>323</v>
      </c>
      <c r="AS39" s="2"/>
      <c r="AT39" t="str">
        <f t="shared" si="1"/>
        <v>UNIT 3</v>
      </c>
    </row>
    <row r="40" spans="1:46" ht="43.5" x14ac:dyDescent="0.35">
      <c r="A40" s="2" t="s">
        <v>324</v>
      </c>
      <c r="B40" s="2" t="s">
        <v>325</v>
      </c>
      <c r="C40" s="2" t="s">
        <v>326</v>
      </c>
      <c r="D40" s="2" t="s">
        <v>142</v>
      </c>
      <c r="E40" s="2" t="s">
        <v>142</v>
      </c>
      <c r="F40" s="2" t="s">
        <v>80</v>
      </c>
      <c r="G40" s="2" t="s">
        <v>144</v>
      </c>
      <c r="H40" s="4">
        <v>45538</v>
      </c>
      <c r="I40" s="2" t="s">
        <v>11</v>
      </c>
      <c r="J40" s="2" t="s">
        <v>82</v>
      </c>
      <c r="K40" s="2" t="s">
        <v>83</v>
      </c>
      <c r="L40" s="2" t="s">
        <v>327</v>
      </c>
      <c r="M40" s="2" t="s">
        <v>328</v>
      </c>
      <c r="N40" s="2" t="s">
        <v>329</v>
      </c>
      <c r="O40" s="2" t="s">
        <v>330</v>
      </c>
      <c r="P40" s="2" t="s">
        <v>331</v>
      </c>
      <c r="Q40" s="2" t="s">
        <v>332</v>
      </c>
      <c r="R40" s="2" t="s">
        <v>89</v>
      </c>
      <c r="S40" s="2" t="s">
        <v>90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 t="s">
        <v>333</v>
      </c>
      <c r="AS40" s="2"/>
      <c r="AT40" t="str">
        <f t="shared" si="1"/>
        <v>UNIT 3</v>
      </c>
    </row>
    <row r="41" spans="1:46" ht="29" x14ac:dyDescent="0.35">
      <c r="A41" s="2" t="s">
        <v>334</v>
      </c>
      <c r="B41" s="2" t="s">
        <v>335</v>
      </c>
      <c r="C41" s="2"/>
      <c r="D41" s="2" t="s">
        <v>336</v>
      </c>
      <c r="E41" s="2" t="s">
        <v>336</v>
      </c>
      <c r="F41" s="2" t="s">
        <v>126</v>
      </c>
      <c r="G41" s="2" t="s">
        <v>81</v>
      </c>
      <c r="H41" s="4">
        <v>45546</v>
      </c>
      <c r="I41" s="2" t="s">
        <v>8</v>
      </c>
      <c r="J41" s="2" t="s">
        <v>128</v>
      </c>
      <c r="K41" s="2" t="s">
        <v>127</v>
      </c>
      <c r="L41" s="2" t="s">
        <v>337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130</v>
      </c>
      <c r="X41" s="2" t="s">
        <v>131</v>
      </c>
      <c r="Y41" s="2" t="s">
        <v>338</v>
      </c>
      <c r="Z41" s="2" t="s">
        <v>339</v>
      </c>
      <c r="AA41" s="2" t="s">
        <v>133</v>
      </c>
      <c r="AB41" s="2" t="s">
        <v>134</v>
      </c>
      <c r="AC41" s="2"/>
      <c r="AD41" s="2" t="s">
        <v>340</v>
      </c>
      <c r="AE41" s="2" t="s">
        <v>133</v>
      </c>
      <c r="AF41" s="2"/>
      <c r="AG41" s="2"/>
      <c r="AH41" s="2"/>
      <c r="AI41" s="2"/>
      <c r="AJ41" s="2"/>
      <c r="AK41" s="2"/>
      <c r="AL41" s="2"/>
      <c r="AM41" s="2"/>
      <c r="AN41" s="2" t="s">
        <v>131</v>
      </c>
      <c r="AO41" s="2" t="s">
        <v>135</v>
      </c>
      <c r="AP41" s="2" t="s">
        <v>341</v>
      </c>
      <c r="AQ41" s="2"/>
      <c r="AR41" s="2" t="s">
        <v>342</v>
      </c>
      <c r="AS41" s="2" t="s">
        <v>219</v>
      </c>
      <c r="AT41" t="str">
        <f t="shared" si="1"/>
        <v>UNIT 3</v>
      </c>
    </row>
    <row r="42" spans="1:46" ht="43.5" x14ac:dyDescent="0.35">
      <c r="A42" s="2" t="s">
        <v>343</v>
      </c>
      <c r="B42" s="2" t="s">
        <v>344</v>
      </c>
      <c r="C42" s="2" t="s">
        <v>345</v>
      </c>
      <c r="D42" s="2" t="s">
        <v>142</v>
      </c>
      <c r="E42" s="2" t="s">
        <v>142</v>
      </c>
      <c r="F42" s="2" t="s">
        <v>143</v>
      </c>
      <c r="G42" s="2" t="s">
        <v>144</v>
      </c>
      <c r="H42" s="4">
        <v>45538</v>
      </c>
      <c r="I42" s="2" t="s">
        <v>11</v>
      </c>
      <c r="J42" s="2" t="s">
        <v>82</v>
      </c>
      <c r="K42" s="2" t="s">
        <v>145</v>
      </c>
      <c r="L42" s="2" t="s">
        <v>346</v>
      </c>
      <c r="M42" s="2" t="s">
        <v>212</v>
      </c>
      <c r="N42" s="2" t="s">
        <v>347</v>
      </c>
      <c r="O42" s="2" t="s">
        <v>103</v>
      </c>
      <c r="P42" s="2" t="s">
        <v>348</v>
      </c>
      <c r="Q42" s="2" t="s">
        <v>348</v>
      </c>
      <c r="R42" s="2" t="s">
        <v>89</v>
      </c>
      <c r="S42" s="2" t="s">
        <v>90</v>
      </c>
      <c r="T42" s="2"/>
      <c r="U42" s="2"/>
      <c r="V42" s="2"/>
      <c r="W42" s="2"/>
      <c r="X42" s="2"/>
      <c r="Y42" s="2"/>
      <c r="Z42" s="2"/>
      <c r="AA42" s="2"/>
      <c r="AB42" s="2"/>
      <c r="AC42" s="2" t="s">
        <v>349</v>
      </c>
      <c r="AD42" s="2"/>
      <c r="AE42" s="2" t="s">
        <v>350</v>
      </c>
      <c r="AF42" s="2" t="s">
        <v>347</v>
      </c>
      <c r="AG42" s="2" t="s">
        <v>351</v>
      </c>
      <c r="AH42" s="2"/>
      <c r="AI42" s="2"/>
      <c r="AJ42" s="2" t="s">
        <v>103</v>
      </c>
      <c r="AK42" s="2" t="s">
        <v>89</v>
      </c>
      <c r="AL42" s="2" t="s">
        <v>89</v>
      </c>
      <c r="AM42" s="2"/>
      <c r="AN42" s="2"/>
      <c r="AO42" s="2"/>
      <c r="AP42" s="2"/>
      <c r="AQ42" s="2"/>
      <c r="AR42" s="2" t="s">
        <v>352</v>
      </c>
      <c r="AS42" s="2"/>
      <c r="AT42" t="str">
        <f t="shared" si="1"/>
        <v>UNIT 3</v>
      </c>
    </row>
    <row r="43" spans="1:46" ht="43.5" x14ac:dyDescent="0.35">
      <c r="A43" s="2" t="s">
        <v>353</v>
      </c>
      <c r="B43" s="2" t="s">
        <v>354</v>
      </c>
      <c r="C43" s="2" t="s">
        <v>355</v>
      </c>
      <c r="D43" s="2" t="s">
        <v>142</v>
      </c>
      <c r="E43" s="2" t="s">
        <v>142</v>
      </c>
      <c r="F43" s="2" t="s">
        <v>143</v>
      </c>
      <c r="G43" s="2" t="s">
        <v>217</v>
      </c>
      <c r="H43" s="4">
        <v>45553</v>
      </c>
      <c r="I43" s="2" t="s">
        <v>11</v>
      </c>
      <c r="J43" s="2" t="s">
        <v>82</v>
      </c>
      <c r="K43" s="2" t="s">
        <v>145</v>
      </c>
      <c r="L43" s="2" t="s">
        <v>346</v>
      </c>
      <c r="M43" s="2" t="s">
        <v>212</v>
      </c>
      <c r="N43" s="2" t="s">
        <v>347</v>
      </c>
      <c r="O43" s="2" t="s">
        <v>103</v>
      </c>
      <c r="P43" s="2" t="s">
        <v>348</v>
      </c>
      <c r="Q43" s="2" t="s">
        <v>348</v>
      </c>
      <c r="R43" s="2" t="s">
        <v>89</v>
      </c>
      <c r="S43" s="2" t="s">
        <v>90</v>
      </c>
      <c r="T43" s="2"/>
      <c r="U43" s="2"/>
      <c r="V43" s="2"/>
      <c r="W43" s="2"/>
      <c r="X43" s="2"/>
      <c r="Y43" s="2"/>
      <c r="Z43" s="2"/>
      <c r="AA43" s="2"/>
      <c r="AB43" s="2"/>
      <c r="AC43" s="2" t="s">
        <v>349</v>
      </c>
      <c r="AD43" s="2"/>
      <c r="AE43" s="2" t="s">
        <v>350</v>
      </c>
      <c r="AF43" s="2" t="s">
        <v>347</v>
      </c>
      <c r="AG43" s="2" t="s">
        <v>351</v>
      </c>
      <c r="AH43" s="2"/>
      <c r="AI43" s="2"/>
      <c r="AJ43" s="2"/>
      <c r="AK43" s="2" t="s">
        <v>89</v>
      </c>
      <c r="AL43" s="2" t="s">
        <v>89</v>
      </c>
      <c r="AM43" s="2"/>
      <c r="AN43" s="2"/>
      <c r="AO43" s="2"/>
      <c r="AP43" s="2"/>
      <c r="AQ43" s="2"/>
      <c r="AR43" s="2" t="s">
        <v>356</v>
      </c>
      <c r="AS43" s="2"/>
      <c r="AT43" t="str">
        <f t="shared" si="1"/>
        <v>UNIT 3</v>
      </c>
    </row>
    <row r="44" spans="1:46" ht="29" x14ac:dyDescent="0.35">
      <c r="A44" s="2" t="s">
        <v>357</v>
      </c>
      <c r="B44" s="2" t="s">
        <v>358</v>
      </c>
      <c r="C44" s="2" t="s">
        <v>359</v>
      </c>
      <c r="D44" s="2" t="s">
        <v>142</v>
      </c>
      <c r="E44" s="2" t="s">
        <v>142</v>
      </c>
      <c r="F44" s="2" t="s">
        <v>143</v>
      </c>
      <c r="G44" s="2" t="s">
        <v>217</v>
      </c>
      <c r="H44" s="4">
        <v>45553</v>
      </c>
      <c r="I44" s="2" t="s">
        <v>8</v>
      </c>
      <c r="J44" s="2" t="s">
        <v>82</v>
      </c>
      <c r="K44" s="2" t="s">
        <v>145</v>
      </c>
      <c r="L44" s="2" t="s">
        <v>360</v>
      </c>
      <c r="M44" s="2" t="s">
        <v>350</v>
      </c>
      <c r="N44" s="2" t="s">
        <v>361</v>
      </c>
      <c r="O44" s="2" t="s">
        <v>103</v>
      </c>
      <c r="P44" s="2" t="s">
        <v>362</v>
      </c>
      <c r="Q44" s="2" t="s">
        <v>362</v>
      </c>
      <c r="R44" s="2" t="s">
        <v>89</v>
      </c>
      <c r="S44" s="2" t="s">
        <v>90</v>
      </c>
      <c r="T44" s="2"/>
      <c r="U44" s="2"/>
      <c r="V44" s="2"/>
      <c r="W44" s="2"/>
      <c r="X44" s="2"/>
      <c r="Y44" s="2"/>
      <c r="Z44" s="2"/>
      <c r="AA44" s="2"/>
      <c r="AB44" s="2"/>
      <c r="AC44" s="2" t="s">
        <v>363</v>
      </c>
      <c r="AD44" s="2"/>
      <c r="AE44" s="2" t="s">
        <v>364</v>
      </c>
      <c r="AF44" s="2" t="s">
        <v>361</v>
      </c>
      <c r="AG44" s="2" t="s">
        <v>365</v>
      </c>
      <c r="AH44" s="2"/>
      <c r="AI44" s="2"/>
      <c r="AJ44" s="2"/>
      <c r="AK44" s="2" t="s">
        <v>89</v>
      </c>
      <c r="AL44" s="2" t="s">
        <v>89</v>
      </c>
      <c r="AM44" s="2"/>
      <c r="AN44" s="2"/>
      <c r="AO44" s="2"/>
      <c r="AP44" s="2"/>
      <c r="AQ44" s="2"/>
      <c r="AR44" s="2" t="s">
        <v>366</v>
      </c>
      <c r="AS44" s="2"/>
      <c r="AT44" t="str">
        <f t="shared" si="1"/>
        <v>UNIT 3</v>
      </c>
    </row>
    <row r="45" spans="1:46" ht="29" x14ac:dyDescent="0.35">
      <c r="A45" s="2" t="s">
        <v>367</v>
      </c>
      <c r="B45" s="2" t="s">
        <v>368</v>
      </c>
      <c r="C45" s="2" t="s">
        <v>369</v>
      </c>
      <c r="D45" s="2" t="s">
        <v>79</v>
      </c>
      <c r="E45" s="2" t="s">
        <v>79</v>
      </c>
      <c r="F45" s="2" t="s">
        <v>143</v>
      </c>
      <c r="G45" s="2" t="s">
        <v>217</v>
      </c>
      <c r="H45" s="4">
        <v>45553</v>
      </c>
      <c r="I45" s="2" t="s">
        <v>11</v>
      </c>
      <c r="J45" s="2" t="s">
        <v>82</v>
      </c>
      <c r="K45" s="2" t="s">
        <v>145</v>
      </c>
      <c r="L45" s="2" t="s">
        <v>370</v>
      </c>
      <c r="M45" s="2" t="s">
        <v>371</v>
      </c>
      <c r="N45" s="2" t="s">
        <v>372</v>
      </c>
      <c r="O45" s="2" t="s">
        <v>103</v>
      </c>
      <c r="P45" s="2" t="s">
        <v>373</v>
      </c>
      <c r="Q45" s="2" t="s">
        <v>373</v>
      </c>
      <c r="R45" s="2" t="s">
        <v>89</v>
      </c>
      <c r="S45" s="2" t="s">
        <v>90</v>
      </c>
      <c r="T45" s="2"/>
      <c r="U45" s="2"/>
      <c r="V45" s="2"/>
      <c r="W45" s="2"/>
      <c r="X45" s="2"/>
      <c r="Y45" s="2"/>
      <c r="Z45" s="2"/>
      <c r="AA45" s="2"/>
      <c r="AB45" s="2"/>
      <c r="AC45" s="2" t="s">
        <v>374</v>
      </c>
      <c r="AD45" s="2"/>
      <c r="AE45" s="2" t="s">
        <v>293</v>
      </c>
      <c r="AF45" s="2" t="s">
        <v>375</v>
      </c>
      <c r="AG45" s="2" t="s">
        <v>376</v>
      </c>
      <c r="AH45" s="2"/>
      <c r="AI45" s="2"/>
      <c r="AJ45" s="2"/>
      <c r="AK45" s="2" t="s">
        <v>89</v>
      </c>
      <c r="AL45" s="2" t="s">
        <v>89</v>
      </c>
      <c r="AM45" s="2"/>
      <c r="AN45" s="2"/>
      <c r="AO45" s="2"/>
      <c r="AP45" s="2"/>
      <c r="AQ45" s="2"/>
      <c r="AR45" s="2" t="s">
        <v>377</v>
      </c>
      <c r="AS45" s="2"/>
      <c r="AT45" t="str">
        <f t="shared" si="1"/>
        <v>UNIT 3</v>
      </c>
    </row>
    <row r="46" spans="1:46" ht="29" x14ac:dyDescent="0.35">
      <c r="A46" s="2" t="s">
        <v>378</v>
      </c>
      <c r="B46" s="2" t="s">
        <v>379</v>
      </c>
      <c r="C46" s="2" t="s">
        <v>380</v>
      </c>
      <c r="D46" s="2" t="s">
        <v>142</v>
      </c>
      <c r="E46" s="2" t="s">
        <v>142</v>
      </c>
      <c r="F46" s="2" t="s">
        <v>143</v>
      </c>
      <c r="G46" s="2" t="s">
        <v>95</v>
      </c>
      <c r="H46" s="4">
        <v>45561</v>
      </c>
      <c r="I46" s="2" t="s">
        <v>11</v>
      </c>
      <c r="J46" s="2" t="s">
        <v>82</v>
      </c>
      <c r="K46" s="2" t="s">
        <v>145</v>
      </c>
      <c r="L46" s="2" t="s">
        <v>381</v>
      </c>
      <c r="M46" s="2" t="s">
        <v>101</v>
      </c>
      <c r="N46" s="2" t="s">
        <v>382</v>
      </c>
      <c r="O46" s="2" t="s">
        <v>103</v>
      </c>
      <c r="P46" s="2" t="s">
        <v>89</v>
      </c>
      <c r="Q46" s="2" t="s">
        <v>89</v>
      </c>
      <c r="R46" s="2" t="s">
        <v>89</v>
      </c>
      <c r="S46" s="2" t="s">
        <v>90</v>
      </c>
      <c r="T46" s="2"/>
      <c r="U46" s="2"/>
      <c r="V46" s="2"/>
      <c r="W46" s="2"/>
      <c r="X46" s="2"/>
      <c r="Y46" s="2"/>
      <c r="Z46" s="2"/>
      <c r="AA46" s="2"/>
      <c r="AB46" s="2"/>
      <c r="AC46" s="2" t="s">
        <v>383</v>
      </c>
      <c r="AD46" s="2"/>
      <c r="AE46" s="2" t="s">
        <v>101</v>
      </c>
      <c r="AF46" s="2" t="s">
        <v>382</v>
      </c>
      <c r="AG46" s="2" t="s">
        <v>384</v>
      </c>
      <c r="AH46" s="2"/>
      <c r="AI46" s="2"/>
      <c r="AJ46" s="2"/>
      <c r="AK46" s="2" t="s">
        <v>89</v>
      </c>
      <c r="AL46" s="2" t="s">
        <v>89</v>
      </c>
      <c r="AM46" s="2"/>
      <c r="AN46" s="2"/>
      <c r="AO46" s="2"/>
      <c r="AP46" s="2"/>
      <c r="AQ46" s="2"/>
      <c r="AR46" s="2" t="s">
        <v>385</v>
      </c>
      <c r="AS46" s="2"/>
      <c r="AT46" t="str">
        <f t="shared" si="1"/>
        <v>UNIT 3</v>
      </c>
    </row>
    <row r="47" spans="1:46" ht="29" x14ac:dyDescent="0.35">
      <c r="A47" s="2" t="s">
        <v>386</v>
      </c>
      <c r="B47" s="2" t="s">
        <v>387</v>
      </c>
      <c r="C47" s="2" t="s">
        <v>388</v>
      </c>
      <c r="D47" s="2" t="s">
        <v>142</v>
      </c>
      <c r="E47" s="2" t="s">
        <v>142</v>
      </c>
      <c r="F47" s="2" t="s">
        <v>143</v>
      </c>
      <c r="G47" s="2" t="s">
        <v>144</v>
      </c>
      <c r="H47" s="4">
        <v>45539</v>
      </c>
      <c r="I47" s="2" t="s">
        <v>11</v>
      </c>
      <c r="J47" s="2" t="s">
        <v>82</v>
      </c>
      <c r="K47" s="2" t="s">
        <v>145</v>
      </c>
      <c r="L47" s="2" t="s">
        <v>381</v>
      </c>
      <c r="M47" s="2" t="s">
        <v>101</v>
      </c>
      <c r="N47" s="2" t="s">
        <v>382</v>
      </c>
      <c r="O47" s="2" t="s">
        <v>103</v>
      </c>
      <c r="P47" s="2" t="s">
        <v>89</v>
      </c>
      <c r="Q47" s="2" t="s">
        <v>89</v>
      </c>
      <c r="R47" s="2" t="s">
        <v>89</v>
      </c>
      <c r="S47" s="2" t="s">
        <v>90</v>
      </c>
      <c r="T47" s="2"/>
      <c r="U47" s="2"/>
      <c r="V47" s="2"/>
      <c r="W47" s="2"/>
      <c r="X47" s="2"/>
      <c r="Y47" s="2"/>
      <c r="Z47" s="2"/>
      <c r="AA47" s="2"/>
      <c r="AB47" s="2"/>
      <c r="AC47" s="2" t="s">
        <v>383</v>
      </c>
      <c r="AD47" s="2"/>
      <c r="AE47" s="2" t="s">
        <v>101</v>
      </c>
      <c r="AF47" s="2" t="s">
        <v>382</v>
      </c>
      <c r="AG47" s="2" t="s">
        <v>384</v>
      </c>
      <c r="AH47" s="2"/>
      <c r="AI47" s="2"/>
      <c r="AJ47" s="2"/>
      <c r="AK47" s="2" t="s">
        <v>89</v>
      </c>
      <c r="AL47" s="2" t="s">
        <v>89</v>
      </c>
      <c r="AM47" s="2"/>
      <c r="AN47" s="2"/>
      <c r="AO47" s="2"/>
      <c r="AP47" s="2"/>
      <c r="AQ47" s="2"/>
      <c r="AR47" s="2" t="s">
        <v>389</v>
      </c>
      <c r="AS47" s="2"/>
      <c r="AT47" t="str">
        <f t="shared" si="1"/>
        <v>UNIT 3</v>
      </c>
    </row>
    <row r="48" spans="1:46" ht="29" x14ac:dyDescent="0.35">
      <c r="A48" s="2" t="s">
        <v>390</v>
      </c>
      <c r="B48" s="2" t="s">
        <v>391</v>
      </c>
      <c r="C48" s="2" t="s">
        <v>392</v>
      </c>
      <c r="D48" s="2" t="s">
        <v>187</v>
      </c>
      <c r="E48" s="2" t="s">
        <v>79</v>
      </c>
      <c r="F48" s="2" t="s">
        <v>143</v>
      </c>
      <c r="G48" s="2" t="s">
        <v>217</v>
      </c>
      <c r="H48" s="4">
        <v>45554</v>
      </c>
      <c r="I48" s="2" t="s">
        <v>11</v>
      </c>
      <c r="J48" s="2" t="s">
        <v>82</v>
      </c>
      <c r="K48" s="2" t="s">
        <v>145</v>
      </c>
      <c r="L48" s="2" t="s">
        <v>393</v>
      </c>
      <c r="M48" s="2" t="s">
        <v>394</v>
      </c>
      <c r="N48" s="2" t="s">
        <v>395</v>
      </c>
      <c r="O48" s="2" t="s">
        <v>103</v>
      </c>
      <c r="P48" s="2" t="s">
        <v>396</v>
      </c>
      <c r="Q48" s="2" t="s">
        <v>397</v>
      </c>
      <c r="R48" s="2" t="s">
        <v>89</v>
      </c>
      <c r="S48" s="2" t="s">
        <v>90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 t="s">
        <v>398</v>
      </c>
      <c r="AS48" s="2" t="s">
        <v>192</v>
      </c>
      <c r="AT48" t="str">
        <f t="shared" si="1"/>
        <v>UNIT 3</v>
      </c>
    </row>
    <row r="49" spans="1:46" ht="29" x14ac:dyDescent="0.35">
      <c r="A49" s="2" t="s">
        <v>399</v>
      </c>
      <c r="B49" s="2" t="s">
        <v>400</v>
      </c>
      <c r="C49" s="2" t="s">
        <v>401</v>
      </c>
      <c r="D49" s="2" t="s">
        <v>142</v>
      </c>
      <c r="E49" s="2" t="s">
        <v>142</v>
      </c>
      <c r="F49" s="2" t="s">
        <v>143</v>
      </c>
      <c r="G49" s="2" t="s">
        <v>95</v>
      </c>
      <c r="H49" s="4">
        <v>45561</v>
      </c>
      <c r="I49" s="2" t="s">
        <v>11</v>
      </c>
      <c r="J49" s="2" t="s">
        <v>82</v>
      </c>
      <c r="K49" s="2" t="s">
        <v>145</v>
      </c>
      <c r="L49" s="2" t="s">
        <v>402</v>
      </c>
      <c r="M49" s="2" t="s">
        <v>403</v>
      </c>
      <c r="N49" s="2" t="s">
        <v>121</v>
      </c>
      <c r="O49" s="2" t="s">
        <v>103</v>
      </c>
      <c r="P49" s="2"/>
      <c r="Q49" s="2"/>
      <c r="R49" s="2" t="s">
        <v>89</v>
      </c>
      <c r="S49" s="2" t="s">
        <v>90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 t="s">
        <v>89</v>
      </c>
      <c r="AL49" s="2" t="s">
        <v>89</v>
      </c>
      <c r="AM49" s="2"/>
      <c r="AN49" s="2"/>
      <c r="AO49" s="2"/>
      <c r="AP49" s="2"/>
      <c r="AQ49" s="2"/>
      <c r="AR49" s="2" t="s">
        <v>404</v>
      </c>
      <c r="AS49" s="2"/>
      <c r="AT49" t="str">
        <f t="shared" si="1"/>
        <v>UNIT 3</v>
      </c>
    </row>
    <row r="50" spans="1:46" ht="29" x14ac:dyDescent="0.35">
      <c r="A50" s="2" t="s">
        <v>405</v>
      </c>
      <c r="B50" s="2" t="s">
        <v>406</v>
      </c>
      <c r="C50" s="2" t="s">
        <v>407</v>
      </c>
      <c r="D50" s="2" t="s">
        <v>142</v>
      </c>
      <c r="E50" s="2" t="s">
        <v>142</v>
      </c>
      <c r="F50" s="2" t="s">
        <v>143</v>
      </c>
      <c r="G50" s="2" t="s">
        <v>95</v>
      </c>
      <c r="H50" s="4">
        <v>45561</v>
      </c>
      <c r="I50" s="2" t="s">
        <v>8</v>
      </c>
      <c r="J50" s="2" t="s">
        <v>82</v>
      </c>
      <c r="K50" s="2" t="s">
        <v>145</v>
      </c>
      <c r="L50" s="2"/>
      <c r="M50" s="2"/>
      <c r="N50" s="2"/>
      <c r="O50" s="2"/>
      <c r="P50" s="2"/>
      <c r="Q50" s="2"/>
      <c r="R50" s="2" t="s">
        <v>89</v>
      </c>
      <c r="S50" s="2" t="s">
        <v>90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">
        <v>89</v>
      </c>
      <c r="AL50" s="2" t="s">
        <v>89</v>
      </c>
      <c r="AM50" s="2"/>
      <c r="AN50" s="2"/>
      <c r="AO50" s="2"/>
      <c r="AP50" s="2"/>
      <c r="AQ50" s="2"/>
      <c r="AR50" s="2" t="s">
        <v>408</v>
      </c>
      <c r="AS50" s="2"/>
      <c r="AT50" t="str">
        <f t="shared" si="1"/>
        <v>UNIT 3</v>
      </c>
    </row>
    <row r="51" spans="1:46" ht="43.5" x14ac:dyDescent="0.35">
      <c r="A51" s="2" t="s">
        <v>409</v>
      </c>
      <c r="B51" s="2" t="s">
        <v>410</v>
      </c>
      <c r="C51" s="2"/>
      <c r="D51" s="2" t="s">
        <v>142</v>
      </c>
      <c r="E51" s="2" t="s">
        <v>142</v>
      </c>
      <c r="F51" s="2" t="s">
        <v>143</v>
      </c>
      <c r="G51" s="2" t="s">
        <v>81</v>
      </c>
      <c r="H51" s="4">
        <v>45548</v>
      </c>
      <c r="I51" s="2" t="s">
        <v>8</v>
      </c>
      <c r="J51" s="2" t="s">
        <v>82</v>
      </c>
      <c r="K51" s="2" t="s">
        <v>145</v>
      </c>
      <c r="L51" s="2" t="s">
        <v>411</v>
      </c>
      <c r="M51" s="2" t="s">
        <v>412</v>
      </c>
      <c r="N51" s="2" t="s">
        <v>413</v>
      </c>
      <c r="O51" s="2"/>
      <c r="P51" s="2" t="s">
        <v>414</v>
      </c>
      <c r="Q51" s="2" t="s">
        <v>415</v>
      </c>
      <c r="R51" s="2"/>
      <c r="S51" s="2" t="s">
        <v>90</v>
      </c>
      <c r="T51" s="2" t="s">
        <v>416</v>
      </c>
      <c r="U51" s="2"/>
      <c r="V51" s="2" t="s">
        <v>417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">
        <v>89</v>
      </c>
      <c r="AL51" s="2" t="s">
        <v>89</v>
      </c>
      <c r="AM51" s="2"/>
      <c r="AN51" s="2"/>
      <c r="AO51" s="2"/>
      <c r="AP51" s="2"/>
      <c r="AQ51" s="2"/>
      <c r="AR51" s="2" t="s">
        <v>418</v>
      </c>
      <c r="AS51" s="2" t="s">
        <v>219</v>
      </c>
      <c r="AT51" t="str">
        <f t="shared" si="1"/>
        <v>UNIT 3</v>
      </c>
    </row>
    <row r="52" spans="1:46" ht="43.5" x14ac:dyDescent="0.35">
      <c r="A52" s="2" t="s">
        <v>419</v>
      </c>
      <c r="B52" s="2" t="s">
        <v>420</v>
      </c>
      <c r="C52" s="2"/>
      <c r="D52" s="2" t="s">
        <v>142</v>
      </c>
      <c r="E52" s="2" t="s">
        <v>142</v>
      </c>
      <c r="F52" s="2" t="s">
        <v>143</v>
      </c>
      <c r="G52" s="2" t="s">
        <v>81</v>
      </c>
      <c r="H52" s="4">
        <v>45548</v>
      </c>
      <c r="I52" s="2" t="s">
        <v>11</v>
      </c>
      <c r="J52" s="2" t="s">
        <v>82</v>
      </c>
      <c r="K52" s="2" t="s">
        <v>145</v>
      </c>
      <c r="L52" s="2" t="s">
        <v>421</v>
      </c>
      <c r="M52" s="2" t="s">
        <v>422</v>
      </c>
      <c r="N52" s="2" t="s">
        <v>423</v>
      </c>
      <c r="O52" s="2"/>
      <c r="P52" s="2" t="s">
        <v>424</v>
      </c>
      <c r="Q52" s="2" t="s">
        <v>424</v>
      </c>
      <c r="R52" s="2"/>
      <c r="S52" s="2" t="s">
        <v>90</v>
      </c>
      <c r="T52" s="2" t="s">
        <v>425</v>
      </c>
      <c r="U52" s="2"/>
      <c r="V52" s="2" t="s">
        <v>426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 t="s">
        <v>427</v>
      </c>
      <c r="AS52" s="2" t="s">
        <v>219</v>
      </c>
      <c r="AT52" t="str">
        <f t="shared" si="1"/>
        <v>UNIT 3</v>
      </c>
    </row>
    <row r="53" spans="1:46" ht="43.5" x14ac:dyDescent="0.35">
      <c r="A53" s="2" t="s">
        <v>428</v>
      </c>
      <c r="B53" s="2" t="s">
        <v>429</v>
      </c>
      <c r="C53" s="2"/>
      <c r="D53" s="2" t="s">
        <v>142</v>
      </c>
      <c r="E53" s="2" t="s">
        <v>142</v>
      </c>
      <c r="F53" s="2" t="s">
        <v>143</v>
      </c>
      <c r="G53" s="2" t="s">
        <v>81</v>
      </c>
      <c r="H53" s="4">
        <v>45548</v>
      </c>
      <c r="I53" s="2" t="s">
        <v>11</v>
      </c>
      <c r="J53" s="2" t="s">
        <v>82</v>
      </c>
      <c r="K53" s="2" t="s">
        <v>145</v>
      </c>
      <c r="L53" s="2" t="s">
        <v>430</v>
      </c>
      <c r="M53" s="2" t="s">
        <v>133</v>
      </c>
      <c r="N53" s="2"/>
      <c r="O53" s="2"/>
      <c r="P53" s="2" t="s">
        <v>89</v>
      </c>
      <c r="Q53" s="2" t="s">
        <v>89</v>
      </c>
      <c r="R53" s="2" t="s">
        <v>89</v>
      </c>
      <c r="S53" s="2" t="s">
        <v>90</v>
      </c>
      <c r="T53" s="2"/>
      <c r="U53" s="2" t="s">
        <v>431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 t="s">
        <v>432</v>
      </c>
      <c r="AS53" s="2" t="s">
        <v>219</v>
      </c>
      <c r="AT53" t="str">
        <f t="shared" si="1"/>
        <v>UNIT 3</v>
      </c>
    </row>
    <row r="54" spans="1:46" ht="29" x14ac:dyDescent="0.35">
      <c r="A54" s="2" t="s">
        <v>433</v>
      </c>
      <c r="B54" s="2" t="s">
        <v>434</v>
      </c>
      <c r="C54" s="2"/>
      <c r="D54" s="2" t="s">
        <v>142</v>
      </c>
      <c r="E54" s="2" t="s">
        <v>142</v>
      </c>
      <c r="F54" s="2" t="s">
        <v>143</v>
      </c>
      <c r="G54" s="2" t="s">
        <v>81</v>
      </c>
      <c r="H54" s="4">
        <v>45547</v>
      </c>
      <c r="I54" s="2" t="s">
        <v>17</v>
      </c>
      <c r="J54" s="2" t="s">
        <v>82</v>
      </c>
      <c r="K54" s="2" t="s">
        <v>145</v>
      </c>
      <c r="L54" s="2" t="s">
        <v>421</v>
      </c>
      <c r="M54" s="2" t="s">
        <v>422</v>
      </c>
      <c r="N54" s="2" t="s">
        <v>423</v>
      </c>
      <c r="O54" s="2"/>
      <c r="P54" s="2" t="s">
        <v>424</v>
      </c>
      <c r="Q54" s="2" t="s">
        <v>424</v>
      </c>
      <c r="R54" s="2"/>
      <c r="S54" s="2" t="s">
        <v>90</v>
      </c>
      <c r="T54" s="2" t="s">
        <v>425</v>
      </c>
      <c r="U54" s="2"/>
      <c r="V54" s="2" t="s">
        <v>426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 t="s">
        <v>435</v>
      </c>
      <c r="AS54" s="2" t="s">
        <v>219</v>
      </c>
      <c r="AT54" t="str">
        <f t="shared" si="1"/>
        <v>UNIT 3</v>
      </c>
    </row>
    <row r="55" spans="1:46" ht="29" x14ac:dyDescent="0.35">
      <c r="A55" s="2" t="s">
        <v>436</v>
      </c>
      <c r="B55" s="2" t="s">
        <v>437</v>
      </c>
      <c r="C55" s="2"/>
      <c r="D55" s="2" t="s">
        <v>142</v>
      </c>
      <c r="E55" s="2" t="s">
        <v>142</v>
      </c>
      <c r="F55" s="2" t="s">
        <v>143</v>
      </c>
      <c r="G55" s="2" t="s">
        <v>81</v>
      </c>
      <c r="H55" s="4">
        <v>45547</v>
      </c>
      <c r="I55" s="2" t="s">
        <v>8</v>
      </c>
      <c r="J55" s="2" t="s">
        <v>82</v>
      </c>
      <c r="K55" s="2" t="s">
        <v>145</v>
      </c>
      <c r="L55" s="2" t="s">
        <v>421</v>
      </c>
      <c r="M55" s="2" t="s">
        <v>422</v>
      </c>
      <c r="N55" s="2" t="s">
        <v>423</v>
      </c>
      <c r="O55" s="2"/>
      <c r="P55" s="2" t="s">
        <v>424</v>
      </c>
      <c r="Q55" s="2" t="s">
        <v>424</v>
      </c>
      <c r="R55" s="2"/>
      <c r="S55" s="2" t="s">
        <v>90</v>
      </c>
      <c r="T55" s="2" t="s">
        <v>425</v>
      </c>
      <c r="U55" s="2"/>
      <c r="V55" s="2" t="s">
        <v>426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 t="s">
        <v>438</v>
      </c>
      <c r="AS55" s="2" t="s">
        <v>219</v>
      </c>
      <c r="AT55" t="str">
        <f t="shared" si="1"/>
        <v>UNIT 3</v>
      </c>
    </row>
    <row r="56" spans="1:46" ht="29" x14ac:dyDescent="0.35">
      <c r="A56" s="2" t="s">
        <v>439</v>
      </c>
      <c r="B56" s="2" t="s">
        <v>440</v>
      </c>
      <c r="C56" s="2" t="s">
        <v>441</v>
      </c>
      <c r="D56" s="2" t="s">
        <v>442</v>
      </c>
      <c r="E56" s="2" t="s">
        <v>443</v>
      </c>
      <c r="F56" s="2" t="s">
        <v>444</v>
      </c>
      <c r="G56" s="2" t="s">
        <v>217</v>
      </c>
      <c r="H56" s="4">
        <v>45554</v>
      </c>
      <c r="I56" s="2" t="s">
        <v>11</v>
      </c>
      <c r="J56" s="2" t="s">
        <v>82</v>
      </c>
      <c r="K56" s="2" t="s">
        <v>145</v>
      </c>
      <c r="L56" s="2" t="s">
        <v>445</v>
      </c>
      <c r="M56" s="2" t="s">
        <v>446</v>
      </c>
      <c r="N56" s="2" t="s">
        <v>447</v>
      </c>
      <c r="O56" s="2" t="s">
        <v>103</v>
      </c>
      <c r="P56" s="2" t="s">
        <v>89</v>
      </c>
      <c r="Q56" s="2" t="s">
        <v>89</v>
      </c>
      <c r="R56" s="2" t="s">
        <v>89</v>
      </c>
      <c r="S56" s="2" t="s">
        <v>90</v>
      </c>
      <c r="T56" s="2"/>
      <c r="U56" s="2"/>
      <c r="V56" s="2"/>
      <c r="W56" s="2"/>
      <c r="X56" s="2"/>
      <c r="Y56" s="2"/>
      <c r="Z56" s="2"/>
      <c r="AA56" s="2"/>
      <c r="AB56" s="2"/>
      <c r="AC56" s="2" t="s">
        <v>448</v>
      </c>
      <c r="AD56" s="2"/>
      <c r="AE56" s="2" t="s">
        <v>89</v>
      </c>
      <c r="AF56" s="2" t="s">
        <v>447</v>
      </c>
      <c r="AG56" s="2" t="s">
        <v>449</v>
      </c>
      <c r="AH56" s="2"/>
      <c r="AI56" s="2"/>
      <c r="AJ56" s="2" t="s">
        <v>103</v>
      </c>
      <c r="AK56" s="2" t="s">
        <v>89</v>
      </c>
      <c r="AL56" s="2" t="s">
        <v>89</v>
      </c>
      <c r="AM56" s="2"/>
      <c r="AN56" s="2"/>
      <c r="AO56" s="2"/>
      <c r="AP56" s="2"/>
      <c r="AQ56" s="2"/>
      <c r="AR56" s="2" t="s">
        <v>450</v>
      </c>
      <c r="AS56" s="2" t="s">
        <v>192</v>
      </c>
      <c r="AT56" t="str">
        <f t="shared" si="1"/>
        <v>COMMON</v>
      </c>
    </row>
    <row r="57" spans="1:46" ht="29" x14ac:dyDescent="0.35">
      <c r="A57" s="2" t="s">
        <v>451</v>
      </c>
      <c r="B57" s="2" t="s">
        <v>452</v>
      </c>
      <c r="C57" s="2" t="s">
        <v>453</v>
      </c>
      <c r="D57" s="2" t="s">
        <v>442</v>
      </c>
      <c r="E57" s="2" t="s">
        <v>443</v>
      </c>
      <c r="F57" s="2" t="s">
        <v>444</v>
      </c>
      <c r="G57" s="2" t="s">
        <v>144</v>
      </c>
      <c r="H57" s="4">
        <v>45540</v>
      </c>
      <c r="I57" s="2" t="s">
        <v>11</v>
      </c>
      <c r="J57" s="2" t="s">
        <v>82</v>
      </c>
      <c r="K57" s="2" t="s">
        <v>454</v>
      </c>
      <c r="L57" s="2" t="s">
        <v>445</v>
      </c>
      <c r="M57" s="2" t="s">
        <v>446</v>
      </c>
      <c r="N57" s="2" t="s">
        <v>447</v>
      </c>
      <c r="O57" s="2" t="s">
        <v>103</v>
      </c>
      <c r="P57" s="2" t="s">
        <v>89</v>
      </c>
      <c r="Q57" s="2" t="s">
        <v>89</v>
      </c>
      <c r="R57" s="2" t="s">
        <v>89</v>
      </c>
      <c r="S57" s="2" t="s">
        <v>90</v>
      </c>
      <c r="T57" s="2"/>
      <c r="U57" s="2"/>
      <c r="V57" s="2"/>
      <c r="W57" s="2"/>
      <c r="X57" s="2"/>
      <c r="Y57" s="2"/>
      <c r="Z57" s="2"/>
      <c r="AA57" s="2"/>
      <c r="AB57" s="2"/>
      <c r="AC57" s="2" t="s">
        <v>448</v>
      </c>
      <c r="AD57" s="2"/>
      <c r="AE57" s="2" t="s">
        <v>89</v>
      </c>
      <c r="AF57" s="2" t="s">
        <v>447</v>
      </c>
      <c r="AG57" s="2" t="s">
        <v>449</v>
      </c>
      <c r="AH57" s="2"/>
      <c r="AI57" s="2"/>
      <c r="AJ57" s="2" t="s">
        <v>103</v>
      </c>
      <c r="AK57" s="2" t="s">
        <v>89</v>
      </c>
      <c r="AL57" s="2" t="s">
        <v>89</v>
      </c>
      <c r="AM57" s="2"/>
      <c r="AN57" s="2"/>
      <c r="AO57" s="2"/>
      <c r="AP57" s="2"/>
      <c r="AQ57" s="2"/>
      <c r="AR57" s="2" t="s">
        <v>455</v>
      </c>
      <c r="AS57" s="2" t="s">
        <v>192</v>
      </c>
      <c r="AT57" t="str">
        <f t="shared" si="1"/>
        <v>COMMON</v>
      </c>
    </row>
    <row r="58" spans="1:46" ht="29" x14ac:dyDescent="0.35">
      <c r="A58" s="2" t="s">
        <v>456</v>
      </c>
      <c r="B58" s="2" t="s">
        <v>457</v>
      </c>
      <c r="C58" s="2" t="s">
        <v>458</v>
      </c>
      <c r="D58" s="2" t="s">
        <v>442</v>
      </c>
      <c r="E58" s="2" t="s">
        <v>443</v>
      </c>
      <c r="F58" s="2" t="s">
        <v>444</v>
      </c>
      <c r="G58" s="2" t="s">
        <v>217</v>
      </c>
      <c r="H58" s="4">
        <v>45555</v>
      </c>
      <c r="I58" s="2" t="s">
        <v>11</v>
      </c>
      <c r="J58" s="2" t="s">
        <v>82</v>
      </c>
      <c r="K58" s="2" t="s">
        <v>454</v>
      </c>
      <c r="L58" s="2" t="s">
        <v>459</v>
      </c>
      <c r="M58" s="2" t="s">
        <v>460</v>
      </c>
      <c r="N58" s="2" t="s">
        <v>347</v>
      </c>
      <c r="O58" s="2" t="s">
        <v>103</v>
      </c>
      <c r="P58" s="2" t="s">
        <v>89</v>
      </c>
      <c r="Q58" s="2" t="s">
        <v>89</v>
      </c>
      <c r="R58" s="2" t="s">
        <v>89</v>
      </c>
      <c r="S58" s="2" t="s">
        <v>90</v>
      </c>
      <c r="T58" s="2"/>
      <c r="U58" s="2"/>
      <c r="V58" s="2"/>
      <c r="W58" s="2"/>
      <c r="X58" s="2"/>
      <c r="Y58" s="2"/>
      <c r="Z58" s="2"/>
      <c r="AA58" s="2"/>
      <c r="AB58" s="2"/>
      <c r="AC58" s="2" t="s">
        <v>461</v>
      </c>
      <c r="AD58" s="2"/>
      <c r="AE58" s="2" t="s">
        <v>89</v>
      </c>
      <c r="AF58" s="2" t="s">
        <v>347</v>
      </c>
      <c r="AG58" s="2" t="s">
        <v>449</v>
      </c>
      <c r="AH58" s="2"/>
      <c r="AI58" s="2"/>
      <c r="AJ58" s="2" t="s">
        <v>103</v>
      </c>
      <c r="AK58" s="2" t="s">
        <v>89</v>
      </c>
      <c r="AL58" s="2" t="s">
        <v>89</v>
      </c>
      <c r="AM58" s="2"/>
      <c r="AN58" s="2"/>
      <c r="AO58" s="2"/>
      <c r="AP58" s="2"/>
      <c r="AQ58" s="2"/>
      <c r="AR58" s="2" t="s">
        <v>462</v>
      </c>
      <c r="AS58" s="2" t="s">
        <v>192</v>
      </c>
      <c r="AT58" t="str">
        <f t="shared" si="1"/>
        <v>COMMON</v>
      </c>
    </row>
    <row r="59" spans="1:46" ht="29" x14ac:dyDescent="0.35">
      <c r="A59" s="2" t="s">
        <v>463</v>
      </c>
      <c r="B59" s="2" t="s">
        <v>464</v>
      </c>
      <c r="C59" s="2" t="s">
        <v>465</v>
      </c>
      <c r="D59" s="2" t="s">
        <v>442</v>
      </c>
      <c r="E59" s="2" t="s">
        <v>443</v>
      </c>
      <c r="F59" s="2" t="s">
        <v>444</v>
      </c>
      <c r="G59" s="2" t="s">
        <v>144</v>
      </c>
      <c r="H59" s="4">
        <v>45541</v>
      </c>
      <c r="I59" s="2" t="s">
        <v>8</v>
      </c>
      <c r="J59" s="2" t="s">
        <v>82</v>
      </c>
      <c r="K59" s="2" t="s">
        <v>145</v>
      </c>
      <c r="L59" s="2" t="s">
        <v>459</v>
      </c>
      <c r="M59" s="2" t="s">
        <v>460</v>
      </c>
      <c r="N59" s="2" t="s">
        <v>347</v>
      </c>
      <c r="O59" s="2" t="s">
        <v>103</v>
      </c>
      <c r="P59" s="2" t="s">
        <v>89</v>
      </c>
      <c r="Q59" s="2" t="s">
        <v>89</v>
      </c>
      <c r="R59" s="2" t="s">
        <v>89</v>
      </c>
      <c r="S59" s="2" t="s">
        <v>90</v>
      </c>
      <c r="T59" s="2"/>
      <c r="U59" s="2"/>
      <c r="V59" s="2"/>
      <c r="W59" s="2"/>
      <c r="X59" s="2"/>
      <c r="Y59" s="2"/>
      <c r="Z59" s="2"/>
      <c r="AA59" s="2"/>
      <c r="AB59" s="2"/>
      <c r="AC59" s="2" t="s">
        <v>461</v>
      </c>
      <c r="AD59" s="2"/>
      <c r="AE59" s="2" t="s">
        <v>89</v>
      </c>
      <c r="AF59" s="2" t="s">
        <v>347</v>
      </c>
      <c r="AG59" s="2" t="s">
        <v>449</v>
      </c>
      <c r="AH59" s="2"/>
      <c r="AI59" s="2"/>
      <c r="AJ59" s="2" t="s">
        <v>103</v>
      </c>
      <c r="AK59" s="2" t="s">
        <v>89</v>
      </c>
      <c r="AL59" s="2" t="s">
        <v>89</v>
      </c>
      <c r="AM59" s="2"/>
      <c r="AN59" s="2"/>
      <c r="AO59" s="2"/>
      <c r="AP59" s="2"/>
      <c r="AQ59" s="2"/>
      <c r="AR59" s="2" t="s">
        <v>466</v>
      </c>
      <c r="AS59" s="2" t="s">
        <v>192</v>
      </c>
      <c r="AT59" t="str">
        <f t="shared" si="1"/>
        <v>COMMON</v>
      </c>
    </row>
    <row r="60" spans="1:46" ht="29" x14ac:dyDescent="0.35">
      <c r="A60" s="2" t="s">
        <v>467</v>
      </c>
      <c r="B60" s="2" t="s">
        <v>468</v>
      </c>
      <c r="C60" s="2" t="s">
        <v>469</v>
      </c>
      <c r="D60" s="2" t="s">
        <v>443</v>
      </c>
      <c r="E60" s="2" t="s">
        <v>443</v>
      </c>
      <c r="F60" s="2" t="s">
        <v>444</v>
      </c>
      <c r="G60" s="2" t="s">
        <v>217</v>
      </c>
      <c r="H60" s="4">
        <v>45555</v>
      </c>
      <c r="I60" s="2" t="s">
        <v>11</v>
      </c>
      <c r="J60" s="2" t="s">
        <v>82</v>
      </c>
      <c r="K60" s="2" t="s">
        <v>145</v>
      </c>
      <c r="L60" s="2" t="s">
        <v>470</v>
      </c>
      <c r="M60" s="2" t="s">
        <v>471</v>
      </c>
      <c r="N60" s="2" t="s">
        <v>472</v>
      </c>
      <c r="O60" s="2" t="s">
        <v>103</v>
      </c>
      <c r="P60" s="2" t="s">
        <v>89</v>
      </c>
      <c r="Q60" s="2" t="s">
        <v>89</v>
      </c>
      <c r="R60" s="2" t="s">
        <v>89</v>
      </c>
      <c r="S60" s="2" t="s">
        <v>90</v>
      </c>
      <c r="T60" s="2"/>
      <c r="U60" s="2"/>
      <c r="V60" s="2"/>
      <c r="W60" s="2"/>
      <c r="X60" s="2"/>
      <c r="Y60" s="2"/>
      <c r="Z60" s="2"/>
      <c r="AA60" s="2"/>
      <c r="AB60" s="2"/>
      <c r="AC60" s="2" t="s">
        <v>473</v>
      </c>
      <c r="AD60" s="2"/>
      <c r="AE60" s="2" t="s">
        <v>89</v>
      </c>
      <c r="AF60" s="2" t="s">
        <v>447</v>
      </c>
      <c r="AG60" s="2" t="s">
        <v>449</v>
      </c>
      <c r="AH60" s="2"/>
      <c r="AI60" s="2"/>
      <c r="AJ60" s="2" t="s">
        <v>103</v>
      </c>
      <c r="AK60" s="2" t="s">
        <v>89</v>
      </c>
      <c r="AL60" s="2" t="s">
        <v>89</v>
      </c>
      <c r="AM60" s="2"/>
      <c r="AN60" s="2"/>
      <c r="AO60" s="2"/>
      <c r="AP60" s="2"/>
      <c r="AQ60" s="2"/>
      <c r="AR60" s="2" t="s">
        <v>474</v>
      </c>
      <c r="AS60" s="2"/>
      <c r="AT60" t="str">
        <f t="shared" si="1"/>
        <v>COMMON</v>
      </c>
    </row>
    <row r="61" spans="1:46" ht="29" x14ac:dyDescent="0.35">
      <c r="A61" s="2" t="s">
        <v>475</v>
      </c>
      <c r="B61" s="2" t="s">
        <v>476</v>
      </c>
      <c r="C61" s="2" t="s">
        <v>477</v>
      </c>
      <c r="D61" s="2" t="s">
        <v>442</v>
      </c>
      <c r="E61" s="2" t="s">
        <v>443</v>
      </c>
      <c r="F61" s="2" t="s">
        <v>444</v>
      </c>
      <c r="G61" s="2" t="s">
        <v>144</v>
      </c>
      <c r="H61" s="4">
        <v>45541</v>
      </c>
      <c r="I61" s="2" t="s">
        <v>11</v>
      </c>
      <c r="J61" s="2" t="s">
        <v>82</v>
      </c>
      <c r="K61" s="2" t="s">
        <v>145</v>
      </c>
      <c r="L61" s="2" t="s">
        <v>470</v>
      </c>
      <c r="M61" s="2" t="s">
        <v>471</v>
      </c>
      <c r="N61" s="2" t="s">
        <v>472</v>
      </c>
      <c r="O61" s="2" t="s">
        <v>103</v>
      </c>
      <c r="P61" s="2" t="s">
        <v>89</v>
      </c>
      <c r="Q61" s="2" t="s">
        <v>89</v>
      </c>
      <c r="R61" s="2" t="s">
        <v>89</v>
      </c>
      <c r="S61" s="2" t="s">
        <v>90</v>
      </c>
      <c r="T61" s="2"/>
      <c r="U61" s="2"/>
      <c r="V61" s="2"/>
      <c r="W61" s="2"/>
      <c r="X61" s="2"/>
      <c r="Y61" s="2"/>
      <c r="Z61" s="2"/>
      <c r="AA61" s="2"/>
      <c r="AB61" s="2"/>
      <c r="AC61" s="2" t="s">
        <v>473</v>
      </c>
      <c r="AD61" s="2"/>
      <c r="AE61" s="2" t="s">
        <v>89</v>
      </c>
      <c r="AF61" s="2" t="s">
        <v>447</v>
      </c>
      <c r="AG61" s="2" t="s">
        <v>449</v>
      </c>
      <c r="AH61" s="2"/>
      <c r="AI61" s="2"/>
      <c r="AJ61" s="2" t="s">
        <v>103</v>
      </c>
      <c r="AK61" s="2" t="s">
        <v>89</v>
      </c>
      <c r="AL61" s="2" t="s">
        <v>89</v>
      </c>
      <c r="AM61" s="2"/>
      <c r="AN61" s="2"/>
      <c r="AO61" s="2"/>
      <c r="AP61" s="2"/>
      <c r="AQ61" s="2"/>
      <c r="AR61" s="2" t="s">
        <v>478</v>
      </c>
      <c r="AS61" s="2" t="s">
        <v>192</v>
      </c>
      <c r="AT61" t="str">
        <f t="shared" si="1"/>
        <v>COMMON</v>
      </c>
    </row>
    <row r="62" spans="1:46" ht="29" x14ac:dyDescent="0.35">
      <c r="A62" s="2" t="s">
        <v>479</v>
      </c>
      <c r="B62" s="2" t="s">
        <v>480</v>
      </c>
      <c r="C62" s="2" t="s">
        <v>481</v>
      </c>
      <c r="D62" s="2" t="s">
        <v>443</v>
      </c>
      <c r="E62" s="2" t="s">
        <v>443</v>
      </c>
      <c r="F62" s="2" t="s">
        <v>444</v>
      </c>
      <c r="G62" s="2" t="s">
        <v>217</v>
      </c>
      <c r="H62" s="4">
        <v>45555</v>
      </c>
      <c r="I62" s="2" t="s">
        <v>11</v>
      </c>
      <c r="J62" s="2" t="s">
        <v>82</v>
      </c>
      <c r="K62" s="2" t="s">
        <v>145</v>
      </c>
      <c r="L62" s="2"/>
      <c r="M62" s="2" t="s">
        <v>482</v>
      </c>
      <c r="N62" s="2" t="s">
        <v>483</v>
      </c>
      <c r="O62" s="2" t="s">
        <v>103</v>
      </c>
      <c r="P62" s="2" t="s">
        <v>89</v>
      </c>
      <c r="Q62" s="2" t="s">
        <v>89</v>
      </c>
      <c r="R62" s="2" t="s">
        <v>89</v>
      </c>
      <c r="S62" s="2" t="s">
        <v>90</v>
      </c>
      <c r="T62" s="2"/>
      <c r="U62" s="2"/>
      <c r="V62" s="2"/>
      <c r="W62" s="2"/>
      <c r="X62" s="2"/>
      <c r="Y62" s="2"/>
      <c r="Z62" s="2"/>
      <c r="AA62" s="2"/>
      <c r="AB62" s="2"/>
      <c r="AC62" s="2" t="s">
        <v>89</v>
      </c>
      <c r="AD62" s="2"/>
      <c r="AE62" s="2" t="s">
        <v>89</v>
      </c>
      <c r="AF62" s="2" t="s">
        <v>89</v>
      </c>
      <c r="AG62" s="2" t="s">
        <v>89</v>
      </c>
      <c r="AH62" s="2"/>
      <c r="AI62" s="2"/>
      <c r="AJ62" s="2" t="s">
        <v>89</v>
      </c>
      <c r="AK62" s="2" t="s">
        <v>89</v>
      </c>
      <c r="AL62" s="2" t="s">
        <v>89</v>
      </c>
      <c r="AM62" s="2"/>
      <c r="AN62" s="2"/>
      <c r="AO62" s="2"/>
      <c r="AP62" s="2"/>
      <c r="AQ62" s="2"/>
      <c r="AR62" s="2" t="s">
        <v>484</v>
      </c>
      <c r="AS62" s="2"/>
      <c r="AT62" t="str">
        <f t="shared" si="1"/>
        <v>COMMON</v>
      </c>
    </row>
    <row r="63" spans="1:46" ht="29" x14ac:dyDescent="0.35">
      <c r="A63" s="2" t="s">
        <v>485</v>
      </c>
      <c r="B63" s="2" t="s">
        <v>486</v>
      </c>
      <c r="C63" s="2" t="s">
        <v>487</v>
      </c>
      <c r="D63" s="2" t="s">
        <v>443</v>
      </c>
      <c r="E63" s="2" t="s">
        <v>443</v>
      </c>
      <c r="F63" s="2" t="s">
        <v>444</v>
      </c>
      <c r="G63" s="2" t="s">
        <v>144</v>
      </c>
      <c r="H63" s="4">
        <v>45541</v>
      </c>
      <c r="I63" s="2" t="s">
        <v>11</v>
      </c>
      <c r="J63" s="2" t="s">
        <v>82</v>
      </c>
      <c r="K63" s="2" t="s">
        <v>145</v>
      </c>
      <c r="L63" s="2"/>
      <c r="M63" s="2" t="s">
        <v>482</v>
      </c>
      <c r="N63" s="2" t="s">
        <v>483</v>
      </c>
      <c r="O63" s="2" t="s">
        <v>103</v>
      </c>
      <c r="P63" s="2" t="s">
        <v>89</v>
      </c>
      <c r="Q63" s="2" t="s">
        <v>89</v>
      </c>
      <c r="R63" s="2" t="s">
        <v>89</v>
      </c>
      <c r="S63" s="2" t="s">
        <v>90</v>
      </c>
      <c r="T63" s="2"/>
      <c r="U63" s="2"/>
      <c r="V63" s="2"/>
      <c r="W63" s="2"/>
      <c r="X63" s="2"/>
      <c r="Y63" s="2"/>
      <c r="Z63" s="2"/>
      <c r="AA63" s="2"/>
      <c r="AB63" s="2"/>
      <c r="AC63" s="2" t="s">
        <v>89</v>
      </c>
      <c r="AD63" s="2"/>
      <c r="AE63" s="2" t="s">
        <v>89</v>
      </c>
      <c r="AF63" s="2" t="s">
        <v>89</v>
      </c>
      <c r="AG63" s="2" t="s">
        <v>89</v>
      </c>
      <c r="AH63" s="2"/>
      <c r="AI63" s="2"/>
      <c r="AJ63" s="2" t="s">
        <v>89</v>
      </c>
      <c r="AK63" s="2" t="s">
        <v>89</v>
      </c>
      <c r="AL63" s="2" t="s">
        <v>89</v>
      </c>
      <c r="AM63" s="2"/>
      <c r="AN63" s="2"/>
      <c r="AO63" s="2"/>
      <c r="AP63" s="2"/>
      <c r="AQ63" s="2"/>
      <c r="AR63" s="2" t="s">
        <v>488</v>
      </c>
      <c r="AS63" s="2"/>
      <c r="AT63" t="str">
        <f t="shared" si="1"/>
        <v>COMMON</v>
      </c>
    </row>
    <row r="64" spans="1:46" ht="29" x14ac:dyDescent="0.35">
      <c r="A64" s="2" t="s">
        <v>489</v>
      </c>
      <c r="B64" s="2" t="s">
        <v>490</v>
      </c>
      <c r="C64" s="2" t="s">
        <v>491</v>
      </c>
      <c r="D64" s="2" t="s">
        <v>492</v>
      </c>
      <c r="E64" s="2" t="s">
        <v>443</v>
      </c>
      <c r="F64" s="2" t="s">
        <v>444</v>
      </c>
      <c r="G64" s="2" t="s">
        <v>217</v>
      </c>
      <c r="H64" s="4">
        <v>45555</v>
      </c>
      <c r="I64" s="2" t="s">
        <v>11</v>
      </c>
      <c r="J64" s="2" t="s">
        <v>82</v>
      </c>
      <c r="K64" s="2" t="s">
        <v>145</v>
      </c>
      <c r="L64" s="2"/>
      <c r="M64" s="2" t="s">
        <v>446</v>
      </c>
      <c r="N64" s="2" t="s">
        <v>493</v>
      </c>
      <c r="O64" s="2" t="s">
        <v>103</v>
      </c>
      <c r="P64" s="2" t="s">
        <v>89</v>
      </c>
      <c r="Q64" s="2" t="s">
        <v>89</v>
      </c>
      <c r="R64" s="2" t="s">
        <v>89</v>
      </c>
      <c r="S64" s="2" t="s">
        <v>90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89</v>
      </c>
      <c r="AD64" s="2"/>
      <c r="AE64" s="2" t="s">
        <v>89</v>
      </c>
      <c r="AF64" s="2" t="s">
        <v>89</v>
      </c>
      <c r="AG64" s="2" t="s">
        <v>89</v>
      </c>
      <c r="AH64" s="2"/>
      <c r="AI64" s="2"/>
      <c r="AJ64" s="2" t="s">
        <v>89</v>
      </c>
      <c r="AK64" s="2" t="s">
        <v>89</v>
      </c>
      <c r="AL64" s="2" t="s">
        <v>89</v>
      </c>
      <c r="AM64" s="2"/>
      <c r="AN64" s="2"/>
      <c r="AO64" s="2"/>
      <c r="AP64" s="2"/>
      <c r="AQ64" s="2"/>
      <c r="AR64" s="2" t="s">
        <v>494</v>
      </c>
      <c r="AS64" s="2" t="s">
        <v>192</v>
      </c>
      <c r="AT64" t="str">
        <f t="shared" si="1"/>
        <v>COMMON</v>
      </c>
    </row>
    <row r="65" spans="1:46" ht="29" x14ac:dyDescent="0.35">
      <c r="A65" s="2" t="s">
        <v>495</v>
      </c>
      <c r="B65" s="2" t="s">
        <v>496</v>
      </c>
      <c r="C65" s="2" t="s">
        <v>497</v>
      </c>
      <c r="D65" s="2" t="s">
        <v>443</v>
      </c>
      <c r="E65" s="2" t="s">
        <v>443</v>
      </c>
      <c r="F65" s="2" t="s">
        <v>444</v>
      </c>
      <c r="G65" s="2" t="s">
        <v>144</v>
      </c>
      <c r="H65" s="4">
        <v>45541</v>
      </c>
      <c r="I65" s="2" t="s">
        <v>8</v>
      </c>
      <c r="J65" s="2" t="s">
        <v>82</v>
      </c>
      <c r="K65" s="2" t="s">
        <v>145</v>
      </c>
      <c r="L65" s="2"/>
      <c r="M65" s="2" t="s">
        <v>446</v>
      </c>
      <c r="N65" s="2" t="s">
        <v>493</v>
      </c>
      <c r="O65" s="2" t="s">
        <v>103</v>
      </c>
      <c r="P65" s="2" t="s">
        <v>89</v>
      </c>
      <c r="Q65" s="2" t="s">
        <v>89</v>
      </c>
      <c r="R65" s="2" t="s">
        <v>89</v>
      </c>
      <c r="S65" s="2" t="s">
        <v>90</v>
      </c>
      <c r="T65" s="2"/>
      <c r="U65" s="2"/>
      <c r="V65" s="2"/>
      <c r="W65" s="2"/>
      <c r="X65" s="2"/>
      <c r="Y65" s="2"/>
      <c r="Z65" s="2"/>
      <c r="AA65" s="2"/>
      <c r="AB65" s="2"/>
      <c r="AC65" s="2" t="s">
        <v>89</v>
      </c>
      <c r="AD65" s="2"/>
      <c r="AE65" s="2" t="s">
        <v>89</v>
      </c>
      <c r="AF65" s="2" t="s">
        <v>89</v>
      </c>
      <c r="AG65" s="2" t="s">
        <v>89</v>
      </c>
      <c r="AH65" s="2"/>
      <c r="AI65" s="2"/>
      <c r="AJ65" s="2" t="s">
        <v>89</v>
      </c>
      <c r="AK65" s="2" t="s">
        <v>89</v>
      </c>
      <c r="AL65" s="2" t="s">
        <v>89</v>
      </c>
      <c r="AM65" s="2"/>
      <c r="AN65" s="2"/>
      <c r="AO65" s="2"/>
      <c r="AP65" s="2"/>
      <c r="AQ65" s="2"/>
      <c r="AR65" s="2" t="s">
        <v>498</v>
      </c>
      <c r="AS65" s="2"/>
      <c r="AT65" t="str">
        <f t="shared" si="1"/>
        <v>COMMON</v>
      </c>
    </row>
    <row r="66" spans="1:46" ht="29" x14ac:dyDescent="0.35">
      <c r="A66" s="2" t="s">
        <v>499</v>
      </c>
      <c r="B66" s="2" t="s">
        <v>500</v>
      </c>
      <c r="C66" s="2" t="s">
        <v>497</v>
      </c>
      <c r="D66" s="2" t="s">
        <v>501</v>
      </c>
      <c r="E66" s="2" t="s">
        <v>443</v>
      </c>
      <c r="F66" s="2" t="s">
        <v>502</v>
      </c>
      <c r="G66" s="2" t="s">
        <v>217</v>
      </c>
      <c r="H66" s="4">
        <v>45554</v>
      </c>
      <c r="I66" s="2" t="s">
        <v>11</v>
      </c>
      <c r="J66" s="2" t="s">
        <v>82</v>
      </c>
      <c r="K66" s="2"/>
      <c r="L66" s="2" t="s">
        <v>503</v>
      </c>
      <c r="M66" s="2" t="s">
        <v>482</v>
      </c>
      <c r="N66" s="2" t="s">
        <v>483</v>
      </c>
      <c r="O66" s="2"/>
      <c r="P66" s="2" t="s">
        <v>89</v>
      </c>
      <c r="Q66" s="2" t="s">
        <v>89</v>
      </c>
      <c r="R66" s="2" t="s">
        <v>89</v>
      </c>
      <c r="S66" s="2" t="s">
        <v>504</v>
      </c>
      <c r="T66" s="2"/>
      <c r="U66" s="2"/>
      <c r="V66" s="2"/>
      <c r="W66" s="2"/>
      <c r="X66" s="2"/>
      <c r="Y66" s="2"/>
      <c r="Z66" s="2"/>
      <c r="AA66" s="2"/>
      <c r="AB66" s="2"/>
      <c r="AC66" s="2" t="s">
        <v>89</v>
      </c>
      <c r="AD66" s="2"/>
      <c r="AE66" s="2" t="s">
        <v>89</v>
      </c>
      <c r="AF66" s="2" t="s">
        <v>89</v>
      </c>
      <c r="AG66" s="2" t="s">
        <v>89</v>
      </c>
      <c r="AH66" s="2"/>
      <c r="AI66" s="2"/>
      <c r="AJ66" s="2"/>
      <c r="AK66" s="2" t="s">
        <v>89</v>
      </c>
      <c r="AL66" s="2" t="s">
        <v>89</v>
      </c>
      <c r="AM66" s="2"/>
      <c r="AN66" s="2"/>
      <c r="AO66" s="2"/>
      <c r="AP66" s="2"/>
      <c r="AQ66" s="2"/>
      <c r="AR66" s="2" t="s">
        <v>505</v>
      </c>
      <c r="AS66" s="2" t="s">
        <v>192</v>
      </c>
      <c r="AT66" t="str">
        <f t="shared" si="1"/>
        <v>COMMON</v>
      </c>
    </row>
    <row r="67" spans="1:46" ht="29" x14ac:dyDescent="0.35">
      <c r="A67" s="2" t="s">
        <v>506</v>
      </c>
      <c r="B67" s="2" t="s">
        <v>507</v>
      </c>
      <c r="C67" s="2" t="s">
        <v>508</v>
      </c>
      <c r="D67" s="2" t="s">
        <v>492</v>
      </c>
      <c r="E67" s="2" t="s">
        <v>443</v>
      </c>
      <c r="F67" s="2" t="s">
        <v>502</v>
      </c>
      <c r="G67" s="2" t="s">
        <v>144</v>
      </c>
      <c r="H67" s="4">
        <v>45540</v>
      </c>
      <c r="I67" s="2" t="s">
        <v>11</v>
      </c>
      <c r="J67" s="2" t="s">
        <v>82</v>
      </c>
      <c r="K67" s="2"/>
      <c r="L67" s="2" t="s">
        <v>503</v>
      </c>
      <c r="M67" s="2" t="s">
        <v>482</v>
      </c>
      <c r="N67" s="2" t="s">
        <v>483</v>
      </c>
      <c r="O67" s="2"/>
      <c r="P67" s="2" t="s">
        <v>89</v>
      </c>
      <c r="Q67" s="2" t="s">
        <v>89</v>
      </c>
      <c r="R67" s="2" t="s">
        <v>89</v>
      </c>
      <c r="S67" s="2" t="s">
        <v>504</v>
      </c>
      <c r="T67" s="2"/>
      <c r="U67" s="2"/>
      <c r="V67" s="2"/>
      <c r="W67" s="2"/>
      <c r="X67" s="2"/>
      <c r="Y67" s="2"/>
      <c r="Z67" s="2"/>
      <c r="AA67" s="2"/>
      <c r="AB67" s="2"/>
      <c r="AC67" s="2" t="s">
        <v>89</v>
      </c>
      <c r="AD67" s="2"/>
      <c r="AE67" s="2" t="s">
        <v>89</v>
      </c>
      <c r="AF67" s="2" t="s">
        <v>89</v>
      </c>
      <c r="AG67" s="2" t="s">
        <v>89</v>
      </c>
      <c r="AH67" s="2"/>
      <c r="AI67" s="2"/>
      <c r="AJ67" s="2"/>
      <c r="AK67" s="2" t="s">
        <v>89</v>
      </c>
      <c r="AL67" s="2" t="s">
        <v>89</v>
      </c>
      <c r="AM67" s="2"/>
      <c r="AN67" s="2"/>
      <c r="AO67" s="2"/>
      <c r="AP67" s="2"/>
      <c r="AQ67" s="2"/>
      <c r="AR67" s="2" t="s">
        <v>509</v>
      </c>
      <c r="AS67" s="2" t="s">
        <v>192</v>
      </c>
      <c r="AT67" t="str">
        <f t="shared" si="1"/>
        <v>COMMON</v>
      </c>
    </row>
    <row r="68" spans="1:46" ht="29" x14ac:dyDescent="0.35">
      <c r="A68" s="2" t="s">
        <v>510</v>
      </c>
      <c r="B68" s="2" t="s">
        <v>511</v>
      </c>
      <c r="C68" s="2" t="s">
        <v>512</v>
      </c>
      <c r="D68" s="2" t="s">
        <v>443</v>
      </c>
      <c r="E68" s="2" t="s">
        <v>443</v>
      </c>
      <c r="F68" s="2" t="s">
        <v>513</v>
      </c>
      <c r="G68" s="2" t="s">
        <v>217</v>
      </c>
      <c r="H68" s="4">
        <v>45554</v>
      </c>
      <c r="I68" s="2" t="s">
        <v>14</v>
      </c>
      <c r="J68" s="2" t="s">
        <v>82</v>
      </c>
      <c r="K68" s="2" t="s">
        <v>514</v>
      </c>
      <c r="L68" s="2" t="s">
        <v>515</v>
      </c>
      <c r="M68" s="2" t="s">
        <v>516</v>
      </c>
      <c r="N68" s="2" t="s">
        <v>517</v>
      </c>
      <c r="O68" s="2" t="s">
        <v>103</v>
      </c>
      <c r="P68" s="2"/>
      <c r="Q68" s="2"/>
      <c r="R68" s="2" t="s">
        <v>89</v>
      </c>
      <c r="S68" s="2" t="s">
        <v>90</v>
      </c>
      <c r="T68" s="2"/>
      <c r="U68" s="2"/>
      <c r="V68" s="2"/>
      <c r="W68" s="2"/>
      <c r="X68" s="2"/>
      <c r="Y68" s="2"/>
      <c r="Z68" s="2"/>
      <c r="AA68" s="2"/>
      <c r="AB68" s="2"/>
      <c r="AC68" s="2" t="s">
        <v>89</v>
      </c>
      <c r="AD68" s="2"/>
      <c r="AE68" s="2" t="s">
        <v>89</v>
      </c>
      <c r="AF68" s="2" t="s">
        <v>89</v>
      </c>
      <c r="AG68" s="2" t="s">
        <v>89</v>
      </c>
      <c r="AH68" s="2"/>
      <c r="AI68" s="2"/>
      <c r="AJ68" s="2" t="s">
        <v>89</v>
      </c>
      <c r="AK68" s="2" t="s">
        <v>89</v>
      </c>
      <c r="AL68" s="2" t="s">
        <v>89</v>
      </c>
      <c r="AM68" s="2"/>
      <c r="AN68" s="2"/>
      <c r="AO68" s="2"/>
      <c r="AP68" s="2"/>
      <c r="AQ68" s="2"/>
      <c r="AR68" s="2" t="s">
        <v>518</v>
      </c>
      <c r="AS68" s="2"/>
      <c r="AT68" t="str">
        <f t="shared" si="1"/>
        <v>COMMON</v>
      </c>
    </row>
    <row r="69" spans="1:46" ht="29" x14ac:dyDescent="0.35">
      <c r="A69" s="2" t="s">
        <v>519</v>
      </c>
      <c r="B69" s="2" t="s">
        <v>520</v>
      </c>
      <c r="C69" s="2" t="s">
        <v>521</v>
      </c>
      <c r="D69" s="2" t="s">
        <v>443</v>
      </c>
      <c r="E69" s="2" t="s">
        <v>443</v>
      </c>
      <c r="F69" s="2" t="s">
        <v>513</v>
      </c>
      <c r="G69" s="2" t="s">
        <v>144</v>
      </c>
      <c r="H69" s="4">
        <v>45540</v>
      </c>
      <c r="I69" s="2" t="s">
        <v>8</v>
      </c>
      <c r="J69" s="2" t="s">
        <v>82</v>
      </c>
      <c r="K69" s="2" t="s">
        <v>514</v>
      </c>
      <c r="L69" s="2" t="s">
        <v>515</v>
      </c>
      <c r="M69" s="2" t="s">
        <v>516</v>
      </c>
      <c r="N69" s="2" t="s">
        <v>517</v>
      </c>
      <c r="O69" s="2" t="s">
        <v>103</v>
      </c>
      <c r="P69" s="2"/>
      <c r="Q69" s="2"/>
      <c r="R69" s="2" t="s">
        <v>89</v>
      </c>
      <c r="S69" s="2" t="s">
        <v>90</v>
      </c>
      <c r="T69" s="2"/>
      <c r="U69" s="2"/>
      <c r="V69" s="2"/>
      <c r="W69" s="2"/>
      <c r="X69" s="2"/>
      <c r="Y69" s="2"/>
      <c r="Z69" s="2"/>
      <c r="AA69" s="2"/>
      <c r="AB69" s="2"/>
      <c r="AC69" s="2" t="s">
        <v>89</v>
      </c>
      <c r="AD69" s="2"/>
      <c r="AE69" s="2" t="s">
        <v>89</v>
      </c>
      <c r="AF69" s="2" t="s">
        <v>89</v>
      </c>
      <c r="AG69" s="2" t="s">
        <v>89</v>
      </c>
      <c r="AH69" s="2"/>
      <c r="AI69" s="2"/>
      <c r="AJ69" s="2" t="s">
        <v>89</v>
      </c>
      <c r="AK69" s="2" t="s">
        <v>89</v>
      </c>
      <c r="AL69" s="2" t="s">
        <v>89</v>
      </c>
      <c r="AM69" s="2"/>
      <c r="AN69" s="2"/>
      <c r="AO69" s="2"/>
      <c r="AP69" s="2"/>
      <c r="AQ69" s="2"/>
      <c r="AR69" s="2" t="s">
        <v>522</v>
      </c>
      <c r="AS69" s="2"/>
      <c r="AT69" t="str">
        <f t="shared" si="1"/>
        <v>COMMON</v>
      </c>
    </row>
  </sheetData>
  <conditionalFormatting sqref="I2:I69">
    <cfRule type="expression" dxfId="31" priority="1">
      <formula>I2="NORMAL"</formula>
    </cfRule>
    <cfRule type="expression" dxfId="30" priority="2">
      <formula>I2="PREWARNING"</formula>
    </cfRule>
    <cfRule type="expression" dxfId="29" priority="3">
      <formula>I2="WARNING"</formula>
    </cfRule>
    <cfRule type="expression" dxfId="28" priority="4">
      <formula>I2="ALARM"</formula>
    </cfRule>
  </conditionalFormatting>
  <conditionalFormatting sqref="AT2:AT69">
    <cfRule type="expression" dxfId="27" priority="5">
      <formula>AT2="UNIT 1"</formula>
    </cfRule>
    <cfRule type="expression" dxfId="26" priority="6">
      <formula>AT2="UNIT 2"</formula>
    </cfRule>
    <cfRule type="expression" dxfId="25" priority="7">
      <formula>AT2="UNIT 3"</formula>
    </cfRule>
    <cfRule type="expression" dxfId="24" priority="8">
      <formula>AT2="COMMON"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0"/>
  <sheetViews>
    <sheetView workbookViewId="0"/>
  </sheetViews>
  <sheetFormatPr defaultRowHeight="14.5" x14ac:dyDescent="0.35"/>
  <cols>
    <col min="1" max="1" width="12" customWidth="1"/>
    <col min="2" max="2" width="14" customWidth="1"/>
    <col min="3" max="3" width="30" customWidth="1"/>
    <col min="4" max="4" width="24" customWidth="1"/>
    <col min="5" max="6" width="30" customWidth="1"/>
    <col min="7" max="11" width="17" customWidth="1"/>
    <col min="12" max="43" width="18" customWidth="1"/>
    <col min="44" max="47" width="34" customWidth="1"/>
    <col min="48" max="48" width="18" customWidth="1"/>
  </cols>
  <sheetData>
    <row r="1" spans="1:48" ht="29" x14ac:dyDescent="0.35">
      <c r="A1" s="3" t="s">
        <v>523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  <c r="AA1" s="3" t="s">
        <v>56</v>
      </c>
      <c r="AB1" s="3" t="s">
        <v>57</v>
      </c>
      <c r="AC1" s="3" t="s">
        <v>58</v>
      </c>
      <c r="AD1" s="3" t="s">
        <v>59</v>
      </c>
      <c r="AE1" s="3" t="s">
        <v>60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3" t="s">
        <v>72</v>
      </c>
      <c r="AR1" s="3" t="s">
        <v>35</v>
      </c>
      <c r="AS1" s="3" t="s">
        <v>524</v>
      </c>
      <c r="AT1" s="3" t="s">
        <v>74</v>
      </c>
      <c r="AU1" s="3" t="s">
        <v>525</v>
      </c>
      <c r="AV1" s="5" t="s">
        <v>75</v>
      </c>
    </row>
    <row r="2" spans="1:48" ht="101.5" x14ac:dyDescent="0.35">
      <c r="A2" s="2" t="s">
        <v>526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79</v>
      </c>
      <c r="G2" s="2" t="s">
        <v>81</v>
      </c>
      <c r="H2" s="4">
        <v>45544</v>
      </c>
      <c r="I2" s="2" t="s">
        <v>8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/>
      <c r="P2" s="2" t="s">
        <v>87</v>
      </c>
      <c r="Q2" s="2" t="s">
        <v>88</v>
      </c>
      <c r="R2" s="2" t="s">
        <v>89</v>
      </c>
      <c r="S2" s="2" t="s">
        <v>90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89</v>
      </c>
      <c r="AL2" s="2" t="s">
        <v>89</v>
      </c>
      <c r="AM2" s="2"/>
      <c r="AN2" s="2"/>
      <c r="AO2" s="2"/>
      <c r="AP2" s="2"/>
      <c r="AQ2" s="2"/>
      <c r="AR2" s="2" t="s">
        <v>80</v>
      </c>
      <c r="AS2" s="2">
        <v>1</v>
      </c>
      <c r="AT2" s="2"/>
      <c r="AU2" s="2" t="s">
        <v>527</v>
      </c>
      <c r="AV2" t="str">
        <f t="shared" ref="AV2:AV33" si="0">IF(AS2&lt;=36,"UNIT 1",IF(AS2&lt;=70,"UNIT 2",IF(AS2&lt;=110,"UNIT 3","COMMON")))</f>
        <v>UNIT 1</v>
      </c>
    </row>
    <row r="3" spans="1:48" ht="101.5" x14ac:dyDescent="0.35">
      <c r="A3" s="2" t="s">
        <v>528</v>
      </c>
      <c r="B3" s="2" t="s">
        <v>92</v>
      </c>
      <c r="C3" s="2" t="s">
        <v>93</v>
      </c>
      <c r="D3" s="2" t="s">
        <v>94</v>
      </c>
      <c r="E3" s="2" t="s">
        <v>79</v>
      </c>
      <c r="F3" s="2" t="s">
        <v>79</v>
      </c>
      <c r="G3" s="2" t="s">
        <v>95</v>
      </c>
      <c r="H3" s="4">
        <v>45558</v>
      </c>
      <c r="I3" s="2" t="s">
        <v>11</v>
      </c>
      <c r="J3" s="2" t="s">
        <v>82</v>
      </c>
      <c r="K3" s="2" t="s">
        <v>83</v>
      </c>
      <c r="L3" s="2" t="s">
        <v>84</v>
      </c>
      <c r="M3" s="2" t="s">
        <v>85</v>
      </c>
      <c r="N3" s="2" t="s">
        <v>86</v>
      </c>
      <c r="O3" s="2"/>
      <c r="P3" s="2" t="s">
        <v>87</v>
      </c>
      <c r="Q3" s="2" t="s">
        <v>88</v>
      </c>
      <c r="R3" s="2" t="s">
        <v>89</v>
      </c>
      <c r="S3" s="2" t="s">
        <v>90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89</v>
      </c>
      <c r="AL3" s="2" t="s">
        <v>89</v>
      </c>
      <c r="AM3" s="2"/>
      <c r="AN3" s="2"/>
      <c r="AO3" s="2"/>
      <c r="AP3" s="2"/>
      <c r="AQ3" s="2"/>
      <c r="AR3" s="2" t="s">
        <v>80</v>
      </c>
      <c r="AS3" s="2">
        <v>3</v>
      </c>
      <c r="AT3" s="2"/>
      <c r="AU3" s="2" t="s">
        <v>527</v>
      </c>
      <c r="AV3" t="str">
        <f t="shared" si="0"/>
        <v>UNIT 1</v>
      </c>
    </row>
    <row r="4" spans="1:48" ht="145" x14ac:dyDescent="0.35">
      <c r="A4" s="2" t="s">
        <v>529</v>
      </c>
      <c r="B4" s="2" t="s">
        <v>97</v>
      </c>
      <c r="C4" s="2" t="s">
        <v>98</v>
      </c>
      <c r="D4" s="2" t="s">
        <v>99</v>
      </c>
      <c r="E4" s="2" t="s">
        <v>79</v>
      </c>
      <c r="F4" s="2" t="s">
        <v>79</v>
      </c>
      <c r="G4" s="2" t="s">
        <v>81</v>
      </c>
      <c r="H4" s="4">
        <v>45544</v>
      </c>
      <c r="I4" s="2" t="s">
        <v>8</v>
      </c>
      <c r="J4" s="2" t="s">
        <v>82</v>
      </c>
      <c r="K4" s="2" t="s">
        <v>83</v>
      </c>
      <c r="L4" s="2" t="s">
        <v>100</v>
      </c>
      <c r="M4" s="2" t="s">
        <v>101</v>
      </c>
      <c r="N4" s="2" t="s">
        <v>102</v>
      </c>
      <c r="O4" s="2" t="s">
        <v>103</v>
      </c>
      <c r="P4" s="2" t="s">
        <v>87</v>
      </c>
      <c r="Q4" s="2" t="s">
        <v>104</v>
      </c>
      <c r="R4" s="2" t="s">
        <v>89</v>
      </c>
      <c r="S4" s="2" t="s">
        <v>90</v>
      </c>
      <c r="T4" s="2"/>
      <c r="U4" s="2"/>
      <c r="V4" s="2"/>
      <c r="W4" s="2"/>
      <c r="X4" s="2"/>
      <c r="Y4" s="2"/>
      <c r="Z4" s="2"/>
      <c r="AA4" s="2"/>
      <c r="AB4" s="2"/>
      <c r="AC4" s="2" t="s">
        <v>105</v>
      </c>
      <c r="AD4" s="2"/>
      <c r="AE4" s="2" t="s">
        <v>106</v>
      </c>
      <c r="AF4" s="2"/>
      <c r="AG4" s="2"/>
      <c r="AH4" s="2" t="s">
        <v>107</v>
      </c>
      <c r="AI4" s="2" t="s">
        <v>108</v>
      </c>
      <c r="AJ4" s="2" t="s">
        <v>89</v>
      </c>
      <c r="AK4" s="2" t="s">
        <v>89</v>
      </c>
      <c r="AL4" s="2" t="s">
        <v>89</v>
      </c>
      <c r="AM4" s="2" t="s">
        <v>89</v>
      </c>
      <c r="AN4" s="2"/>
      <c r="AO4" s="2"/>
      <c r="AP4" s="2"/>
      <c r="AQ4" s="2"/>
      <c r="AR4" s="2" t="s">
        <v>80</v>
      </c>
      <c r="AS4" s="2">
        <v>5</v>
      </c>
      <c r="AT4" s="2"/>
      <c r="AU4" s="2" t="s">
        <v>530</v>
      </c>
      <c r="AV4" t="str">
        <f t="shared" si="0"/>
        <v>UNIT 1</v>
      </c>
    </row>
    <row r="5" spans="1:48" ht="145" x14ac:dyDescent="0.35">
      <c r="A5" s="2" t="s">
        <v>531</v>
      </c>
      <c r="B5" s="2" t="s">
        <v>110</v>
      </c>
      <c r="C5" s="2" t="s">
        <v>111</v>
      </c>
      <c r="D5" s="2" t="s">
        <v>112</v>
      </c>
      <c r="E5" s="2" t="s">
        <v>79</v>
      </c>
      <c r="F5" s="2" t="s">
        <v>79</v>
      </c>
      <c r="G5" s="2" t="s">
        <v>95</v>
      </c>
      <c r="H5" s="4">
        <v>45558</v>
      </c>
      <c r="I5" s="2" t="s">
        <v>8</v>
      </c>
      <c r="J5" s="2" t="s">
        <v>82</v>
      </c>
      <c r="K5" s="2" t="s">
        <v>83</v>
      </c>
      <c r="L5" s="2" t="s">
        <v>100</v>
      </c>
      <c r="M5" s="2" t="s">
        <v>101</v>
      </c>
      <c r="N5" s="2" t="s">
        <v>102</v>
      </c>
      <c r="O5" s="2" t="s">
        <v>103</v>
      </c>
      <c r="P5" s="2" t="s">
        <v>87</v>
      </c>
      <c r="Q5" s="2" t="s">
        <v>104</v>
      </c>
      <c r="R5" s="2" t="s">
        <v>89</v>
      </c>
      <c r="S5" s="2" t="s">
        <v>90</v>
      </c>
      <c r="T5" s="2"/>
      <c r="U5" s="2"/>
      <c r="V5" s="2"/>
      <c r="W5" s="2"/>
      <c r="X5" s="2"/>
      <c r="Y5" s="2"/>
      <c r="Z5" s="2"/>
      <c r="AA5" s="2"/>
      <c r="AB5" s="2"/>
      <c r="AC5" s="2" t="s">
        <v>105</v>
      </c>
      <c r="AD5" s="2"/>
      <c r="AE5" s="2" t="s">
        <v>106</v>
      </c>
      <c r="AF5" s="2"/>
      <c r="AG5" s="2"/>
      <c r="AH5" s="2" t="s">
        <v>107</v>
      </c>
      <c r="AI5" s="2" t="s">
        <v>108</v>
      </c>
      <c r="AJ5" s="2" t="s">
        <v>89</v>
      </c>
      <c r="AK5" s="2" t="s">
        <v>89</v>
      </c>
      <c r="AL5" s="2" t="s">
        <v>89</v>
      </c>
      <c r="AM5" s="2" t="s">
        <v>89</v>
      </c>
      <c r="AN5" s="2"/>
      <c r="AO5" s="2"/>
      <c r="AP5" s="2"/>
      <c r="AQ5" s="2"/>
      <c r="AR5" s="2" t="s">
        <v>80</v>
      </c>
      <c r="AS5" s="2">
        <v>7</v>
      </c>
      <c r="AT5" s="2"/>
      <c r="AU5" s="2" t="s">
        <v>530</v>
      </c>
      <c r="AV5" t="str">
        <f t="shared" si="0"/>
        <v>UNIT 1</v>
      </c>
    </row>
    <row r="6" spans="1:48" ht="145" x14ac:dyDescent="0.35">
      <c r="A6" s="2" t="s">
        <v>532</v>
      </c>
      <c r="B6" s="2" t="s">
        <v>114</v>
      </c>
      <c r="C6" s="2" t="s">
        <v>115</v>
      </c>
      <c r="D6" s="2" t="s">
        <v>116</v>
      </c>
      <c r="E6" s="2" t="s">
        <v>79</v>
      </c>
      <c r="F6" s="2" t="s">
        <v>79</v>
      </c>
      <c r="G6" s="2" t="s">
        <v>81</v>
      </c>
      <c r="H6" s="4">
        <v>45544</v>
      </c>
      <c r="I6" s="2" t="s">
        <v>8</v>
      </c>
      <c r="J6" s="2" t="s">
        <v>82</v>
      </c>
      <c r="K6" s="2" t="s">
        <v>83</v>
      </c>
      <c r="L6" s="2" t="s">
        <v>100</v>
      </c>
      <c r="M6" s="2" t="s">
        <v>101</v>
      </c>
      <c r="N6" s="2" t="s">
        <v>102</v>
      </c>
      <c r="O6" s="2" t="s">
        <v>103</v>
      </c>
      <c r="P6" s="2" t="s">
        <v>87</v>
      </c>
      <c r="Q6" s="2" t="s">
        <v>104</v>
      </c>
      <c r="R6" s="2" t="s">
        <v>89</v>
      </c>
      <c r="S6" s="2" t="s">
        <v>90</v>
      </c>
      <c r="T6" s="2"/>
      <c r="U6" s="2"/>
      <c r="V6" s="2"/>
      <c r="W6" s="2"/>
      <c r="X6" s="2"/>
      <c r="Y6" s="2"/>
      <c r="Z6" s="2"/>
      <c r="AA6" s="2"/>
      <c r="AB6" s="2"/>
      <c r="AC6" s="2" t="s">
        <v>105</v>
      </c>
      <c r="AD6" s="2"/>
      <c r="AE6" s="2" t="s">
        <v>106</v>
      </c>
      <c r="AF6" s="2"/>
      <c r="AG6" s="2"/>
      <c r="AH6" s="2" t="s">
        <v>107</v>
      </c>
      <c r="AI6" s="2" t="s">
        <v>108</v>
      </c>
      <c r="AJ6" s="2" t="s">
        <v>89</v>
      </c>
      <c r="AK6" s="2" t="s">
        <v>89</v>
      </c>
      <c r="AL6" s="2" t="s">
        <v>89</v>
      </c>
      <c r="AM6" s="2" t="s">
        <v>89</v>
      </c>
      <c r="AN6" s="2"/>
      <c r="AO6" s="2"/>
      <c r="AP6" s="2"/>
      <c r="AQ6" s="2"/>
      <c r="AR6" s="2" t="s">
        <v>80</v>
      </c>
      <c r="AS6" s="2">
        <v>9</v>
      </c>
      <c r="AT6" s="2"/>
      <c r="AU6" s="2" t="s">
        <v>530</v>
      </c>
      <c r="AV6" t="str">
        <f t="shared" si="0"/>
        <v>UNIT 1</v>
      </c>
    </row>
    <row r="7" spans="1:48" ht="145" x14ac:dyDescent="0.35">
      <c r="A7" s="2" t="s">
        <v>533</v>
      </c>
      <c r="B7" s="2" t="s">
        <v>118</v>
      </c>
      <c r="C7" s="2" t="s">
        <v>119</v>
      </c>
      <c r="D7" s="2" t="s">
        <v>120</v>
      </c>
      <c r="E7" s="2" t="s">
        <v>79</v>
      </c>
      <c r="F7" s="2" t="s">
        <v>79</v>
      </c>
      <c r="G7" s="2" t="s">
        <v>95</v>
      </c>
      <c r="H7" s="4">
        <v>45558</v>
      </c>
      <c r="I7" s="2" t="s">
        <v>11</v>
      </c>
      <c r="J7" s="2" t="s">
        <v>82</v>
      </c>
      <c r="K7" s="2" t="s">
        <v>83</v>
      </c>
      <c r="L7" s="2" t="s">
        <v>100</v>
      </c>
      <c r="M7" s="2" t="s">
        <v>101</v>
      </c>
      <c r="N7" s="2" t="s">
        <v>102</v>
      </c>
      <c r="O7" s="2" t="s">
        <v>103</v>
      </c>
      <c r="P7" s="2" t="s">
        <v>87</v>
      </c>
      <c r="Q7" s="2" t="s">
        <v>104</v>
      </c>
      <c r="R7" s="2" t="s">
        <v>89</v>
      </c>
      <c r="S7" s="2" t="s">
        <v>90</v>
      </c>
      <c r="T7" s="2"/>
      <c r="U7" s="2"/>
      <c r="V7" s="2"/>
      <c r="W7" s="2"/>
      <c r="X7" s="2"/>
      <c r="Y7" s="2"/>
      <c r="Z7" s="2"/>
      <c r="AA7" s="2"/>
      <c r="AB7" s="2"/>
      <c r="AC7" s="2" t="s">
        <v>105</v>
      </c>
      <c r="AD7" s="2"/>
      <c r="AE7" s="2" t="s">
        <v>106</v>
      </c>
      <c r="AF7" s="2"/>
      <c r="AG7" s="2"/>
      <c r="AH7" s="2" t="s">
        <v>107</v>
      </c>
      <c r="AI7" s="2" t="s">
        <v>108</v>
      </c>
      <c r="AJ7" s="2" t="s">
        <v>89</v>
      </c>
      <c r="AK7" s="2" t="s">
        <v>89</v>
      </c>
      <c r="AL7" s="2" t="s">
        <v>89</v>
      </c>
      <c r="AM7" s="2" t="s">
        <v>89</v>
      </c>
      <c r="AN7" s="2"/>
      <c r="AO7" s="2"/>
      <c r="AP7" s="2"/>
      <c r="AQ7" s="2"/>
      <c r="AR7" s="2" t="s">
        <v>80</v>
      </c>
      <c r="AS7" s="2">
        <v>11</v>
      </c>
      <c r="AT7" s="2"/>
      <c r="AU7" s="2" t="s">
        <v>530</v>
      </c>
      <c r="AV7" t="str">
        <f t="shared" si="0"/>
        <v>UNIT 1</v>
      </c>
    </row>
    <row r="8" spans="1:48" ht="159.5" x14ac:dyDescent="0.35">
      <c r="A8" s="2" t="s">
        <v>534</v>
      </c>
      <c r="B8" s="2" t="s">
        <v>122</v>
      </c>
      <c r="C8" s="2" t="s">
        <v>123</v>
      </c>
      <c r="D8" s="2" t="s">
        <v>124</v>
      </c>
      <c r="E8" s="2" t="s">
        <v>125</v>
      </c>
      <c r="F8" s="2" t="s">
        <v>125</v>
      </c>
      <c r="G8" s="2" t="s">
        <v>81</v>
      </c>
      <c r="H8" s="4">
        <v>45544</v>
      </c>
      <c r="I8" s="2" t="s">
        <v>8</v>
      </c>
      <c r="J8" s="2" t="s">
        <v>127</v>
      </c>
      <c r="K8" s="2" t="s">
        <v>128</v>
      </c>
      <c r="L8" s="2" t="s">
        <v>129</v>
      </c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130</v>
      </c>
      <c r="X8" s="2" t="s">
        <v>131</v>
      </c>
      <c r="Y8" s="2" t="s">
        <v>132</v>
      </c>
      <c r="Z8" s="2"/>
      <c r="AA8" s="2" t="s">
        <v>133</v>
      </c>
      <c r="AB8" s="2" t="s">
        <v>134</v>
      </c>
      <c r="AC8" s="2"/>
      <c r="AD8" s="2" t="s">
        <v>129</v>
      </c>
      <c r="AE8" s="2" t="s">
        <v>133</v>
      </c>
      <c r="AF8" s="2"/>
      <c r="AG8" s="2"/>
      <c r="AH8" s="2"/>
      <c r="AI8" s="2"/>
      <c r="AJ8" s="2"/>
      <c r="AK8" s="2"/>
      <c r="AL8" s="2"/>
      <c r="AM8" s="2"/>
      <c r="AN8" s="2" t="s">
        <v>131</v>
      </c>
      <c r="AO8" s="2" t="s">
        <v>135</v>
      </c>
      <c r="AP8" s="2" t="s">
        <v>136</v>
      </c>
      <c r="AQ8" s="2" t="s">
        <v>137</v>
      </c>
      <c r="AR8" s="2" t="s">
        <v>126</v>
      </c>
      <c r="AS8" s="2">
        <v>13</v>
      </c>
      <c r="AT8" s="2"/>
      <c r="AU8" s="2" t="s">
        <v>535</v>
      </c>
      <c r="AV8" t="str">
        <f t="shared" si="0"/>
        <v>UNIT 1</v>
      </c>
    </row>
    <row r="9" spans="1:48" ht="116" x14ac:dyDescent="0.35">
      <c r="A9" s="2" t="s">
        <v>536</v>
      </c>
      <c r="B9" s="2" t="s">
        <v>139</v>
      </c>
      <c r="C9" s="2" t="s">
        <v>140</v>
      </c>
      <c r="D9" s="2" t="s">
        <v>141</v>
      </c>
      <c r="E9" s="2" t="s">
        <v>142</v>
      </c>
      <c r="F9" s="2" t="s">
        <v>142</v>
      </c>
      <c r="G9" s="2" t="s">
        <v>144</v>
      </c>
      <c r="H9" s="4">
        <v>45537</v>
      </c>
      <c r="I9" s="2" t="s">
        <v>11</v>
      </c>
      <c r="J9" s="2" t="s">
        <v>82</v>
      </c>
      <c r="K9" s="2" t="s">
        <v>145</v>
      </c>
      <c r="L9" s="2" t="s">
        <v>146</v>
      </c>
      <c r="M9" s="2" t="s">
        <v>147</v>
      </c>
      <c r="N9" s="2" t="s">
        <v>148</v>
      </c>
      <c r="O9" s="2" t="s">
        <v>89</v>
      </c>
      <c r="P9" s="2" t="s">
        <v>89</v>
      </c>
      <c r="Q9" s="2" t="s">
        <v>89</v>
      </c>
      <c r="R9" s="2" t="s">
        <v>89</v>
      </c>
      <c r="S9" s="2" t="s">
        <v>90</v>
      </c>
      <c r="T9" s="2"/>
      <c r="U9" s="2"/>
      <c r="V9" s="2"/>
      <c r="W9" s="2"/>
      <c r="X9" s="2"/>
      <c r="Y9" s="2"/>
      <c r="Z9" s="2"/>
      <c r="AA9" s="2"/>
      <c r="AB9" s="2"/>
      <c r="AC9" s="2" t="s">
        <v>149</v>
      </c>
      <c r="AD9" s="2"/>
      <c r="AE9" s="2" t="s">
        <v>150</v>
      </c>
      <c r="AF9" s="2" t="s">
        <v>151</v>
      </c>
      <c r="AG9" s="2" t="s">
        <v>152</v>
      </c>
      <c r="AH9" s="2"/>
      <c r="AI9" s="2"/>
      <c r="AJ9" s="2"/>
      <c r="AK9" s="2" t="s">
        <v>89</v>
      </c>
      <c r="AL9" s="2" t="s">
        <v>89</v>
      </c>
      <c r="AM9" s="2"/>
      <c r="AN9" s="2"/>
      <c r="AO9" s="2"/>
      <c r="AP9" s="2"/>
      <c r="AQ9" s="2"/>
      <c r="AR9" s="2" t="s">
        <v>143</v>
      </c>
      <c r="AS9" s="2">
        <v>15</v>
      </c>
      <c r="AT9" s="2"/>
      <c r="AU9" s="2" t="s">
        <v>537</v>
      </c>
      <c r="AV9" t="str">
        <f t="shared" si="0"/>
        <v>UNIT 1</v>
      </c>
    </row>
    <row r="10" spans="1:48" ht="116" x14ac:dyDescent="0.35">
      <c r="A10" s="2" t="s">
        <v>538</v>
      </c>
      <c r="B10" s="2" t="s">
        <v>154</v>
      </c>
      <c r="C10" s="2" t="s">
        <v>155</v>
      </c>
      <c r="D10" s="2" t="s">
        <v>156</v>
      </c>
      <c r="E10" s="2" t="s">
        <v>142</v>
      </c>
      <c r="F10" s="2" t="s">
        <v>142</v>
      </c>
      <c r="G10" s="2" t="s">
        <v>95</v>
      </c>
      <c r="H10" s="4">
        <v>45558</v>
      </c>
      <c r="I10" s="2" t="s">
        <v>8</v>
      </c>
      <c r="J10" s="2" t="s">
        <v>82</v>
      </c>
      <c r="K10" s="2" t="s">
        <v>145</v>
      </c>
      <c r="L10" s="2" t="s">
        <v>157</v>
      </c>
      <c r="M10" s="2" t="s">
        <v>158</v>
      </c>
      <c r="N10" s="2" t="s">
        <v>159</v>
      </c>
      <c r="O10" s="2"/>
      <c r="P10" s="2"/>
      <c r="Q10" s="2"/>
      <c r="R10" s="2" t="s">
        <v>89</v>
      </c>
      <c r="S10" s="2" t="s">
        <v>90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89</v>
      </c>
      <c r="AL10" s="2" t="s">
        <v>89</v>
      </c>
      <c r="AM10" s="2"/>
      <c r="AN10" s="2"/>
      <c r="AO10" s="2"/>
      <c r="AP10" s="2"/>
      <c r="AQ10" s="2"/>
      <c r="AR10" s="2" t="s">
        <v>143</v>
      </c>
      <c r="AS10" s="2">
        <v>17</v>
      </c>
      <c r="AT10" s="2"/>
      <c r="AU10" s="2" t="s">
        <v>539</v>
      </c>
      <c r="AV10" t="str">
        <f t="shared" si="0"/>
        <v>UNIT 1</v>
      </c>
    </row>
    <row r="11" spans="1:48" ht="101.5" x14ac:dyDescent="0.35">
      <c r="A11" s="2" t="s">
        <v>540</v>
      </c>
      <c r="B11" s="2" t="s">
        <v>161</v>
      </c>
      <c r="C11" s="2" t="s">
        <v>162</v>
      </c>
      <c r="D11" s="2" t="s">
        <v>163</v>
      </c>
      <c r="E11" s="2" t="s">
        <v>142</v>
      </c>
      <c r="F11" s="2" t="s">
        <v>142</v>
      </c>
      <c r="G11" s="2" t="s">
        <v>95</v>
      </c>
      <c r="H11" s="4">
        <v>45558</v>
      </c>
      <c r="I11" s="2" t="s">
        <v>8</v>
      </c>
      <c r="J11" s="2" t="s">
        <v>82</v>
      </c>
      <c r="K11" s="2" t="s">
        <v>145</v>
      </c>
      <c r="L11" s="2" t="s">
        <v>157</v>
      </c>
      <c r="M11" s="2" t="s">
        <v>158</v>
      </c>
      <c r="N11" s="2" t="s">
        <v>159</v>
      </c>
      <c r="O11" s="2"/>
      <c r="P11" s="2"/>
      <c r="Q11" s="2"/>
      <c r="R11" s="2" t="s">
        <v>89</v>
      </c>
      <c r="S11" s="2" t="s">
        <v>90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89</v>
      </c>
      <c r="AL11" s="2" t="s">
        <v>89</v>
      </c>
      <c r="AM11" s="2"/>
      <c r="AN11" s="2"/>
      <c r="AO11" s="2"/>
      <c r="AP11" s="2"/>
      <c r="AQ11" s="2"/>
      <c r="AR11" s="2" t="s">
        <v>143</v>
      </c>
      <c r="AS11" s="2">
        <v>19</v>
      </c>
      <c r="AT11" s="2"/>
      <c r="AU11" s="2" t="s">
        <v>541</v>
      </c>
      <c r="AV11" t="str">
        <f t="shared" si="0"/>
        <v>UNIT 1</v>
      </c>
    </row>
    <row r="12" spans="1:48" ht="145" x14ac:dyDescent="0.35">
      <c r="A12" s="2" t="s">
        <v>542</v>
      </c>
      <c r="B12" s="2" t="s">
        <v>164</v>
      </c>
      <c r="C12" s="2" t="s">
        <v>165</v>
      </c>
      <c r="D12" s="2" t="s">
        <v>166</v>
      </c>
      <c r="E12" s="2" t="s">
        <v>79</v>
      </c>
      <c r="F12" s="2" t="s">
        <v>79</v>
      </c>
      <c r="G12" s="2" t="s">
        <v>144</v>
      </c>
      <c r="H12" s="4">
        <v>45537</v>
      </c>
      <c r="I12" s="2" t="s">
        <v>8</v>
      </c>
      <c r="J12" s="2" t="s">
        <v>82</v>
      </c>
      <c r="K12" s="2" t="s">
        <v>145</v>
      </c>
      <c r="L12" s="2" t="s">
        <v>167</v>
      </c>
      <c r="M12" s="2" t="s">
        <v>168</v>
      </c>
      <c r="N12" s="2" t="s">
        <v>169</v>
      </c>
      <c r="O12" s="2"/>
      <c r="P12" s="2" t="s">
        <v>170</v>
      </c>
      <c r="Q12" s="2" t="s">
        <v>171</v>
      </c>
      <c r="R12" s="2" t="s">
        <v>89</v>
      </c>
      <c r="S12" s="2" t="s">
        <v>90</v>
      </c>
      <c r="T12" s="2"/>
      <c r="U12" s="2"/>
      <c r="V12" s="2"/>
      <c r="W12" s="2"/>
      <c r="X12" s="2"/>
      <c r="Y12" s="2"/>
      <c r="Z12" s="2"/>
      <c r="AA12" s="2"/>
      <c r="AB12" s="2"/>
      <c r="AC12" s="2" t="s">
        <v>172</v>
      </c>
      <c r="AD12" s="2"/>
      <c r="AE12" s="2" t="s">
        <v>168</v>
      </c>
      <c r="AF12" s="2"/>
      <c r="AG12" s="2" t="s">
        <v>173</v>
      </c>
      <c r="AH12" s="2"/>
      <c r="AI12" s="2"/>
      <c r="AJ12" s="2"/>
      <c r="AK12" s="2" t="s">
        <v>89</v>
      </c>
      <c r="AL12" s="2" t="s">
        <v>89</v>
      </c>
      <c r="AM12" s="2"/>
      <c r="AN12" s="2"/>
      <c r="AO12" s="2"/>
      <c r="AP12" s="2"/>
      <c r="AQ12" s="2"/>
      <c r="AR12" s="2" t="s">
        <v>143</v>
      </c>
      <c r="AS12" s="2">
        <v>21</v>
      </c>
      <c r="AT12" s="2"/>
      <c r="AU12" s="2" t="s">
        <v>543</v>
      </c>
      <c r="AV12" t="str">
        <f t="shared" si="0"/>
        <v>UNIT 1</v>
      </c>
    </row>
    <row r="13" spans="1:48" ht="101.5" x14ac:dyDescent="0.35">
      <c r="A13" s="2" t="s">
        <v>544</v>
      </c>
      <c r="B13" s="2" t="s">
        <v>175</v>
      </c>
      <c r="C13" s="2" t="s">
        <v>176</v>
      </c>
      <c r="D13" s="2" t="s">
        <v>177</v>
      </c>
      <c r="E13" s="2" t="s">
        <v>142</v>
      </c>
      <c r="F13" s="2" t="s">
        <v>142</v>
      </c>
      <c r="G13" s="2" t="s">
        <v>81</v>
      </c>
      <c r="H13" s="4">
        <v>45545</v>
      </c>
      <c r="I13" s="2" t="s">
        <v>11</v>
      </c>
      <c r="J13" s="2" t="s">
        <v>82</v>
      </c>
      <c r="K13" s="2" t="s">
        <v>145</v>
      </c>
      <c r="L13" s="2" t="s">
        <v>178</v>
      </c>
      <c r="M13" s="2" t="s">
        <v>158</v>
      </c>
      <c r="N13" s="2" t="s">
        <v>148</v>
      </c>
      <c r="O13" s="2" t="s">
        <v>89</v>
      </c>
      <c r="P13" s="2" t="s">
        <v>89</v>
      </c>
      <c r="Q13" s="2" t="s">
        <v>89</v>
      </c>
      <c r="R13" s="2" t="s">
        <v>89</v>
      </c>
      <c r="S13" s="2" t="s">
        <v>90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89</v>
      </c>
      <c r="AL13" s="2" t="s">
        <v>89</v>
      </c>
      <c r="AM13" s="2"/>
      <c r="AN13" s="2"/>
      <c r="AO13" s="2"/>
      <c r="AP13" s="2"/>
      <c r="AQ13" s="2"/>
      <c r="AR13" s="2" t="s">
        <v>143</v>
      </c>
      <c r="AS13" s="2">
        <v>23</v>
      </c>
      <c r="AT13" s="2"/>
      <c r="AU13" s="2" t="s">
        <v>545</v>
      </c>
      <c r="AV13" t="str">
        <f t="shared" si="0"/>
        <v>UNIT 1</v>
      </c>
    </row>
    <row r="14" spans="1:48" ht="101.5" x14ac:dyDescent="0.35">
      <c r="A14" s="2" t="s">
        <v>546</v>
      </c>
      <c r="B14" s="2" t="s">
        <v>180</v>
      </c>
      <c r="C14" s="2" t="s">
        <v>181</v>
      </c>
      <c r="D14" s="2" t="s">
        <v>182</v>
      </c>
      <c r="E14" s="2" t="s">
        <v>142</v>
      </c>
      <c r="F14" s="2" t="s">
        <v>142</v>
      </c>
      <c r="G14" s="2" t="s">
        <v>95</v>
      </c>
      <c r="H14" s="4">
        <v>45559</v>
      </c>
      <c r="I14" s="2" t="s">
        <v>8</v>
      </c>
      <c r="J14" s="2" t="s">
        <v>82</v>
      </c>
      <c r="K14" s="2" t="s">
        <v>145</v>
      </c>
      <c r="L14" s="2" t="s">
        <v>178</v>
      </c>
      <c r="M14" s="2" t="s">
        <v>158</v>
      </c>
      <c r="N14" s="2" t="s">
        <v>148</v>
      </c>
      <c r="O14" s="2"/>
      <c r="P14" s="2"/>
      <c r="Q14" s="2"/>
      <c r="R14" s="2" t="s">
        <v>89</v>
      </c>
      <c r="S14" s="2" t="s">
        <v>90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89</v>
      </c>
      <c r="AL14" s="2" t="s">
        <v>89</v>
      </c>
      <c r="AM14" s="2"/>
      <c r="AN14" s="2"/>
      <c r="AO14" s="2"/>
      <c r="AP14" s="2"/>
      <c r="AQ14" s="2"/>
      <c r="AR14" s="2" t="s">
        <v>143</v>
      </c>
      <c r="AS14" s="2">
        <v>25</v>
      </c>
      <c r="AT14" s="2"/>
      <c r="AU14" s="2" t="s">
        <v>547</v>
      </c>
      <c r="AV14" t="str">
        <f t="shared" si="0"/>
        <v>UNIT 1</v>
      </c>
    </row>
    <row r="15" spans="1:48" ht="101.5" x14ac:dyDescent="0.35">
      <c r="A15" s="2" t="s">
        <v>548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79</v>
      </c>
      <c r="G15" s="2" t="s">
        <v>95</v>
      </c>
      <c r="H15" s="4">
        <v>45559</v>
      </c>
      <c r="I15" s="2" t="s">
        <v>11</v>
      </c>
      <c r="J15" s="2" t="s">
        <v>82</v>
      </c>
      <c r="K15" s="2" t="s">
        <v>145</v>
      </c>
      <c r="L15" s="2" t="s">
        <v>188</v>
      </c>
      <c r="M15" s="2" t="s">
        <v>189</v>
      </c>
      <c r="N15" s="2" t="s">
        <v>190</v>
      </c>
      <c r="O15" s="2"/>
      <c r="P15" s="2"/>
      <c r="Q15" s="2"/>
      <c r="R15" s="2" t="s">
        <v>89</v>
      </c>
      <c r="S15" s="2" t="s">
        <v>90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 t="s">
        <v>143</v>
      </c>
      <c r="AS15" s="2">
        <v>27</v>
      </c>
      <c r="AT15" s="2" t="s">
        <v>192</v>
      </c>
      <c r="AU15" s="2" t="s">
        <v>549</v>
      </c>
      <c r="AV15" t="str">
        <f t="shared" si="0"/>
        <v>UNIT 1</v>
      </c>
    </row>
    <row r="16" spans="1:48" ht="101.5" x14ac:dyDescent="0.35">
      <c r="A16" s="2" t="s">
        <v>550</v>
      </c>
      <c r="B16" s="2" t="s">
        <v>193</v>
      </c>
      <c r="C16" s="2" t="s">
        <v>194</v>
      </c>
      <c r="D16" s="2" t="s">
        <v>195</v>
      </c>
      <c r="E16" s="2" t="s">
        <v>187</v>
      </c>
      <c r="F16" s="2" t="s">
        <v>79</v>
      </c>
      <c r="G16" s="2" t="s">
        <v>81</v>
      </c>
      <c r="H16" s="4">
        <v>45545</v>
      </c>
      <c r="I16" s="2" t="s">
        <v>8</v>
      </c>
      <c r="J16" s="2" t="s">
        <v>82</v>
      </c>
      <c r="K16" s="2" t="s">
        <v>145</v>
      </c>
      <c r="L16" s="2" t="s">
        <v>188</v>
      </c>
      <c r="M16" s="2" t="s">
        <v>189</v>
      </c>
      <c r="N16" s="2" t="s">
        <v>190</v>
      </c>
      <c r="O16" s="2"/>
      <c r="P16" s="2"/>
      <c r="Q16" s="2"/>
      <c r="R16" s="2" t="s">
        <v>89</v>
      </c>
      <c r="S16" s="2" t="s">
        <v>90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 t="s">
        <v>143</v>
      </c>
      <c r="AS16" s="2">
        <v>29</v>
      </c>
      <c r="AT16" s="2" t="s">
        <v>192</v>
      </c>
      <c r="AU16" s="2" t="s">
        <v>549</v>
      </c>
      <c r="AV16" t="str">
        <f t="shared" si="0"/>
        <v>UNIT 1</v>
      </c>
    </row>
    <row r="17" spans="1:48" ht="130.5" x14ac:dyDescent="0.35">
      <c r="A17" s="2" t="s">
        <v>551</v>
      </c>
      <c r="B17" s="2" t="s">
        <v>197</v>
      </c>
      <c r="C17" s="2" t="s">
        <v>198</v>
      </c>
      <c r="D17" s="2" t="s">
        <v>199</v>
      </c>
      <c r="E17" s="2" t="s">
        <v>142</v>
      </c>
      <c r="F17" s="2" t="s">
        <v>142</v>
      </c>
      <c r="G17" s="2" t="s">
        <v>81</v>
      </c>
      <c r="H17" s="4">
        <v>45545</v>
      </c>
      <c r="I17" s="2" t="s">
        <v>11</v>
      </c>
      <c r="J17" s="2" t="s">
        <v>82</v>
      </c>
      <c r="K17" s="2" t="s">
        <v>145</v>
      </c>
      <c r="L17" s="2" t="s">
        <v>200</v>
      </c>
      <c r="M17" s="2" t="s">
        <v>201</v>
      </c>
      <c r="N17" s="2" t="s">
        <v>202</v>
      </c>
      <c r="O17" s="2" t="s">
        <v>103</v>
      </c>
      <c r="P17" s="2" t="s">
        <v>203</v>
      </c>
      <c r="Q17" s="2" t="s">
        <v>204</v>
      </c>
      <c r="R17" s="2" t="s">
        <v>89</v>
      </c>
      <c r="S17" s="2" t="s">
        <v>90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205</v>
      </c>
      <c r="AD17" s="2"/>
      <c r="AE17" s="2" t="s">
        <v>201</v>
      </c>
      <c r="AF17" s="2" t="s">
        <v>206</v>
      </c>
      <c r="AG17" s="2" t="s">
        <v>207</v>
      </c>
      <c r="AH17" s="2"/>
      <c r="AI17" s="2"/>
      <c r="AJ17" s="2"/>
      <c r="AK17" s="2" t="s">
        <v>89</v>
      </c>
      <c r="AL17" s="2" t="s">
        <v>89</v>
      </c>
      <c r="AM17" s="2"/>
      <c r="AN17" s="2"/>
      <c r="AO17" s="2"/>
      <c r="AP17" s="2"/>
      <c r="AQ17" s="2"/>
      <c r="AR17" s="2" t="s">
        <v>143</v>
      </c>
      <c r="AS17" s="2">
        <v>32</v>
      </c>
      <c r="AT17" s="2"/>
      <c r="AU17" s="2" t="s">
        <v>552</v>
      </c>
      <c r="AV17" t="str">
        <f t="shared" si="0"/>
        <v>UNIT 1</v>
      </c>
    </row>
    <row r="18" spans="1:48" ht="101.5" x14ac:dyDescent="0.35">
      <c r="A18" s="2" t="s">
        <v>553</v>
      </c>
      <c r="B18" s="2" t="s">
        <v>209</v>
      </c>
      <c r="C18" s="2" t="s">
        <v>210</v>
      </c>
      <c r="D18" s="2" t="s">
        <v>211</v>
      </c>
      <c r="E18" s="2" t="s">
        <v>142</v>
      </c>
      <c r="F18" s="2" t="s">
        <v>142</v>
      </c>
      <c r="G18" s="2" t="s">
        <v>95</v>
      </c>
      <c r="H18" s="4">
        <v>45559</v>
      </c>
      <c r="I18" s="2" t="s">
        <v>8</v>
      </c>
      <c r="J18" s="2" t="s">
        <v>82</v>
      </c>
      <c r="K18" s="2" t="s">
        <v>145</v>
      </c>
      <c r="L18" s="2"/>
      <c r="M18" s="2" t="s">
        <v>212</v>
      </c>
      <c r="N18" s="2" t="s">
        <v>213</v>
      </c>
      <c r="O18" s="2"/>
      <c r="P18" s="2"/>
      <c r="Q18" s="2"/>
      <c r="R18" s="2" t="s">
        <v>89</v>
      </c>
      <c r="S18" s="2" t="s">
        <v>90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89</v>
      </c>
      <c r="AL18" s="2" t="s">
        <v>89</v>
      </c>
      <c r="AM18" s="2"/>
      <c r="AN18" s="2"/>
      <c r="AO18" s="2"/>
      <c r="AP18" s="2"/>
      <c r="AQ18" s="2"/>
      <c r="AR18" s="2" t="s">
        <v>143</v>
      </c>
      <c r="AS18" s="2">
        <v>34</v>
      </c>
      <c r="AT18" s="2"/>
      <c r="AU18" s="2" t="s">
        <v>554</v>
      </c>
      <c r="AV18" t="str">
        <f t="shared" si="0"/>
        <v>UNIT 1</v>
      </c>
    </row>
    <row r="19" spans="1:48" ht="101.5" x14ac:dyDescent="0.35">
      <c r="A19" s="2" t="s">
        <v>555</v>
      </c>
      <c r="B19" s="2" t="s">
        <v>215</v>
      </c>
      <c r="C19" s="2" t="s">
        <v>216</v>
      </c>
      <c r="D19" s="2"/>
      <c r="E19" s="2" t="s">
        <v>142</v>
      </c>
      <c r="F19" s="2" t="s">
        <v>142</v>
      </c>
      <c r="G19" s="2" t="s">
        <v>217</v>
      </c>
      <c r="H19" s="4">
        <v>45551</v>
      </c>
      <c r="I19" s="2" t="s">
        <v>11</v>
      </c>
      <c r="J19" s="2" t="s">
        <v>82</v>
      </c>
      <c r="K19" s="2" t="s">
        <v>145</v>
      </c>
      <c r="L19" s="2" t="s">
        <v>157</v>
      </c>
      <c r="M19" s="2" t="s">
        <v>158</v>
      </c>
      <c r="N19" s="2" t="s">
        <v>159</v>
      </c>
      <c r="O19" s="2"/>
      <c r="P19" s="2"/>
      <c r="Q19" s="2"/>
      <c r="R19" s="2" t="s">
        <v>89</v>
      </c>
      <c r="S19" s="2" t="s">
        <v>90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89</v>
      </c>
      <c r="AL19" s="2" t="s">
        <v>89</v>
      </c>
      <c r="AM19" s="2"/>
      <c r="AN19" s="2"/>
      <c r="AO19" s="2"/>
      <c r="AP19" s="2"/>
      <c r="AQ19" s="2"/>
      <c r="AR19" s="2" t="s">
        <v>143</v>
      </c>
      <c r="AS19" s="2">
        <v>36</v>
      </c>
      <c r="AT19" s="2" t="s">
        <v>219</v>
      </c>
      <c r="AU19" s="2" t="s">
        <v>541</v>
      </c>
      <c r="AV19" t="str">
        <f t="shared" si="0"/>
        <v>UNIT 1</v>
      </c>
    </row>
    <row r="20" spans="1:48" ht="101.5" x14ac:dyDescent="0.35">
      <c r="A20" s="2" t="s">
        <v>556</v>
      </c>
      <c r="B20" s="2" t="s">
        <v>220</v>
      </c>
      <c r="C20" s="2" t="s">
        <v>221</v>
      </c>
      <c r="D20" s="2" t="s">
        <v>222</v>
      </c>
      <c r="E20" s="2" t="s">
        <v>79</v>
      </c>
      <c r="F20" s="2" t="s">
        <v>79</v>
      </c>
      <c r="G20" s="2" t="s">
        <v>95</v>
      </c>
      <c r="H20" s="4">
        <v>45559</v>
      </c>
      <c r="I20" s="2" t="s">
        <v>8</v>
      </c>
      <c r="J20" s="2" t="s">
        <v>82</v>
      </c>
      <c r="K20" s="2" t="s">
        <v>83</v>
      </c>
      <c r="L20" s="2" t="s">
        <v>84</v>
      </c>
      <c r="M20" s="2" t="s">
        <v>85</v>
      </c>
      <c r="N20" s="2" t="s">
        <v>86</v>
      </c>
      <c r="O20" s="2"/>
      <c r="P20" s="2" t="s">
        <v>87</v>
      </c>
      <c r="Q20" s="2" t="s">
        <v>88</v>
      </c>
      <c r="R20" s="2" t="s">
        <v>89</v>
      </c>
      <c r="S20" s="2" t="s">
        <v>90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89</v>
      </c>
      <c r="AL20" s="2" t="s">
        <v>89</v>
      </c>
      <c r="AM20" s="2"/>
      <c r="AN20" s="2"/>
      <c r="AO20" s="2"/>
      <c r="AP20" s="2"/>
      <c r="AQ20" s="2"/>
      <c r="AR20" s="2" t="s">
        <v>80</v>
      </c>
      <c r="AS20" s="2">
        <v>38</v>
      </c>
      <c r="AT20" s="2"/>
      <c r="AU20" s="2" t="s">
        <v>527</v>
      </c>
      <c r="AV20" t="str">
        <f t="shared" si="0"/>
        <v>UNIT 2</v>
      </c>
    </row>
    <row r="21" spans="1:48" ht="101.5" x14ac:dyDescent="0.35">
      <c r="A21" s="2" t="s">
        <v>557</v>
      </c>
      <c r="B21" s="2" t="s">
        <v>224</v>
      </c>
      <c r="C21" s="2" t="s">
        <v>225</v>
      </c>
      <c r="D21" s="2" t="s">
        <v>226</v>
      </c>
      <c r="E21" s="2" t="s">
        <v>79</v>
      </c>
      <c r="F21" s="2" t="s">
        <v>79</v>
      </c>
      <c r="G21" s="2" t="s">
        <v>81</v>
      </c>
      <c r="H21" s="4">
        <v>45545</v>
      </c>
      <c r="I21" s="2" t="s">
        <v>11</v>
      </c>
      <c r="J21" s="2" t="s">
        <v>82</v>
      </c>
      <c r="K21" s="2" t="s">
        <v>83</v>
      </c>
      <c r="L21" s="2" t="s">
        <v>84</v>
      </c>
      <c r="M21" s="2" t="s">
        <v>85</v>
      </c>
      <c r="N21" s="2" t="s">
        <v>86</v>
      </c>
      <c r="O21" s="2"/>
      <c r="P21" s="2" t="s">
        <v>87</v>
      </c>
      <c r="Q21" s="2" t="s">
        <v>88</v>
      </c>
      <c r="R21" s="2" t="s">
        <v>89</v>
      </c>
      <c r="S21" s="2" t="s">
        <v>90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">
        <v>89</v>
      </c>
      <c r="AL21" s="2" t="s">
        <v>89</v>
      </c>
      <c r="AM21" s="2"/>
      <c r="AN21" s="2"/>
      <c r="AO21" s="2"/>
      <c r="AP21" s="2"/>
      <c r="AQ21" s="2"/>
      <c r="AR21" s="2" t="s">
        <v>80</v>
      </c>
      <c r="AS21" s="2">
        <v>40</v>
      </c>
      <c r="AT21" s="2"/>
      <c r="AU21" s="2" t="s">
        <v>527</v>
      </c>
      <c r="AV21" t="str">
        <f t="shared" si="0"/>
        <v>UNIT 2</v>
      </c>
    </row>
    <row r="22" spans="1:48" ht="145" x14ac:dyDescent="0.35">
      <c r="A22" s="2" t="s">
        <v>558</v>
      </c>
      <c r="B22" s="2" t="s">
        <v>228</v>
      </c>
      <c r="C22" s="2" t="s">
        <v>229</v>
      </c>
      <c r="D22" s="2" t="s">
        <v>230</v>
      </c>
      <c r="E22" s="2" t="s">
        <v>79</v>
      </c>
      <c r="F22" s="2" t="s">
        <v>79</v>
      </c>
      <c r="G22" s="2" t="s">
        <v>95</v>
      </c>
      <c r="H22" s="4">
        <v>45560</v>
      </c>
      <c r="I22" s="2" t="s">
        <v>8</v>
      </c>
      <c r="J22" s="2" t="s">
        <v>82</v>
      </c>
      <c r="K22" s="2" t="s">
        <v>83</v>
      </c>
      <c r="L22" s="2" t="s">
        <v>100</v>
      </c>
      <c r="M22" s="2" t="s">
        <v>101</v>
      </c>
      <c r="N22" s="2" t="s">
        <v>102</v>
      </c>
      <c r="O22" s="2" t="s">
        <v>103</v>
      </c>
      <c r="P22" s="2" t="s">
        <v>87</v>
      </c>
      <c r="Q22" s="2" t="s">
        <v>104</v>
      </c>
      <c r="R22" s="2" t="s">
        <v>89</v>
      </c>
      <c r="S22" s="2" t="s">
        <v>90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105</v>
      </c>
      <c r="AD22" s="2"/>
      <c r="AE22" s="2" t="s">
        <v>106</v>
      </c>
      <c r="AF22" s="2"/>
      <c r="AG22" s="2"/>
      <c r="AH22" s="2" t="s">
        <v>107</v>
      </c>
      <c r="AI22" s="2" t="s">
        <v>108</v>
      </c>
      <c r="AJ22" s="2" t="s">
        <v>89</v>
      </c>
      <c r="AK22" s="2" t="s">
        <v>89</v>
      </c>
      <c r="AL22" s="2" t="s">
        <v>89</v>
      </c>
      <c r="AM22" s="2" t="s">
        <v>89</v>
      </c>
      <c r="AN22" s="2"/>
      <c r="AO22" s="2"/>
      <c r="AP22" s="2"/>
      <c r="AQ22" s="2"/>
      <c r="AR22" s="2" t="s">
        <v>80</v>
      </c>
      <c r="AS22" s="2">
        <v>42</v>
      </c>
      <c r="AT22" s="2"/>
      <c r="AU22" s="2" t="s">
        <v>530</v>
      </c>
      <c r="AV22" t="str">
        <f t="shared" si="0"/>
        <v>UNIT 2</v>
      </c>
    </row>
    <row r="23" spans="1:48" ht="145" x14ac:dyDescent="0.35">
      <c r="A23" s="2" t="s">
        <v>559</v>
      </c>
      <c r="B23" s="2" t="s">
        <v>232</v>
      </c>
      <c r="C23" s="2" t="s">
        <v>233</v>
      </c>
      <c r="D23" s="2" t="s">
        <v>234</v>
      </c>
      <c r="E23" s="2" t="s">
        <v>79</v>
      </c>
      <c r="F23" s="2" t="s">
        <v>79</v>
      </c>
      <c r="G23" s="2" t="s">
        <v>81</v>
      </c>
      <c r="H23" s="4">
        <v>45546</v>
      </c>
      <c r="I23" s="2" t="s">
        <v>8</v>
      </c>
      <c r="J23" s="2" t="s">
        <v>82</v>
      </c>
      <c r="K23" s="2" t="s">
        <v>83</v>
      </c>
      <c r="L23" s="2" t="s">
        <v>100</v>
      </c>
      <c r="M23" s="2" t="s">
        <v>101</v>
      </c>
      <c r="N23" s="2" t="s">
        <v>102</v>
      </c>
      <c r="O23" s="2" t="s">
        <v>103</v>
      </c>
      <c r="P23" s="2" t="s">
        <v>87</v>
      </c>
      <c r="Q23" s="2" t="s">
        <v>104</v>
      </c>
      <c r="R23" s="2" t="s">
        <v>89</v>
      </c>
      <c r="S23" s="2" t="s">
        <v>90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105</v>
      </c>
      <c r="AD23" s="2"/>
      <c r="AE23" s="2" t="s">
        <v>106</v>
      </c>
      <c r="AF23" s="2"/>
      <c r="AG23" s="2"/>
      <c r="AH23" s="2" t="s">
        <v>107</v>
      </c>
      <c r="AI23" s="2" t="s">
        <v>108</v>
      </c>
      <c r="AJ23" s="2" t="s">
        <v>89</v>
      </c>
      <c r="AK23" s="2" t="s">
        <v>89</v>
      </c>
      <c r="AL23" s="2" t="s">
        <v>89</v>
      </c>
      <c r="AM23" s="2" t="s">
        <v>89</v>
      </c>
      <c r="AN23" s="2"/>
      <c r="AO23" s="2"/>
      <c r="AP23" s="2"/>
      <c r="AQ23" s="2"/>
      <c r="AR23" s="2" t="s">
        <v>80</v>
      </c>
      <c r="AS23" s="2">
        <v>44</v>
      </c>
      <c r="AT23" s="2"/>
      <c r="AU23" s="2" t="s">
        <v>530</v>
      </c>
      <c r="AV23" t="str">
        <f t="shared" si="0"/>
        <v>UNIT 2</v>
      </c>
    </row>
    <row r="24" spans="1:48" ht="145" x14ac:dyDescent="0.35">
      <c r="A24" s="2" t="s">
        <v>560</v>
      </c>
      <c r="B24" s="2" t="s">
        <v>236</v>
      </c>
      <c r="C24" s="2" t="s">
        <v>237</v>
      </c>
      <c r="D24" s="2" t="s">
        <v>238</v>
      </c>
      <c r="E24" s="2" t="s">
        <v>79</v>
      </c>
      <c r="F24" s="2" t="s">
        <v>79</v>
      </c>
      <c r="G24" s="2" t="s">
        <v>95</v>
      </c>
      <c r="H24" s="4">
        <v>45560</v>
      </c>
      <c r="I24" s="2" t="s">
        <v>11</v>
      </c>
      <c r="J24" s="2" t="s">
        <v>82</v>
      </c>
      <c r="K24" s="2" t="s">
        <v>83</v>
      </c>
      <c r="L24" s="2" t="s">
        <v>100</v>
      </c>
      <c r="M24" s="2" t="s">
        <v>101</v>
      </c>
      <c r="N24" s="2" t="s">
        <v>102</v>
      </c>
      <c r="O24" s="2" t="s">
        <v>103</v>
      </c>
      <c r="P24" s="2" t="s">
        <v>87</v>
      </c>
      <c r="Q24" s="2" t="s">
        <v>104</v>
      </c>
      <c r="R24" s="2" t="s">
        <v>89</v>
      </c>
      <c r="S24" s="2" t="s">
        <v>90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105</v>
      </c>
      <c r="AD24" s="2"/>
      <c r="AE24" s="2" t="s">
        <v>106</v>
      </c>
      <c r="AF24" s="2"/>
      <c r="AG24" s="2"/>
      <c r="AH24" s="2" t="s">
        <v>107</v>
      </c>
      <c r="AI24" s="2" t="s">
        <v>108</v>
      </c>
      <c r="AJ24" s="2" t="s">
        <v>89</v>
      </c>
      <c r="AK24" s="2" t="s">
        <v>89</v>
      </c>
      <c r="AL24" s="2" t="s">
        <v>89</v>
      </c>
      <c r="AM24" s="2" t="s">
        <v>89</v>
      </c>
      <c r="AN24" s="2"/>
      <c r="AO24" s="2"/>
      <c r="AP24" s="2"/>
      <c r="AQ24" s="2"/>
      <c r="AR24" s="2" t="s">
        <v>80</v>
      </c>
      <c r="AS24" s="2">
        <v>46</v>
      </c>
      <c r="AT24" s="2"/>
      <c r="AU24" s="2" t="s">
        <v>530</v>
      </c>
      <c r="AV24" t="str">
        <f t="shared" si="0"/>
        <v>UNIT 2</v>
      </c>
    </row>
    <row r="25" spans="1:48" ht="145" x14ac:dyDescent="0.35">
      <c r="A25" s="2" t="s">
        <v>561</v>
      </c>
      <c r="B25" s="2" t="s">
        <v>240</v>
      </c>
      <c r="C25" s="2" t="s">
        <v>241</v>
      </c>
      <c r="D25" s="2" t="s">
        <v>242</v>
      </c>
      <c r="E25" s="2" t="s">
        <v>79</v>
      </c>
      <c r="F25" s="2" t="s">
        <v>79</v>
      </c>
      <c r="G25" s="2" t="s">
        <v>81</v>
      </c>
      <c r="H25" s="4">
        <v>45546</v>
      </c>
      <c r="I25" s="2" t="s">
        <v>8</v>
      </c>
      <c r="J25" s="2" t="s">
        <v>82</v>
      </c>
      <c r="K25" s="2" t="s">
        <v>83</v>
      </c>
      <c r="L25" s="2" t="s">
        <v>100</v>
      </c>
      <c r="M25" s="2" t="s">
        <v>101</v>
      </c>
      <c r="N25" s="2" t="s">
        <v>102</v>
      </c>
      <c r="O25" s="2" t="s">
        <v>103</v>
      </c>
      <c r="P25" s="2" t="s">
        <v>87</v>
      </c>
      <c r="Q25" s="2" t="s">
        <v>104</v>
      </c>
      <c r="R25" s="2" t="s">
        <v>89</v>
      </c>
      <c r="S25" s="2" t="s">
        <v>90</v>
      </c>
      <c r="T25" s="2"/>
      <c r="U25" s="2"/>
      <c r="V25" s="2"/>
      <c r="W25" s="2"/>
      <c r="X25" s="2"/>
      <c r="Y25" s="2"/>
      <c r="Z25" s="2"/>
      <c r="AA25" s="2"/>
      <c r="AB25" s="2"/>
      <c r="AC25" s="2" t="s">
        <v>105</v>
      </c>
      <c r="AD25" s="2"/>
      <c r="AE25" s="2" t="s">
        <v>106</v>
      </c>
      <c r="AF25" s="2"/>
      <c r="AG25" s="2"/>
      <c r="AH25" s="2" t="s">
        <v>107</v>
      </c>
      <c r="AI25" s="2" t="s">
        <v>108</v>
      </c>
      <c r="AJ25" s="2" t="s">
        <v>89</v>
      </c>
      <c r="AK25" s="2" t="s">
        <v>89</v>
      </c>
      <c r="AL25" s="2" t="s">
        <v>89</v>
      </c>
      <c r="AM25" s="2" t="s">
        <v>89</v>
      </c>
      <c r="AN25" s="2"/>
      <c r="AO25" s="2"/>
      <c r="AP25" s="2"/>
      <c r="AQ25" s="2"/>
      <c r="AR25" s="2" t="s">
        <v>80</v>
      </c>
      <c r="AS25" s="2">
        <v>48</v>
      </c>
      <c r="AT25" s="2"/>
      <c r="AU25" s="2" t="s">
        <v>530</v>
      </c>
      <c r="AV25" t="str">
        <f t="shared" si="0"/>
        <v>UNIT 2</v>
      </c>
    </row>
    <row r="26" spans="1:48" ht="159.5" x14ac:dyDescent="0.35">
      <c r="A26" s="2" t="s">
        <v>562</v>
      </c>
      <c r="B26" s="2" t="s">
        <v>244</v>
      </c>
      <c r="C26" s="2" t="s">
        <v>245</v>
      </c>
      <c r="D26" s="2" t="s">
        <v>246</v>
      </c>
      <c r="E26" s="2" t="s">
        <v>125</v>
      </c>
      <c r="F26" s="2" t="s">
        <v>125</v>
      </c>
      <c r="G26" s="2" t="s">
        <v>95</v>
      </c>
      <c r="H26" s="4">
        <v>45560</v>
      </c>
      <c r="I26" s="2" t="s">
        <v>11</v>
      </c>
      <c r="J26" s="2" t="s">
        <v>127</v>
      </c>
      <c r="K26" s="2" t="s">
        <v>128</v>
      </c>
      <c r="L26" s="2" t="s">
        <v>129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 t="s">
        <v>130</v>
      </c>
      <c r="X26" s="2" t="s">
        <v>131</v>
      </c>
      <c r="Y26" s="2" t="s">
        <v>132</v>
      </c>
      <c r="Z26" s="2"/>
      <c r="AA26" s="2" t="s">
        <v>133</v>
      </c>
      <c r="AB26" s="2" t="s">
        <v>134</v>
      </c>
      <c r="AC26" s="2"/>
      <c r="AD26" s="2" t="s">
        <v>129</v>
      </c>
      <c r="AE26" s="2" t="s">
        <v>133</v>
      </c>
      <c r="AF26" s="2"/>
      <c r="AG26" s="2"/>
      <c r="AH26" s="2"/>
      <c r="AI26" s="2"/>
      <c r="AJ26" s="2"/>
      <c r="AK26" s="2"/>
      <c r="AL26" s="2"/>
      <c r="AM26" s="2"/>
      <c r="AN26" s="2" t="s">
        <v>131</v>
      </c>
      <c r="AO26" s="2" t="s">
        <v>135</v>
      </c>
      <c r="AP26" s="2" t="s">
        <v>136</v>
      </c>
      <c r="AQ26" s="2" t="s">
        <v>137</v>
      </c>
      <c r="AR26" s="2" t="s">
        <v>126</v>
      </c>
      <c r="AS26" s="2">
        <v>50</v>
      </c>
      <c r="AT26" s="2"/>
      <c r="AU26" s="2" t="s">
        <v>535</v>
      </c>
      <c r="AV26" t="str">
        <f t="shared" si="0"/>
        <v>UNIT 2</v>
      </c>
    </row>
    <row r="27" spans="1:48" ht="101.5" x14ac:dyDescent="0.35">
      <c r="A27" s="2" t="s">
        <v>563</v>
      </c>
      <c r="B27" s="2" t="s">
        <v>248</v>
      </c>
      <c r="C27" s="2" t="s">
        <v>249</v>
      </c>
      <c r="D27" s="2" t="s">
        <v>250</v>
      </c>
      <c r="E27" s="2" t="s">
        <v>142</v>
      </c>
      <c r="F27" s="2" t="s">
        <v>142</v>
      </c>
      <c r="G27" s="2" t="s">
        <v>144</v>
      </c>
      <c r="H27" s="4">
        <v>45537</v>
      </c>
      <c r="I27" s="2" t="s">
        <v>8</v>
      </c>
      <c r="J27" s="2" t="s">
        <v>82</v>
      </c>
      <c r="K27" s="2" t="s">
        <v>145</v>
      </c>
      <c r="L27" s="2" t="s">
        <v>146</v>
      </c>
      <c r="M27" s="2" t="s">
        <v>147</v>
      </c>
      <c r="N27" s="2" t="s">
        <v>148</v>
      </c>
      <c r="O27" s="2" t="s">
        <v>89</v>
      </c>
      <c r="P27" s="2" t="s">
        <v>89</v>
      </c>
      <c r="Q27" s="2" t="s">
        <v>89</v>
      </c>
      <c r="R27" s="2" t="s">
        <v>89</v>
      </c>
      <c r="S27" s="2" t="s">
        <v>90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">
        <v>89</v>
      </c>
      <c r="AL27" s="2" t="s">
        <v>89</v>
      </c>
      <c r="AM27" s="2"/>
      <c r="AN27" s="2"/>
      <c r="AO27" s="2"/>
      <c r="AP27" s="2"/>
      <c r="AQ27" s="2"/>
      <c r="AR27" s="2" t="s">
        <v>143</v>
      </c>
      <c r="AS27" s="2">
        <v>52</v>
      </c>
      <c r="AT27" s="2"/>
      <c r="AU27" s="2" t="s">
        <v>564</v>
      </c>
      <c r="AV27" t="str">
        <f t="shared" si="0"/>
        <v>UNIT 2</v>
      </c>
    </row>
    <row r="28" spans="1:48" ht="101.5" x14ac:dyDescent="0.35">
      <c r="A28" s="2" t="s">
        <v>565</v>
      </c>
      <c r="B28" s="2" t="s">
        <v>252</v>
      </c>
      <c r="C28" s="2" t="s">
        <v>253</v>
      </c>
      <c r="D28" s="2" t="s">
        <v>254</v>
      </c>
      <c r="E28" s="2" t="s">
        <v>142</v>
      </c>
      <c r="F28" s="2" t="s">
        <v>142</v>
      </c>
      <c r="G28" s="2" t="s">
        <v>95</v>
      </c>
      <c r="H28" s="4">
        <v>45561</v>
      </c>
      <c r="I28" s="2" t="s">
        <v>11</v>
      </c>
      <c r="J28" s="2" t="s">
        <v>82</v>
      </c>
      <c r="K28" s="2" t="s">
        <v>145</v>
      </c>
      <c r="L28" s="2" t="s">
        <v>157</v>
      </c>
      <c r="M28" s="2" t="s">
        <v>158</v>
      </c>
      <c r="N28" s="2" t="s">
        <v>159</v>
      </c>
      <c r="O28" s="2"/>
      <c r="P28" s="2"/>
      <c r="Q28" s="2"/>
      <c r="R28" s="2" t="s">
        <v>89</v>
      </c>
      <c r="S28" s="2" t="s">
        <v>90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">
        <v>89</v>
      </c>
      <c r="AL28" s="2" t="s">
        <v>89</v>
      </c>
      <c r="AM28" s="2"/>
      <c r="AN28" s="2"/>
      <c r="AO28" s="2"/>
      <c r="AP28" s="2"/>
      <c r="AQ28" s="2"/>
      <c r="AR28" s="2" t="s">
        <v>143</v>
      </c>
      <c r="AS28" s="2">
        <v>54</v>
      </c>
      <c r="AT28" s="2"/>
      <c r="AU28" s="2" t="s">
        <v>566</v>
      </c>
      <c r="AV28" t="str">
        <f t="shared" si="0"/>
        <v>UNIT 2</v>
      </c>
    </row>
    <row r="29" spans="1:48" ht="101.5" x14ac:dyDescent="0.35">
      <c r="A29" s="2" t="s">
        <v>567</v>
      </c>
      <c r="B29" s="2" t="s">
        <v>256</v>
      </c>
      <c r="C29" s="2" t="s">
        <v>257</v>
      </c>
      <c r="D29" s="2" t="s">
        <v>258</v>
      </c>
      <c r="E29" s="2" t="s">
        <v>142</v>
      </c>
      <c r="F29" s="2" t="s">
        <v>142</v>
      </c>
      <c r="G29" s="2" t="s">
        <v>95</v>
      </c>
      <c r="H29" s="4">
        <v>45561</v>
      </c>
      <c r="I29" s="2" t="s">
        <v>11</v>
      </c>
      <c r="J29" s="2" t="s">
        <v>82</v>
      </c>
      <c r="K29" s="2" t="s">
        <v>145</v>
      </c>
      <c r="L29" s="2" t="s">
        <v>157</v>
      </c>
      <c r="M29" s="2" t="s">
        <v>158</v>
      </c>
      <c r="N29" s="2" t="s">
        <v>159</v>
      </c>
      <c r="O29" s="2"/>
      <c r="P29" s="2"/>
      <c r="Q29" s="2"/>
      <c r="R29" s="2" t="s">
        <v>89</v>
      </c>
      <c r="S29" s="2" t="s">
        <v>90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">
        <v>89</v>
      </c>
      <c r="AL29" s="2" t="s">
        <v>89</v>
      </c>
      <c r="AM29" s="2"/>
      <c r="AN29" s="2"/>
      <c r="AO29" s="2"/>
      <c r="AP29" s="2"/>
      <c r="AQ29" s="2"/>
      <c r="AR29" s="2" t="s">
        <v>143</v>
      </c>
      <c r="AS29" s="2">
        <v>56</v>
      </c>
      <c r="AT29" s="2"/>
      <c r="AU29" s="2" t="s">
        <v>541</v>
      </c>
      <c r="AV29" t="str">
        <f t="shared" si="0"/>
        <v>UNIT 2</v>
      </c>
    </row>
    <row r="30" spans="1:48" ht="145" x14ac:dyDescent="0.35">
      <c r="A30" s="2" t="s">
        <v>568</v>
      </c>
      <c r="B30" s="2" t="s">
        <v>260</v>
      </c>
      <c r="C30" s="2" t="s">
        <v>261</v>
      </c>
      <c r="D30" s="2" t="s">
        <v>262</v>
      </c>
      <c r="E30" s="2" t="s">
        <v>79</v>
      </c>
      <c r="F30" s="2" t="s">
        <v>79</v>
      </c>
      <c r="G30" s="2" t="s">
        <v>144</v>
      </c>
      <c r="H30" s="4">
        <v>45537</v>
      </c>
      <c r="I30" s="2" t="s">
        <v>11</v>
      </c>
      <c r="J30" s="2" t="s">
        <v>82</v>
      </c>
      <c r="K30" s="2" t="s">
        <v>83</v>
      </c>
      <c r="L30" s="2" t="s">
        <v>167</v>
      </c>
      <c r="M30" s="2" t="s">
        <v>168</v>
      </c>
      <c r="N30" s="2" t="s">
        <v>169</v>
      </c>
      <c r="O30" s="2"/>
      <c r="P30" s="2" t="s">
        <v>170</v>
      </c>
      <c r="Q30" s="2" t="s">
        <v>171</v>
      </c>
      <c r="R30" s="2" t="s">
        <v>89</v>
      </c>
      <c r="S30" s="2" t="s">
        <v>90</v>
      </c>
      <c r="T30" s="2"/>
      <c r="U30" s="2"/>
      <c r="V30" s="2"/>
      <c r="W30" s="2"/>
      <c r="X30" s="2"/>
      <c r="Y30" s="2"/>
      <c r="Z30" s="2"/>
      <c r="AA30" s="2"/>
      <c r="AB30" s="2"/>
      <c r="AC30" s="2" t="s">
        <v>172</v>
      </c>
      <c r="AD30" s="2"/>
      <c r="AE30" s="2" t="s">
        <v>168</v>
      </c>
      <c r="AF30" s="2"/>
      <c r="AG30" s="2" t="s">
        <v>173</v>
      </c>
      <c r="AH30" s="2"/>
      <c r="AI30" s="2"/>
      <c r="AJ30" s="2"/>
      <c r="AK30" s="2" t="s">
        <v>89</v>
      </c>
      <c r="AL30" s="2" t="s">
        <v>89</v>
      </c>
      <c r="AM30" s="2"/>
      <c r="AN30" s="2"/>
      <c r="AO30" s="2"/>
      <c r="AP30" s="2"/>
      <c r="AQ30" s="2"/>
      <c r="AR30" s="2" t="s">
        <v>143</v>
      </c>
      <c r="AS30" s="2">
        <v>58</v>
      </c>
      <c r="AT30" s="2"/>
      <c r="AU30" s="2" t="s">
        <v>543</v>
      </c>
      <c r="AV30" t="str">
        <f t="shared" si="0"/>
        <v>UNIT 2</v>
      </c>
    </row>
    <row r="31" spans="1:48" ht="101.5" x14ac:dyDescent="0.35">
      <c r="A31" s="2" t="s">
        <v>569</v>
      </c>
      <c r="B31" s="2" t="s">
        <v>264</v>
      </c>
      <c r="C31" s="2" t="s">
        <v>265</v>
      </c>
      <c r="D31" s="2" t="s">
        <v>266</v>
      </c>
      <c r="E31" s="2" t="s">
        <v>142</v>
      </c>
      <c r="F31" s="2" t="s">
        <v>142</v>
      </c>
      <c r="G31" s="2" t="s">
        <v>95</v>
      </c>
      <c r="H31" s="4">
        <v>45561</v>
      </c>
      <c r="I31" s="2" t="s">
        <v>11</v>
      </c>
      <c r="J31" s="2" t="s">
        <v>82</v>
      </c>
      <c r="K31" s="2" t="s">
        <v>145</v>
      </c>
      <c r="L31" s="2" t="s">
        <v>178</v>
      </c>
      <c r="M31" s="2" t="s">
        <v>158</v>
      </c>
      <c r="N31" s="2" t="s">
        <v>148</v>
      </c>
      <c r="O31" s="2" t="s">
        <v>89</v>
      </c>
      <c r="P31" s="2" t="s">
        <v>89</v>
      </c>
      <c r="Q31" s="2" t="s">
        <v>89</v>
      </c>
      <c r="R31" s="2" t="s">
        <v>89</v>
      </c>
      <c r="S31" s="2" t="s">
        <v>90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89</v>
      </c>
      <c r="AL31" s="2" t="s">
        <v>89</v>
      </c>
      <c r="AM31" s="2"/>
      <c r="AN31" s="2"/>
      <c r="AO31" s="2"/>
      <c r="AP31" s="2"/>
      <c r="AQ31" s="2"/>
      <c r="AR31" s="2" t="s">
        <v>143</v>
      </c>
      <c r="AS31" s="2">
        <v>60</v>
      </c>
      <c r="AT31" s="2"/>
      <c r="AU31" s="2" t="s">
        <v>545</v>
      </c>
      <c r="AV31" t="str">
        <f t="shared" si="0"/>
        <v>UNIT 2</v>
      </c>
    </row>
    <row r="32" spans="1:48" ht="101.5" x14ac:dyDescent="0.35">
      <c r="A32" s="2" t="s">
        <v>570</v>
      </c>
      <c r="B32" s="2" t="s">
        <v>268</v>
      </c>
      <c r="C32" s="2" t="s">
        <v>269</v>
      </c>
      <c r="D32" s="2" t="s">
        <v>270</v>
      </c>
      <c r="E32" s="2" t="s">
        <v>142</v>
      </c>
      <c r="F32" s="2" t="s">
        <v>142</v>
      </c>
      <c r="G32" s="2" t="s">
        <v>95</v>
      </c>
      <c r="H32" s="4">
        <v>45561</v>
      </c>
      <c r="I32" s="2" t="s">
        <v>11</v>
      </c>
      <c r="J32" s="2" t="s">
        <v>82</v>
      </c>
      <c r="K32" s="2" t="s">
        <v>145</v>
      </c>
      <c r="L32" s="2" t="s">
        <v>178</v>
      </c>
      <c r="M32" s="2" t="s">
        <v>158</v>
      </c>
      <c r="N32" s="2" t="s">
        <v>148</v>
      </c>
      <c r="O32" s="2"/>
      <c r="P32" s="2"/>
      <c r="Q32" s="2"/>
      <c r="R32" s="2" t="s">
        <v>89</v>
      </c>
      <c r="S32" s="2" t="s">
        <v>90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89</v>
      </c>
      <c r="AL32" s="2" t="s">
        <v>89</v>
      </c>
      <c r="AM32" s="2"/>
      <c r="AN32" s="2"/>
      <c r="AO32" s="2"/>
      <c r="AP32" s="2"/>
      <c r="AQ32" s="2"/>
      <c r="AR32" s="2" t="s">
        <v>143</v>
      </c>
      <c r="AS32" s="2">
        <v>62</v>
      </c>
      <c r="AT32" s="2"/>
      <c r="AU32" s="2" t="s">
        <v>547</v>
      </c>
      <c r="AV32" t="str">
        <f t="shared" si="0"/>
        <v>UNIT 2</v>
      </c>
    </row>
    <row r="33" spans="1:48" ht="101.5" x14ac:dyDescent="0.35">
      <c r="A33" s="2" t="s">
        <v>571</v>
      </c>
      <c r="B33" s="2" t="s">
        <v>272</v>
      </c>
      <c r="C33" s="2" t="s">
        <v>273</v>
      </c>
      <c r="D33" s="2" t="s">
        <v>274</v>
      </c>
      <c r="E33" s="2" t="s">
        <v>187</v>
      </c>
      <c r="F33" s="2" t="s">
        <v>79</v>
      </c>
      <c r="G33" s="2" t="s">
        <v>217</v>
      </c>
      <c r="H33" s="4">
        <v>45552</v>
      </c>
      <c r="I33" s="2" t="s">
        <v>8</v>
      </c>
      <c r="J33" s="2" t="s">
        <v>82</v>
      </c>
      <c r="K33" s="2" t="s">
        <v>145</v>
      </c>
      <c r="L33" s="2" t="s">
        <v>188</v>
      </c>
      <c r="M33" s="2" t="s">
        <v>189</v>
      </c>
      <c r="N33" s="2" t="s">
        <v>190</v>
      </c>
      <c r="O33" s="2"/>
      <c r="P33" s="2"/>
      <c r="Q33" s="2"/>
      <c r="R33" s="2" t="s">
        <v>89</v>
      </c>
      <c r="S33" s="2" t="s">
        <v>90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 t="s">
        <v>143</v>
      </c>
      <c r="AS33" s="2">
        <v>64</v>
      </c>
      <c r="AT33" s="2" t="s">
        <v>192</v>
      </c>
      <c r="AU33" s="2" t="s">
        <v>549</v>
      </c>
      <c r="AV33" t="str">
        <f t="shared" si="0"/>
        <v>UNIT 2</v>
      </c>
    </row>
    <row r="34" spans="1:48" ht="101.5" x14ac:dyDescent="0.35">
      <c r="A34" s="2" t="s">
        <v>572</v>
      </c>
      <c r="B34" s="2" t="s">
        <v>276</v>
      </c>
      <c r="C34" s="2" t="s">
        <v>277</v>
      </c>
      <c r="D34" s="2" t="s">
        <v>278</v>
      </c>
      <c r="E34" s="2" t="s">
        <v>187</v>
      </c>
      <c r="F34" s="2" t="s">
        <v>79</v>
      </c>
      <c r="G34" s="2" t="s">
        <v>144</v>
      </c>
      <c r="H34" s="4">
        <v>45537</v>
      </c>
      <c r="I34" s="2" t="s">
        <v>8</v>
      </c>
      <c r="J34" s="2" t="s">
        <v>82</v>
      </c>
      <c r="K34" s="2" t="s">
        <v>145</v>
      </c>
      <c r="L34" s="2" t="s">
        <v>188</v>
      </c>
      <c r="M34" s="2" t="s">
        <v>189</v>
      </c>
      <c r="N34" s="2" t="s">
        <v>190</v>
      </c>
      <c r="O34" s="2"/>
      <c r="P34" s="2"/>
      <c r="Q34" s="2"/>
      <c r="R34" s="2" t="s">
        <v>89</v>
      </c>
      <c r="S34" s="2" t="s">
        <v>90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 t="s">
        <v>143</v>
      </c>
      <c r="AS34" s="2">
        <v>66</v>
      </c>
      <c r="AT34" s="2" t="s">
        <v>192</v>
      </c>
      <c r="AU34" s="2" t="s">
        <v>549</v>
      </c>
      <c r="AV34" t="str">
        <f t="shared" ref="AV34:AV70" si="1">IF(AS34&lt;=36,"UNIT 1",IF(AS34&lt;=70,"UNIT 2",IF(AS34&lt;=110,"UNIT 3","COMMON")))</f>
        <v>UNIT 2</v>
      </c>
    </row>
    <row r="35" spans="1:48" ht="101.5" x14ac:dyDescent="0.35">
      <c r="A35" s="2" t="s">
        <v>573</v>
      </c>
      <c r="B35" s="2" t="s">
        <v>280</v>
      </c>
      <c r="C35" s="2" t="s">
        <v>281</v>
      </c>
      <c r="D35" s="2"/>
      <c r="E35" s="2" t="s">
        <v>142</v>
      </c>
      <c r="F35" s="2" t="s">
        <v>142</v>
      </c>
      <c r="G35" s="2" t="s">
        <v>217</v>
      </c>
      <c r="H35" s="4">
        <v>45552</v>
      </c>
      <c r="I35" s="2" t="s">
        <v>11</v>
      </c>
      <c r="J35" s="2" t="s">
        <v>82</v>
      </c>
      <c r="K35" s="2" t="s">
        <v>145</v>
      </c>
      <c r="L35" s="2" t="s">
        <v>157</v>
      </c>
      <c r="M35" s="2" t="s">
        <v>158</v>
      </c>
      <c r="N35" s="2" t="s">
        <v>159</v>
      </c>
      <c r="O35" s="2"/>
      <c r="P35" s="2"/>
      <c r="Q35" s="2"/>
      <c r="R35" s="2" t="s">
        <v>89</v>
      </c>
      <c r="S35" s="2" t="s">
        <v>90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89</v>
      </c>
      <c r="AL35" s="2" t="s">
        <v>89</v>
      </c>
      <c r="AM35" s="2"/>
      <c r="AN35" s="2"/>
      <c r="AO35" s="2"/>
      <c r="AP35" s="2"/>
      <c r="AQ35" s="2"/>
      <c r="AR35" s="2" t="s">
        <v>143</v>
      </c>
      <c r="AS35" s="2">
        <v>68</v>
      </c>
      <c r="AT35" s="2" t="s">
        <v>574</v>
      </c>
      <c r="AU35" s="2" t="s">
        <v>541</v>
      </c>
      <c r="AV35" t="str">
        <f t="shared" si="1"/>
        <v>UNIT 2</v>
      </c>
    </row>
    <row r="36" spans="1:48" ht="101.5" x14ac:dyDescent="0.35">
      <c r="A36" s="2" t="s">
        <v>575</v>
      </c>
      <c r="B36" s="2" t="s">
        <v>280</v>
      </c>
      <c r="C36" s="2" t="s">
        <v>281</v>
      </c>
      <c r="D36" s="2"/>
      <c r="E36" s="2" t="s">
        <v>142</v>
      </c>
      <c r="F36" s="2" t="s">
        <v>142</v>
      </c>
      <c r="G36" s="2" t="s">
        <v>217</v>
      </c>
      <c r="H36" s="4">
        <v>45552</v>
      </c>
      <c r="I36" s="2" t="s">
        <v>11</v>
      </c>
      <c r="J36" s="2" t="s">
        <v>82</v>
      </c>
      <c r="K36" s="2" t="s">
        <v>145</v>
      </c>
      <c r="L36" s="2" t="s">
        <v>157</v>
      </c>
      <c r="M36" s="2" t="s">
        <v>158</v>
      </c>
      <c r="N36" s="2" t="s">
        <v>159</v>
      </c>
      <c r="O36" s="2"/>
      <c r="P36" s="2"/>
      <c r="Q36" s="2"/>
      <c r="R36" s="2" t="s">
        <v>89</v>
      </c>
      <c r="S36" s="2" t="s">
        <v>90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 t="s">
        <v>89</v>
      </c>
      <c r="AL36" s="2" t="s">
        <v>89</v>
      </c>
      <c r="AM36" s="2"/>
      <c r="AN36" s="2"/>
      <c r="AO36" s="2"/>
      <c r="AP36" s="2"/>
      <c r="AQ36" s="2"/>
      <c r="AR36" s="2" t="s">
        <v>143</v>
      </c>
      <c r="AS36" s="2">
        <v>70</v>
      </c>
      <c r="AT36" s="2" t="s">
        <v>574</v>
      </c>
      <c r="AU36" s="2" t="s">
        <v>541</v>
      </c>
      <c r="AV36" t="str">
        <f t="shared" si="1"/>
        <v>UNIT 2</v>
      </c>
    </row>
    <row r="37" spans="1:48" ht="130.5" x14ac:dyDescent="0.35">
      <c r="A37" s="2" t="s">
        <v>576</v>
      </c>
      <c r="B37" s="2" t="s">
        <v>284</v>
      </c>
      <c r="C37" s="2" t="s">
        <v>285</v>
      </c>
      <c r="D37" s="2" t="s">
        <v>286</v>
      </c>
      <c r="E37" s="2" t="s">
        <v>79</v>
      </c>
      <c r="F37" s="2" t="s">
        <v>79</v>
      </c>
      <c r="G37" s="2" t="s">
        <v>217</v>
      </c>
      <c r="H37" s="4">
        <v>45552</v>
      </c>
      <c r="I37" s="2" t="s">
        <v>8</v>
      </c>
      <c r="J37" s="2" t="s">
        <v>82</v>
      </c>
      <c r="K37" s="2" t="s">
        <v>83</v>
      </c>
      <c r="L37" s="2" t="s">
        <v>287</v>
      </c>
      <c r="M37" s="2" t="s">
        <v>288</v>
      </c>
      <c r="N37" s="2" t="s">
        <v>289</v>
      </c>
      <c r="O37" s="2" t="s">
        <v>103</v>
      </c>
      <c r="P37" s="2" t="s">
        <v>290</v>
      </c>
      <c r="Q37" s="2" t="s">
        <v>291</v>
      </c>
      <c r="R37" s="2" t="s">
        <v>89</v>
      </c>
      <c r="S37" s="2" t="s">
        <v>90</v>
      </c>
      <c r="T37" s="2"/>
      <c r="U37" s="2"/>
      <c r="V37" s="2"/>
      <c r="W37" s="2"/>
      <c r="X37" s="2"/>
      <c r="Y37" s="2"/>
      <c r="Z37" s="2"/>
      <c r="AA37" s="2"/>
      <c r="AB37" s="2"/>
      <c r="AC37" s="2" t="s">
        <v>292</v>
      </c>
      <c r="AD37" s="2"/>
      <c r="AE37" s="2" t="s">
        <v>293</v>
      </c>
      <c r="AF37" s="2"/>
      <c r="AG37" s="2" t="s">
        <v>294</v>
      </c>
      <c r="AH37" s="2"/>
      <c r="AI37" s="2"/>
      <c r="AJ37" s="2" t="s">
        <v>295</v>
      </c>
      <c r="AK37" s="2" t="s">
        <v>89</v>
      </c>
      <c r="AL37" s="2" t="s">
        <v>89</v>
      </c>
      <c r="AM37" s="2"/>
      <c r="AN37" s="2"/>
      <c r="AO37" s="2"/>
      <c r="AP37" s="2"/>
      <c r="AQ37" s="2"/>
      <c r="AR37" s="2" t="s">
        <v>80</v>
      </c>
      <c r="AS37" s="2">
        <v>72</v>
      </c>
      <c r="AT37" s="2"/>
      <c r="AU37" s="2" t="s">
        <v>577</v>
      </c>
      <c r="AV37" t="str">
        <f t="shared" si="1"/>
        <v>UNIT 3</v>
      </c>
    </row>
    <row r="38" spans="1:48" ht="130.5" x14ac:dyDescent="0.35">
      <c r="A38" s="2" t="s">
        <v>578</v>
      </c>
      <c r="B38" s="2" t="s">
        <v>297</v>
      </c>
      <c r="C38" s="2" t="s">
        <v>298</v>
      </c>
      <c r="D38" s="2" t="s">
        <v>299</v>
      </c>
      <c r="E38" s="2" t="s">
        <v>79</v>
      </c>
      <c r="F38" s="2" t="s">
        <v>79</v>
      </c>
      <c r="G38" s="2" t="s">
        <v>144</v>
      </c>
      <c r="H38" s="4">
        <v>45538</v>
      </c>
      <c r="I38" s="2" t="s">
        <v>8</v>
      </c>
      <c r="J38" s="2" t="s">
        <v>82</v>
      </c>
      <c r="K38" s="2" t="s">
        <v>83</v>
      </c>
      <c r="L38" s="2" t="s">
        <v>287</v>
      </c>
      <c r="M38" s="2" t="s">
        <v>288</v>
      </c>
      <c r="N38" s="2" t="s">
        <v>289</v>
      </c>
      <c r="O38" s="2" t="s">
        <v>103</v>
      </c>
      <c r="P38" s="2" t="s">
        <v>290</v>
      </c>
      <c r="Q38" s="2" t="s">
        <v>291</v>
      </c>
      <c r="R38" s="2" t="s">
        <v>89</v>
      </c>
      <c r="S38" s="2" t="s">
        <v>90</v>
      </c>
      <c r="T38" s="2"/>
      <c r="U38" s="2"/>
      <c r="V38" s="2"/>
      <c r="W38" s="2"/>
      <c r="X38" s="2"/>
      <c r="Y38" s="2"/>
      <c r="Z38" s="2"/>
      <c r="AA38" s="2"/>
      <c r="AB38" s="2"/>
      <c r="AC38" s="2" t="s">
        <v>292</v>
      </c>
      <c r="AD38" s="2"/>
      <c r="AE38" s="2" t="s">
        <v>293</v>
      </c>
      <c r="AF38" s="2"/>
      <c r="AG38" s="2" t="s">
        <v>294</v>
      </c>
      <c r="AH38" s="2"/>
      <c r="AI38" s="2"/>
      <c r="AJ38" s="2" t="s">
        <v>295</v>
      </c>
      <c r="AK38" s="2" t="s">
        <v>89</v>
      </c>
      <c r="AL38" s="2" t="s">
        <v>89</v>
      </c>
      <c r="AM38" s="2"/>
      <c r="AN38" s="2"/>
      <c r="AO38" s="2"/>
      <c r="AP38" s="2"/>
      <c r="AQ38" s="2"/>
      <c r="AR38" s="2" t="s">
        <v>80</v>
      </c>
      <c r="AS38" s="2">
        <v>74</v>
      </c>
      <c r="AT38" s="2"/>
      <c r="AU38" s="2" t="s">
        <v>577</v>
      </c>
      <c r="AV38" t="str">
        <f t="shared" si="1"/>
        <v>UNIT 3</v>
      </c>
    </row>
    <row r="39" spans="1:48" ht="145" x14ac:dyDescent="0.35">
      <c r="A39" s="2" t="s">
        <v>579</v>
      </c>
      <c r="B39" s="2" t="s">
        <v>301</v>
      </c>
      <c r="C39" s="2" t="s">
        <v>302</v>
      </c>
      <c r="D39" s="2" t="s">
        <v>303</v>
      </c>
      <c r="E39" s="2" t="s">
        <v>79</v>
      </c>
      <c r="F39" s="2" t="s">
        <v>79</v>
      </c>
      <c r="G39" s="2" t="s">
        <v>144</v>
      </c>
      <c r="H39" s="4">
        <v>45538</v>
      </c>
      <c r="I39" s="2" t="s">
        <v>11</v>
      </c>
      <c r="J39" s="2" t="s">
        <v>82</v>
      </c>
      <c r="K39" s="2" t="s">
        <v>83</v>
      </c>
      <c r="L39" s="2" t="s">
        <v>304</v>
      </c>
      <c r="M39" s="2" t="s">
        <v>305</v>
      </c>
      <c r="N39" s="2" t="s">
        <v>306</v>
      </c>
      <c r="O39" s="2" t="s">
        <v>103</v>
      </c>
      <c r="P39" s="2" t="s">
        <v>307</v>
      </c>
      <c r="Q39" s="2" t="s">
        <v>308</v>
      </c>
      <c r="R39" s="2" t="s">
        <v>89</v>
      </c>
      <c r="S39" s="2" t="s">
        <v>90</v>
      </c>
      <c r="T39" s="2"/>
      <c r="U39" s="2"/>
      <c r="V39" s="2"/>
      <c r="W39" s="2"/>
      <c r="X39" s="2"/>
      <c r="Y39" s="2"/>
      <c r="Z39" s="2"/>
      <c r="AA39" s="2"/>
      <c r="AB39" s="2"/>
      <c r="AC39" s="2" t="s">
        <v>309</v>
      </c>
      <c r="AD39" s="2"/>
      <c r="AE39" s="2" t="s">
        <v>310</v>
      </c>
      <c r="AF39" s="2" t="s">
        <v>311</v>
      </c>
      <c r="AG39" s="2"/>
      <c r="AH39" s="2"/>
      <c r="AI39" s="2" t="s">
        <v>312</v>
      </c>
      <c r="AJ39" s="2" t="s">
        <v>295</v>
      </c>
      <c r="AK39" s="2" t="s">
        <v>89</v>
      </c>
      <c r="AL39" s="2" t="s">
        <v>89</v>
      </c>
      <c r="AM39" s="2" t="s">
        <v>89</v>
      </c>
      <c r="AN39" s="2"/>
      <c r="AO39" s="2"/>
      <c r="AP39" s="2"/>
      <c r="AQ39" s="2"/>
      <c r="AR39" s="2" t="s">
        <v>80</v>
      </c>
      <c r="AS39" s="2">
        <v>76</v>
      </c>
      <c r="AT39" s="2"/>
      <c r="AU39" s="2" t="s">
        <v>580</v>
      </c>
      <c r="AV39" t="str">
        <f t="shared" si="1"/>
        <v>UNIT 3</v>
      </c>
    </row>
    <row r="40" spans="1:48" ht="145" x14ac:dyDescent="0.35">
      <c r="A40" s="2" t="s">
        <v>581</v>
      </c>
      <c r="B40" s="2" t="s">
        <v>314</v>
      </c>
      <c r="C40" s="2" t="s">
        <v>315</v>
      </c>
      <c r="D40" s="2" t="s">
        <v>316</v>
      </c>
      <c r="E40" s="2" t="s">
        <v>79</v>
      </c>
      <c r="F40" s="2" t="s">
        <v>79</v>
      </c>
      <c r="G40" s="2" t="s">
        <v>95</v>
      </c>
      <c r="H40" s="4">
        <v>45561</v>
      </c>
      <c r="I40" s="2" t="s">
        <v>11</v>
      </c>
      <c r="J40" s="2" t="s">
        <v>82</v>
      </c>
      <c r="K40" s="2" t="s">
        <v>83</v>
      </c>
      <c r="L40" s="2" t="s">
        <v>304</v>
      </c>
      <c r="M40" s="2" t="s">
        <v>317</v>
      </c>
      <c r="N40" s="2" t="s">
        <v>318</v>
      </c>
      <c r="O40" s="2" t="s">
        <v>103</v>
      </c>
      <c r="P40" s="2" t="s">
        <v>319</v>
      </c>
      <c r="Q40" s="2" t="s">
        <v>171</v>
      </c>
      <c r="R40" s="2" t="s">
        <v>89</v>
      </c>
      <c r="S40" s="2" t="s">
        <v>90</v>
      </c>
      <c r="T40" s="2"/>
      <c r="U40" s="2"/>
      <c r="V40" s="2"/>
      <c r="W40" s="2"/>
      <c r="X40" s="2"/>
      <c r="Y40" s="2"/>
      <c r="Z40" s="2"/>
      <c r="AA40" s="2"/>
      <c r="AB40" s="2"/>
      <c r="AC40" s="2" t="s">
        <v>320</v>
      </c>
      <c r="AD40" s="2"/>
      <c r="AE40" s="2" t="s">
        <v>310</v>
      </c>
      <c r="AF40" s="2" t="s">
        <v>321</v>
      </c>
      <c r="AG40" s="2"/>
      <c r="AH40" s="2"/>
      <c r="AI40" s="2" t="s">
        <v>322</v>
      </c>
      <c r="AJ40" s="2" t="s">
        <v>295</v>
      </c>
      <c r="AK40" s="2" t="s">
        <v>89</v>
      </c>
      <c r="AL40" s="2" t="s">
        <v>89</v>
      </c>
      <c r="AM40" s="2" t="s">
        <v>89</v>
      </c>
      <c r="AN40" s="2"/>
      <c r="AO40" s="2"/>
      <c r="AP40" s="2"/>
      <c r="AQ40" s="2"/>
      <c r="AR40" s="2" t="s">
        <v>80</v>
      </c>
      <c r="AS40" s="2">
        <v>78</v>
      </c>
      <c r="AT40" s="2"/>
      <c r="AU40" s="2" t="s">
        <v>582</v>
      </c>
      <c r="AV40" t="str">
        <f t="shared" si="1"/>
        <v>UNIT 3</v>
      </c>
    </row>
    <row r="41" spans="1:48" ht="116" x14ac:dyDescent="0.35">
      <c r="A41" s="2" t="s">
        <v>583</v>
      </c>
      <c r="B41" s="2" t="s">
        <v>324</v>
      </c>
      <c r="C41" s="2" t="s">
        <v>325</v>
      </c>
      <c r="D41" s="2" t="s">
        <v>326</v>
      </c>
      <c r="E41" s="2" t="s">
        <v>142</v>
      </c>
      <c r="F41" s="2" t="s">
        <v>142</v>
      </c>
      <c r="G41" s="2" t="s">
        <v>144</v>
      </c>
      <c r="H41" s="4">
        <v>45538</v>
      </c>
      <c r="I41" s="2" t="s">
        <v>11</v>
      </c>
      <c r="J41" s="2" t="s">
        <v>82</v>
      </c>
      <c r="K41" s="2" t="s">
        <v>83</v>
      </c>
      <c r="L41" s="2" t="s">
        <v>327</v>
      </c>
      <c r="M41" s="2" t="s">
        <v>328</v>
      </c>
      <c r="N41" s="2" t="s">
        <v>329</v>
      </c>
      <c r="O41" s="2" t="s">
        <v>330</v>
      </c>
      <c r="P41" s="2" t="s">
        <v>331</v>
      </c>
      <c r="Q41" s="2" t="s">
        <v>332</v>
      </c>
      <c r="R41" s="2" t="s">
        <v>89</v>
      </c>
      <c r="S41" s="2" t="s">
        <v>90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 t="s">
        <v>80</v>
      </c>
      <c r="AS41" s="2">
        <v>80</v>
      </c>
      <c r="AT41" s="2"/>
      <c r="AU41" s="2" t="s">
        <v>584</v>
      </c>
      <c r="AV41" t="str">
        <f t="shared" si="1"/>
        <v>UNIT 3</v>
      </c>
    </row>
    <row r="42" spans="1:48" ht="174" x14ac:dyDescent="0.35">
      <c r="A42" s="2" t="s">
        <v>585</v>
      </c>
      <c r="B42" s="2" t="s">
        <v>334</v>
      </c>
      <c r="C42" s="2" t="s">
        <v>335</v>
      </c>
      <c r="D42" s="2"/>
      <c r="E42" s="2" t="s">
        <v>336</v>
      </c>
      <c r="F42" s="2" t="s">
        <v>336</v>
      </c>
      <c r="G42" s="2" t="s">
        <v>81</v>
      </c>
      <c r="H42" s="4">
        <v>45546</v>
      </c>
      <c r="I42" s="2" t="s">
        <v>8</v>
      </c>
      <c r="J42" s="2" t="s">
        <v>128</v>
      </c>
      <c r="K42" s="2" t="s">
        <v>127</v>
      </c>
      <c r="L42" s="2" t="s">
        <v>337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130</v>
      </c>
      <c r="X42" s="2" t="s">
        <v>131</v>
      </c>
      <c r="Y42" s="2" t="s">
        <v>338</v>
      </c>
      <c r="Z42" s="2" t="s">
        <v>339</v>
      </c>
      <c r="AA42" s="2" t="s">
        <v>133</v>
      </c>
      <c r="AB42" s="2" t="s">
        <v>134</v>
      </c>
      <c r="AC42" s="2"/>
      <c r="AD42" s="2" t="s">
        <v>340</v>
      </c>
      <c r="AE42" s="2" t="s">
        <v>133</v>
      </c>
      <c r="AF42" s="2"/>
      <c r="AG42" s="2"/>
      <c r="AH42" s="2"/>
      <c r="AI42" s="2"/>
      <c r="AJ42" s="2"/>
      <c r="AK42" s="2"/>
      <c r="AL42" s="2"/>
      <c r="AM42" s="2"/>
      <c r="AN42" s="2" t="s">
        <v>131</v>
      </c>
      <c r="AO42" s="2" t="s">
        <v>135</v>
      </c>
      <c r="AP42" s="2" t="s">
        <v>341</v>
      </c>
      <c r="AQ42" s="2"/>
      <c r="AR42" s="2" t="s">
        <v>126</v>
      </c>
      <c r="AS42" s="2">
        <v>82</v>
      </c>
      <c r="AT42" s="2" t="s">
        <v>219</v>
      </c>
      <c r="AU42" s="2" t="s">
        <v>586</v>
      </c>
      <c r="AV42" t="str">
        <f t="shared" si="1"/>
        <v>UNIT 3</v>
      </c>
    </row>
    <row r="43" spans="1:48" ht="159.5" x14ac:dyDescent="0.35">
      <c r="A43" s="2" t="s">
        <v>587</v>
      </c>
      <c r="B43" s="2" t="s">
        <v>343</v>
      </c>
      <c r="C43" s="2" t="s">
        <v>344</v>
      </c>
      <c r="D43" s="2" t="s">
        <v>345</v>
      </c>
      <c r="E43" s="2" t="s">
        <v>142</v>
      </c>
      <c r="F43" s="2" t="s">
        <v>142</v>
      </c>
      <c r="G43" s="2" t="s">
        <v>144</v>
      </c>
      <c r="H43" s="4">
        <v>45538</v>
      </c>
      <c r="I43" s="2" t="s">
        <v>11</v>
      </c>
      <c r="J43" s="2" t="s">
        <v>82</v>
      </c>
      <c r="K43" s="2" t="s">
        <v>145</v>
      </c>
      <c r="L43" s="2" t="s">
        <v>346</v>
      </c>
      <c r="M43" s="2" t="s">
        <v>212</v>
      </c>
      <c r="N43" s="2" t="s">
        <v>347</v>
      </c>
      <c r="O43" s="2" t="s">
        <v>103</v>
      </c>
      <c r="P43" s="2" t="s">
        <v>348</v>
      </c>
      <c r="Q43" s="2" t="s">
        <v>348</v>
      </c>
      <c r="R43" s="2" t="s">
        <v>89</v>
      </c>
      <c r="S43" s="2" t="s">
        <v>90</v>
      </c>
      <c r="T43" s="2"/>
      <c r="U43" s="2"/>
      <c r="V43" s="2"/>
      <c r="W43" s="2"/>
      <c r="X43" s="2"/>
      <c r="Y43" s="2"/>
      <c r="Z43" s="2"/>
      <c r="AA43" s="2"/>
      <c r="AB43" s="2"/>
      <c r="AC43" s="2" t="s">
        <v>349</v>
      </c>
      <c r="AD43" s="2"/>
      <c r="AE43" s="2" t="s">
        <v>350</v>
      </c>
      <c r="AF43" s="2" t="s">
        <v>347</v>
      </c>
      <c r="AG43" s="2" t="s">
        <v>351</v>
      </c>
      <c r="AH43" s="2"/>
      <c r="AI43" s="2"/>
      <c r="AJ43" s="2" t="s">
        <v>103</v>
      </c>
      <c r="AK43" s="2" t="s">
        <v>89</v>
      </c>
      <c r="AL43" s="2" t="s">
        <v>89</v>
      </c>
      <c r="AM43" s="2"/>
      <c r="AN43" s="2"/>
      <c r="AO43" s="2"/>
      <c r="AP43" s="2"/>
      <c r="AQ43" s="2"/>
      <c r="AR43" s="2" t="s">
        <v>143</v>
      </c>
      <c r="AS43" s="2">
        <v>84</v>
      </c>
      <c r="AT43" s="2"/>
      <c r="AU43" s="2" t="s">
        <v>588</v>
      </c>
      <c r="AV43" t="str">
        <f t="shared" si="1"/>
        <v>UNIT 3</v>
      </c>
    </row>
    <row r="44" spans="1:48" ht="130.5" x14ac:dyDescent="0.35">
      <c r="A44" s="2" t="s">
        <v>589</v>
      </c>
      <c r="B44" s="2" t="s">
        <v>353</v>
      </c>
      <c r="C44" s="2" t="s">
        <v>354</v>
      </c>
      <c r="D44" s="2" t="s">
        <v>355</v>
      </c>
      <c r="E44" s="2" t="s">
        <v>142</v>
      </c>
      <c r="F44" s="2" t="s">
        <v>142</v>
      </c>
      <c r="G44" s="2" t="s">
        <v>217</v>
      </c>
      <c r="H44" s="4">
        <v>45553</v>
      </c>
      <c r="I44" s="2" t="s">
        <v>11</v>
      </c>
      <c r="J44" s="2" t="s">
        <v>82</v>
      </c>
      <c r="K44" s="2" t="s">
        <v>145</v>
      </c>
      <c r="L44" s="2" t="s">
        <v>346</v>
      </c>
      <c r="M44" s="2" t="s">
        <v>212</v>
      </c>
      <c r="N44" s="2" t="s">
        <v>347</v>
      </c>
      <c r="O44" s="2" t="s">
        <v>103</v>
      </c>
      <c r="P44" s="2" t="s">
        <v>348</v>
      </c>
      <c r="Q44" s="2" t="s">
        <v>348</v>
      </c>
      <c r="R44" s="2" t="s">
        <v>89</v>
      </c>
      <c r="S44" s="2" t="s">
        <v>90</v>
      </c>
      <c r="T44" s="2"/>
      <c r="U44" s="2"/>
      <c r="V44" s="2"/>
      <c r="W44" s="2"/>
      <c r="X44" s="2"/>
      <c r="Y44" s="2"/>
      <c r="Z44" s="2"/>
      <c r="AA44" s="2"/>
      <c r="AB44" s="2"/>
      <c r="AC44" s="2" t="s">
        <v>349</v>
      </c>
      <c r="AD44" s="2"/>
      <c r="AE44" s="2" t="s">
        <v>350</v>
      </c>
      <c r="AF44" s="2" t="s">
        <v>347</v>
      </c>
      <c r="AG44" s="2" t="s">
        <v>351</v>
      </c>
      <c r="AH44" s="2"/>
      <c r="AI44" s="2"/>
      <c r="AJ44" s="2"/>
      <c r="AK44" s="2" t="s">
        <v>89</v>
      </c>
      <c r="AL44" s="2" t="s">
        <v>89</v>
      </c>
      <c r="AM44" s="2"/>
      <c r="AN44" s="2"/>
      <c r="AO44" s="2"/>
      <c r="AP44" s="2"/>
      <c r="AQ44" s="2"/>
      <c r="AR44" s="2" t="s">
        <v>143</v>
      </c>
      <c r="AS44" s="2">
        <v>86</v>
      </c>
      <c r="AT44" s="2"/>
      <c r="AU44" s="2" t="s">
        <v>590</v>
      </c>
      <c r="AV44" t="str">
        <f t="shared" si="1"/>
        <v>UNIT 3</v>
      </c>
    </row>
    <row r="45" spans="1:48" ht="130.5" x14ac:dyDescent="0.35">
      <c r="A45" s="2" t="s">
        <v>591</v>
      </c>
      <c r="B45" s="2" t="s">
        <v>357</v>
      </c>
      <c r="C45" s="2" t="s">
        <v>358</v>
      </c>
      <c r="D45" s="2" t="s">
        <v>359</v>
      </c>
      <c r="E45" s="2" t="s">
        <v>142</v>
      </c>
      <c r="F45" s="2" t="s">
        <v>142</v>
      </c>
      <c r="G45" s="2" t="s">
        <v>217</v>
      </c>
      <c r="H45" s="4">
        <v>45553</v>
      </c>
      <c r="I45" s="2" t="s">
        <v>8</v>
      </c>
      <c r="J45" s="2" t="s">
        <v>82</v>
      </c>
      <c r="K45" s="2" t="s">
        <v>145</v>
      </c>
      <c r="L45" s="2" t="s">
        <v>360</v>
      </c>
      <c r="M45" s="2" t="s">
        <v>350</v>
      </c>
      <c r="N45" s="2" t="s">
        <v>361</v>
      </c>
      <c r="O45" s="2" t="s">
        <v>103</v>
      </c>
      <c r="P45" s="2" t="s">
        <v>362</v>
      </c>
      <c r="Q45" s="2" t="s">
        <v>362</v>
      </c>
      <c r="R45" s="2" t="s">
        <v>89</v>
      </c>
      <c r="S45" s="2" t="s">
        <v>90</v>
      </c>
      <c r="T45" s="2"/>
      <c r="U45" s="2"/>
      <c r="V45" s="2"/>
      <c r="W45" s="2"/>
      <c r="X45" s="2"/>
      <c r="Y45" s="2"/>
      <c r="Z45" s="2"/>
      <c r="AA45" s="2"/>
      <c r="AB45" s="2"/>
      <c r="AC45" s="2" t="s">
        <v>363</v>
      </c>
      <c r="AD45" s="2"/>
      <c r="AE45" s="2" t="s">
        <v>364</v>
      </c>
      <c r="AF45" s="2" t="s">
        <v>361</v>
      </c>
      <c r="AG45" s="2" t="s">
        <v>365</v>
      </c>
      <c r="AH45" s="2"/>
      <c r="AI45" s="2"/>
      <c r="AJ45" s="2"/>
      <c r="AK45" s="2" t="s">
        <v>89</v>
      </c>
      <c r="AL45" s="2" t="s">
        <v>89</v>
      </c>
      <c r="AM45" s="2"/>
      <c r="AN45" s="2"/>
      <c r="AO45" s="2"/>
      <c r="AP45" s="2"/>
      <c r="AQ45" s="2"/>
      <c r="AR45" s="2" t="s">
        <v>143</v>
      </c>
      <c r="AS45" s="2">
        <v>88</v>
      </c>
      <c r="AT45" s="2"/>
      <c r="AU45" s="2" t="s">
        <v>592</v>
      </c>
      <c r="AV45" t="str">
        <f t="shared" si="1"/>
        <v>UNIT 3</v>
      </c>
    </row>
    <row r="46" spans="1:48" ht="130.5" x14ac:dyDescent="0.35">
      <c r="A46" s="2" t="s">
        <v>593</v>
      </c>
      <c r="B46" s="2" t="s">
        <v>367</v>
      </c>
      <c r="C46" s="2" t="s">
        <v>368</v>
      </c>
      <c r="D46" s="2" t="s">
        <v>369</v>
      </c>
      <c r="E46" s="2" t="s">
        <v>79</v>
      </c>
      <c r="F46" s="2" t="s">
        <v>79</v>
      </c>
      <c r="G46" s="2" t="s">
        <v>217</v>
      </c>
      <c r="H46" s="4">
        <v>45553</v>
      </c>
      <c r="I46" s="2" t="s">
        <v>11</v>
      </c>
      <c r="J46" s="2" t="s">
        <v>82</v>
      </c>
      <c r="K46" s="2" t="s">
        <v>145</v>
      </c>
      <c r="L46" s="2" t="s">
        <v>370</v>
      </c>
      <c r="M46" s="2" t="s">
        <v>371</v>
      </c>
      <c r="N46" s="2" t="s">
        <v>372</v>
      </c>
      <c r="O46" s="2" t="s">
        <v>103</v>
      </c>
      <c r="P46" s="2" t="s">
        <v>373</v>
      </c>
      <c r="Q46" s="2" t="s">
        <v>373</v>
      </c>
      <c r="R46" s="2" t="s">
        <v>89</v>
      </c>
      <c r="S46" s="2" t="s">
        <v>90</v>
      </c>
      <c r="T46" s="2"/>
      <c r="U46" s="2"/>
      <c r="V46" s="2"/>
      <c r="W46" s="2"/>
      <c r="X46" s="2"/>
      <c r="Y46" s="2"/>
      <c r="Z46" s="2"/>
      <c r="AA46" s="2"/>
      <c r="AB46" s="2"/>
      <c r="AC46" s="2" t="s">
        <v>374</v>
      </c>
      <c r="AD46" s="2"/>
      <c r="AE46" s="2" t="s">
        <v>293</v>
      </c>
      <c r="AF46" s="2" t="s">
        <v>375</v>
      </c>
      <c r="AG46" s="2" t="s">
        <v>376</v>
      </c>
      <c r="AH46" s="2"/>
      <c r="AI46" s="2"/>
      <c r="AJ46" s="2"/>
      <c r="AK46" s="2" t="s">
        <v>89</v>
      </c>
      <c r="AL46" s="2" t="s">
        <v>89</v>
      </c>
      <c r="AM46" s="2"/>
      <c r="AN46" s="2"/>
      <c r="AO46" s="2"/>
      <c r="AP46" s="2"/>
      <c r="AQ46" s="2"/>
      <c r="AR46" s="2" t="s">
        <v>143</v>
      </c>
      <c r="AS46" s="2">
        <v>90</v>
      </c>
      <c r="AT46" s="2"/>
      <c r="AU46" s="2" t="s">
        <v>594</v>
      </c>
      <c r="AV46" t="str">
        <f t="shared" si="1"/>
        <v>UNIT 3</v>
      </c>
    </row>
    <row r="47" spans="1:48" ht="130.5" x14ac:dyDescent="0.35">
      <c r="A47" s="2" t="s">
        <v>595</v>
      </c>
      <c r="B47" s="2" t="s">
        <v>378</v>
      </c>
      <c r="C47" s="2" t="s">
        <v>379</v>
      </c>
      <c r="D47" s="2" t="s">
        <v>380</v>
      </c>
      <c r="E47" s="2" t="s">
        <v>142</v>
      </c>
      <c r="F47" s="2" t="s">
        <v>142</v>
      </c>
      <c r="G47" s="2" t="s">
        <v>95</v>
      </c>
      <c r="H47" s="4">
        <v>45561</v>
      </c>
      <c r="I47" s="2" t="s">
        <v>11</v>
      </c>
      <c r="J47" s="2" t="s">
        <v>82</v>
      </c>
      <c r="K47" s="2" t="s">
        <v>145</v>
      </c>
      <c r="L47" s="2" t="s">
        <v>381</v>
      </c>
      <c r="M47" s="2" t="s">
        <v>101</v>
      </c>
      <c r="N47" s="2" t="s">
        <v>382</v>
      </c>
      <c r="O47" s="2" t="s">
        <v>103</v>
      </c>
      <c r="P47" s="2" t="s">
        <v>89</v>
      </c>
      <c r="Q47" s="2" t="s">
        <v>89</v>
      </c>
      <c r="R47" s="2" t="s">
        <v>89</v>
      </c>
      <c r="S47" s="2" t="s">
        <v>90</v>
      </c>
      <c r="T47" s="2"/>
      <c r="U47" s="2"/>
      <c r="V47" s="2"/>
      <c r="W47" s="2"/>
      <c r="X47" s="2"/>
      <c r="Y47" s="2"/>
      <c r="Z47" s="2"/>
      <c r="AA47" s="2"/>
      <c r="AB47" s="2"/>
      <c r="AC47" s="2" t="s">
        <v>383</v>
      </c>
      <c r="AD47" s="2"/>
      <c r="AE47" s="2" t="s">
        <v>101</v>
      </c>
      <c r="AF47" s="2" t="s">
        <v>382</v>
      </c>
      <c r="AG47" s="2" t="s">
        <v>384</v>
      </c>
      <c r="AH47" s="2"/>
      <c r="AI47" s="2"/>
      <c r="AJ47" s="2"/>
      <c r="AK47" s="2" t="s">
        <v>89</v>
      </c>
      <c r="AL47" s="2" t="s">
        <v>89</v>
      </c>
      <c r="AM47" s="2"/>
      <c r="AN47" s="2"/>
      <c r="AO47" s="2"/>
      <c r="AP47" s="2"/>
      <c r="AQ47" s="2"/>
      <c r="AR47" s="2" t="s">
        <v>143</v>
      </c>
      <c r="AS47" s="2">
        <v>92</v>
      </c>
      <c r="AT47" s="2"/>
      <c r="AU47" s="2" t="s">
        <v>596</v>
      </c>
      <c r="AV47" t="str">
        <f t="shared" si="1"/>
        <v>UNIT 3</v>
      </c>
    </row>
    <row r="48" spans="1:48" ht="130.5" x14ac:dyDescent="0.35">
      <c r="A48" s="2" t="s">
        <v>597</v>
      </c>
      <c r="B48" s="2" t="s">
        <v>386</v>
      </c>
      <c r="C48" s="2" t="s">
        <v>387</v>
      </c>
      <c r="D48" s="2" t="s">
        <v>388</v>
      </c>
      <c r="E48" s="2" t="s">
        <v>142</v>
      </c>
      <c r="F48" s="2" t="s">
        <v>142</v>
      </c>
      <c r="G48" s="2" t="s">
        <v>144</v>
      </c>
      <c r="H48" s="4">
        <v>45539</v>
      </c>
      <c r="I48" s="2" t="s">
        <v>11</v>
      </c>
      <c r="J48" s="2" t="s">
        <v>82</v>
      </c>
      <c r="K48" s="2" t="s">
        <v>145</v>
      </c>
      <c r="L48" s="2" t="s">
        <v>381</v>
      </c>
      <c r="M48" s="2" t="s">
        <v>101</v>
      </c>
      <c r="N48" s="2" t="s">
        <v>382</v>
      </c>
      <c r="O48" s="2" t="s">
        <v>103</v>
      </c>
      <c r="P48" s="2" t="s">
        <v>89</v>
      </c>
      <c r="Q48" s="2" t="s">
        <v>89</v>
      </c>
      <c r="R48" s="2" t="s">
        <v>89</v>
      </c>
      <c r="S48" s="2" t="s">
        <v>90</v>
      </c>
      <c r="T48" s="2"/>
      <c r="U48" s="2"/>
      <c r="V48" s="2"/>
      <c r="W48" s="2"/>
      <c r="X48" s="2"/>
      <c r="Y48" s="2"/>
      <c r="Z48" s="2"/>
      <c r="AA48" s="2"/>
      <c r="AB48" s="2"/>
      <c r="AC48" s="2" t="s">
        <v>383</v>
      </c>
      <c r="AD48" s="2"/>
      <c r="AE48" s="2" t="s">
        <v>101</v>
      </c>
      <c r="AF48" s="2" t="s">
        <v>382</v>
      </c>
      <c r="AG48" s="2" t="s">
        <v>384</v>
      </c>
      <c r="AH48" s="2"/>
      <c r="AI48" s="2"/>
      <c r="AJ48" s="2"/>
      <c r="AK48" s="2" t="s">
        <v>89</v>
      </c>
      <c r="AL48" s="2" t="s">
        <v>89</v>
      </c>
      <c r="AM48" s="2"/>
      <c r="AN48" s="2"/>
      <c r="AO48" s="2"/>
      <c r="AP48" s="2"/>
      <c r="AQ48" s="2"/>
      <c r="AR48" s="2" t="s">
        <v>143</v>
      </c>
      <c r="AS48" s="2">
        <v>94</v>
      </c>
      <c r="AT48" s="2"/>
      <c r="AU48" s="2" t="s">
        <v>596</v>
      </c>
      <c r="AV48" t="str">
        <f t="shared" si="1"/>
        <v>UNIT 3</v>
      </c>
    </row>
    <row r="49" spans="1:48" ht="101.5" x14ac:dyDescent="0.35">
      <c r="A49" s="2" t="s">
        <v>598</v>
      </c>
      <c r="B49" s="2" t="s">
        <v>390</v>
      </c>
      <c r="C49" s="2" t="s">
        <v>391</v>
      </c>
      <c r="D49" s="2" t="s">
        <v>392</v>
      </c>
      <c r="E49" s="2" t="s">
        <v>187</v>
      </c>
      <c r="F49" s="2" t="s">
        <v>79</v>
      </c>
      <c r="G49" s="2" t="s">
        <v>217</v>
      </c>
      <c r="H49" s="4">
        <v>45554</v>
      </c>
      <c r="I49" s="2" t="s">
        <v>11</v>
      </c>
      <c r="J49" s="2" t="s">
        <v>82</v>
      </c>
      <c r="K49" s="2" t="s">
        <v>145</v>
      </c>
      <c r="L49" s="2" t="s">
        <v>393</v>
      </c>
      <c r="M49" s="2" t="s">
        <v>394</v>
      </c>
      <c r="N49" s="2" t="s">
        <v>395</v>
      </c>
      <c r="O49" s="2" t="s">
        <v>103</v>
      </c>
      <c r="P49" s="2" t="s">
        <v>396</v>
      </c>
      <c r="Q49" s="2" t="s">
        <v>397</v>
      </c>
      <c r="R49" s="2" t="s">
        <v>89</v>
      </c>
      <c r="S49" s="2" t="s">
        <v>90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 t="s">
        <v>143</v>
      </c>
      <c r="AS49" s="2">
        <v>96</v>
      </c>
      <c r="AT49" s="2" t="s">
        <v>192</v>
      </c>
      <c r="AU49" s="2" t="s">
        <v>599</v>
      </c>
      <c r="AV49" t="str">
        <f t="shared" si="1"/>
        <v>UNIT 3</v>
      </c>
    </row>
    <row r="50" spans="1:48" ht="101.5" x14ac:dyDescent="0.35">
      <c r="A50" s="2" t="s">
        <v>600</v>
      </c>
      <c r="B50" s="2" t="s">
        <v>399</v>
      </c>
      <c r="C50" s="2" t="s">
        <v>400</v>
      </c>
      <c r="D50" s="2" t="s">
        <v>401</v>
      </c>
      <c r="E50" s="2" t="s">
        <v>142</v>
      </c>
      <c r="F50" s="2" t="s">
        <v>142</v>
      </c>
      <c r="G50" s="2" t="s">
        <v>95</v>
      </c>
      <c r="H50" s="4">
        <v>45561</v>
      </c>
      <c r="I50" s="2" t="s">
        <v>11</v>
      </c>
      <c r="J50" s="2" t="s">
        <v>82</v>
      </c>
      <c r="K50" s="2" t="s">
        <v>145</v>
      </c>
      <c r="L50" s="2" t="s">
        <v>402</v>
      </c>
      <c r="M50" s="2" t="s">
        <v>403</v>
      </c>
      <c r="N50" s="2" t="s">
        <v>121</v>
      </c>
      <c r="O50" s="2" t="s">
        <v>103</v>
      </c>
      <c r="P50" s="2"/>
      <c r="Q50" s="2"/>
      <c r="R50" s="2" t="s">
        <v>89</v>
      </c>
      <c r="S50" s="2" t="s">
        <v>90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">
        <v>89</v>
      </c>
      <c r="AL50" s="2" t="s">
        <v>89</v>
      </c>
      <c r="AM50" s="2"/>
      <c r="AN50" s="2"/>
      <c r="AO50" s="2"/>
      <c r="AP50" s="2"/>
      <c r="AQ50" s="2"/>
      <c r="AR50" s="2" t="s">
        <v>143</v>
      </c>
      <c r="AS50" s="2">
        <v>98</v>
      </c>
      <c r="AT50" s="2"/>
      <c r="AU50" s="2" t="s">
        <v>601</v>
      </c>
      <c r="AV50" t="str">
        <f t="shared" si="1"/>
        <v>UNIT 3</v>
      </c>
    </row>
    <row r="51" spans="1:48" ht="87" x14ac:dyDescent="0.35">
      <c r="A51" s="2" t="s">
        <v>602</v>
      </c>
      <c r="B51" s="2" t="s">
        <v>405</v>
      </c>
      <c r="C51" s="2" t="s">
        <v>406</v>
      </c>
      <c r="D51" s="2" t="s">
        <v>407</v>
      </c>
      <c r="E51" s="2" t="s">
        <v>142</v>
      </c>
      <c r="F51" s="2" t="s">
        <v>142</v>
      </c>
      <c r="G51" s="2" t="s">
        <v>95</v>
      </c>
      <c r="H51" s="4">
        <v>45561</v>
      </c>
      <c r="I51" s="2" t="s">
        <v>8</v>
      </c>
      <c r="J51" s="2" t="s">
        <v>82</v>
      </c>
      <c r="K51" s="2" t="s">
        <v>145</v>
      </c>
      <c r="L51" s="2"/>
      <c r="M51" s="2"/>
      <c r="N51" s="2"/>
      <c r="O51" s="2"/>
      <c r="P51" s="2"/>
      <c r="Q51" s="2"/>
      <c r="R51" s="2" t="s">
        <v>89</v>
      </c>
      <c r="S51" s="2" t="s">
        <v>90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">
        <v>89</v>
      </c>
      <c r="AL51" s="2" t="s">
        <v>89</v>
      </c>
      <c r="AM51" s="2"/>
      <c r="AN51" s="2"/>
      <c r="AO51" s="2"/>
      <c r="AP51" s="2"/>
      <c r="AQ51" s="2"/>
      <c r="AR51" s="2" t="s">
        <v>143</v>
      </c>
      <c r="AS51" s="2">
        <v>100</v>
      </c>
      <c r="AT51" s="2"/>
      <c r="AU51" s="2" t="s">
        <v>603</v>
      </c>
      <c r="AV51" t="str">
        <f t="shared" si="1"/>
        <v>UNIT 3</v>
      </c>
    </row>
    <row r="52" spans="1:48" ht="116" x14ac:dyDescent="0.35">
      <c r="A52" s="2" t="s">
        <v>604</v>
      </c>
      <c r="B52" s="2" t="s">
        <v>409</v>
      </c>
      <c r="C52" s="2" t="s">
        <v>410</v>
      </c>
      <c r="D52" s="2"/>
      <c r="E52" s="2" t="s">
        <v>142</v>
      </c>
      <c r="F52" s="2" t="s">
        <v>142</v>
      </c>
      <c r="G52" s="2" t="s">
        <v>81</v>
      </c>
      <c r="H52" s="4">
        <v>45548</v>
      </c>
      <c r="I52" s="2" t="s">
        <v>8</v>
      </c>
      <c r="J52" s="2" t="s">
        <v>82</v>
      </c>
      <c r="K52" s="2" t="s">
        <v>145</v>
      </c>
      <c r="L52" s="2" t="s">
        <v>411</v>
      </c>
      <c r="M52" s="2" t="s">
        <v>412</v>
      </c>
      <c r="N52" s="2" t="s">
        <v>413</v>
      </c>
      <c r="O52" s="2"/>
      <c r="P52" s="2" t="s">
        <v>414</v>
      </c>
      <c r="Q52" s="2" t="s">
        <v>415</v>
      </c>
      <c r="R52" s="2"/>
      <c r="S52" s="2" t="s">
        <v>90</v>
      </c>
      <c r="T52" s="2" t="s">
        <v>416</v>
      </c>
      <c r="U52" s="2"/>
      <c r="V52" s="2" t="s">
        <v>417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89</v>
      </c>
      <c r="AL52" s="2" t="s">
        <v>89</v>
      </c>
      <c r="AM52" s="2"/>
      <c r="AN52" s="2"/>
      <c r="AO52" s="2"/>
      <c r="AP52" s="2"/>
      <c r="AQ52" s="2"/>
      <c r="AR52" s="2" t="s">
        <v>143</v>
      </c>
      <c r="AS52" s="2">
        <v>102</v>
      </c>
      <c r="AT52" s="2" t="s">
        <v>219</v>
      </c>
      <c r="AU52" s="2" t="s">
        <v>605</v>
      </c>
      <c r="AV52" t="str">
        <f t="shared" si="1"/>
        <v>UNIT 3</v>
      </c>
    </row>
    <row r="53" spans="1:48" ht="116" x14ac:dyDescent="0.35">
      <c r="A53" s="2" t="s">
        <v>606</v>
      </c>
      <c r="B53" s="2" t="s">
        <v>419</v>
      </c>
      <c r="C53" s="2" t="s">
        <v>420</v>
      </c>
      <c r="D53" s="2"/>
      <c r="E53" s="2" t="s">
        <v>142</v>
      </c>
      <c r="F53" s="2" t="s">
        <v>142</v>
      </c>
      <c r="G53" s="2" t="s">
        <v>81</v>
      </c>
      <c r="H53" s="4">
        <v>45548</v>
      </c>
      <c r="I53" s="2" t="s">
        <v>11</v>
      </c>
      <c r="J53" s="2" t="s">
        <v>82</v>
      </c>
      <c r="K53" s="2" t="s">
        <v>145</v>
      </c>
      <c r="L53" s="2" t="s">
        <v>421</v>
      </c>
      <c r="M53" s="2" t="s">
        <v>422</v>
      </c>
      <c r="N53" s="2" t="s">
        <v>423</v>
      </c>
      <c r="O53" s="2"/>
      <c r="P53" s="2" t="s">
        <v>424</v>
      </c>
      <c r="Q53" s="2" t="s">
        <v>424</v>
      </c>
      <c r="R53" s="2"/>
      <c r="S53" s="2" t="s">
        <v>90</v>
      </c>
      <c r="T53" s="2" t="s">
        <v>425</v>
      </c>
      <c r="U53" s="2"/>
      <c r="V53" s="2" t="s">
        <v>426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 t="s">
        <v>143</v>
      </c>
      <c r="AS53" s="2">
        <v>104</v>
      </c>
      <c r="AT53" s="2" t="s">
        <v>219</v>
      </c>
      <c r="AU53" s="2" t="s">
        <v>607</v>
      </c>
      <c r="AV53" t="str">
        <f t="shared" si="1"/>
        <v>UNIT 3</v>
      </c>
    </row>
    <row r="54" spans="1:48" ht="116" x14ac:dyDescent="0.35">
      <c r="A54" s="2" t="s">
        <v>608</v>
      </c>
      <c r="B54" s="2" t="s">
        <v>428</v>
      </c>
      <c r="C54" s="2" t="s">
        <v>429</v>
      </c>
      <c r="D54" s="2"/>
      <c r="E54" s="2" t="s">
        <v>142</v>
      </c>
      <c r="F54" s="2" t="s">
        <v>142</v>
      </c>
      <c r="G54" s="2" t="s">
        <v>81</v>
      </c>
      <c r="H54" s="4">
        <v>45548</v>
      </c>
      <c r="I54" s="2" t="s">
        <v>11</v>
      </c>
      <c r="J54" s="2" t="s">
        <v>82</v>
      </c>
      <c r="K54" s="2" t="s">
        <v>145</v>
      </c>
      <c r="L54" s="2" t="s">
        <v>430</v>
      </c>
      <c r="M54" s="2" t="s">
        <v>133</v>
      </c>
      <c r="N54" s="2"/>
      <c r="O54" s="2"/>
      <c r="P54" s="2" t="s">
        <v>89</v>
      </c>
      <c r="Q54" s="2" t="s">
        <v>89</v>
      </c>
      <c r="R54" s="2" t="s">
        <v>89</v>
      </c>
      <c r="S54" s="2" t="s">
        <v>90</v>
      </c>
      <c r="T54" s="2"/>
      <c r="U54" s="2" t="s">
        <v>431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 t="s">
        <v>143</v>
      </c>
      <c r="AS54" s="2">
        <v>106</v>
      </c>
      <c r="AT54" s="2" t="s">
        <v>219</v>
      </c>
      <c r="AU54" s="2" t="s">
        <v>609</v>
      </c>
      <c r="AV54" t="str">
        <f t="shared" si="1"/>
        <v>UNIT 3</v>
      </c>
    </row>
    <row r="55" spans="1:48" ht="116" x14ac:dyDescent="0.35">
      <c r="A55" s="2" t="s">
        <v>610</v>
      </c>
      <c r="B55" s="2" t="s">
        <v>433</v>
      </c>
      <c r="C55" s="2" t="s">
        <v>434</v>
      </c>
      <c r="D55" s="2"/>
      <c r="E55" s="2" t="s">
        <v>142</v>
      </c>
      <c r="F55" s="2" t="s">
        <v>142</v>
      </c>
      <c r="G55" s="2" t="s">
        <v>81</v>
      </c>
      <c r="H55" s="4">
        <v>45547</v>
      </c>
      <c r="I55" s="2" t="s">
        <v>17</v>
      </c>
      <c r="J55" s="2" t="s">
        <v>82</v>
      </c>
      <c r="K55" s="2" t="s">
        <v>145</v>
      </c>
      <c r="L55" s="2" t="s">
        <v>421</v>
      </c>
      <c r="M55" s="2" t="s">
        <v>422</v>
      </c>
      <c r="N55" s="2" t="s">
        <v>423</v>
      </c>
      <c r="O55" s="2"/>
      <c r="P55" s="2" t="s">
        <v>424</v>
      </c>
      <c r="Q55" s="2" t="s">
        <v>424</v>
      </c>
      <c r="R55" s="2"/>
      <c r="S55" s="2" t="s">
        <v>90</v>
      </c>
      <c r="T55" s="2" t="s">
        <v>425</v>
      </c>
      <c r="U55" s="2"/>
      <c r="V55" s="2" t="s">
        <v>426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 t="s">
        <v>143</v>
      </c>
      <c r="AS55" s="2">
        <v>108</v>
      </c>
      <c r="AT55" s="2" t="s">
        <v>219</v>
      </c>
      <c r="AU55" s="2" t="s">
        <v>607</v>
      </c>
      <c r="AV55" t="str">
        <f t="shared" si="1"/>
        <v>UNIT 3</v>
      </c>
    </row>
    <row r="56" spans="1:48" ht="116" x14ac:dyDescent="0.35">
      <c r="A56" s="2" t="s">
        <v>611</v>
      </c>
      <c r="B56" s="2" t="s">
        <v>436</v>
      </c>
      <c r="C56" s="2" t="s">
        <v>437</v>
      </c>
      <c r="D56" s="2"/>
      <c r="E56" s="2" t="s">
        <v>142</v>
      </c>
      <c r="F56" s="2" t="s">
        <v>142</v>
      </c>
      <c r="G56" s="2" t="s">
        <v>81</v>
      </c>
      <c r="H56" s="4">
        <v>45547</v>
      </c>
      <c r="I56" s="2" t="s">
        <v>8</v>
      </c>
      <c r="J56" s="2" t="s">
        <v>82</v>
      </c>
      <c r="K56" s="2" t="s">
        <v>145</v>
      </c>
      <c r="L56" s="2" t="s">
        <v>421</v>
      </c>
      <c r="M56" s="2" t="s">
        <v>422</v>
      </c>
      <c r="N56" s="2" t="s">
        <v>423</v>
      </c>
      <c r="O56" s="2"/>
      <c r="P56" s="2" t="s">
        <v>424</v>
      </c>
      <c r="Q56" s="2" t="s">
        <v>424</v>
      </c>
      <c r="R56" s="2"/>
      <c r="S56" s="2" t="s">
        <v>90</v>
      </c>
      <c r="T56" s="2" t="s">
        <v>425</v>
      </c>
      <c r="U56" s="2"/>
      <c r="V56" s="2" t="s">
        <v>426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 t="s">
        <v>143</v>
      </c>
      <c r="AS56" s="2">
        <v>110</v>
      </c>
      <c r="AT56" s="2" t="s">
        <v>219</v>
      </c>
      <c r="AU56" s="2" t="s">
        <v>607</v>
      </c>
      <c r="AV56" t="str">
        <f t="shared" si="1"/>
        <v>UNIT 3</v>
      </c>
    </row>
    <row r="57" spans="1:48" ht="130.5" x14ac:dyDescent="0.35">
      <c r="A57" s="2" t="s">
        <v>612</v>
      </c>
      <c r="B57" s="2" t="s">
        <v>439</v>
      </c>
      <c r="C57" s="2" t="s">
        <v>440</v>
      </c>
      <c r="D57" s="2" t="s">
        <v>441</v>
      </c>
      <c r="E57" s="2" t="s">
        <v>442</v>
      </c>
      <c r="F57" s="2" t="s">
        <v>443</v>
      </c>
      <c r="G57" s="2" t="s">
        <v>217</v>
      </c>
      <c r="H57" s="4">
        <v>45554</v>
      </c>
      <c r="I57" s="2" t="s">
        <v>11</v>
      </c>
      <c r="J57" s="2" t="s">
        <v>82</v>
      </c>
      <c r="K57" s="2" t="s">
        <v>145</v>
      </c>
      <c r="L57" s="2" t="s">
        <v>445</v>
      </c>
      <c r="M57" s="2" t="s">
        <v>446</v>
      </c>
      <c r="N57" s="2" t="s">
        <v>447</v>
      </c>
      <c r="O57" s="2" t="s">
        <v>103</v>
      </c>
      <c r="P57" s="2" t="s">
        <v>89</v>
      </c>
      <c r="Q57" s="2" t="s">
        <v>89</v>
      </c>
      <c r="R57" s="2" t="s">
        <v>89</v>
      </c>
      <c r="S57" s="2" t="s">
        <v>90</v>
      </c>
      <c r="T57" s="2"/>
      <c r="U57" s="2"/>
      <c r="V57" s="2"/>
      <c r="W57" s="2"/>
      <c r="X57" s="2"/>
      <c r="Y57" s="2"/>
      <c r="Z57" s="2"/>
      <c r="AA57" s="2"/>
      <c r="AB57" s="2"/>
      <c r="AC57" s="2" t="s">
        <v>448</v>
      </c>
      <c r="AD57" s="2"/>
      <c r="AE57" s="2" t="s">
        <v>89</v>
      </c>
      <c r="AF57" s="2" t="s">
        <v>447</v>
      </c>
      <c r="AG57" s="2" t="s">
        <v>449</v>
      </c>
      <c r="AH57" s="2"/>
      <c r="AI57" s="2"/>
      <c r="AJ57" s="2" t="s">
        <v>103</v>
      </c>
      <c r="AK57" s="2" t="s">
        <v>89</v>
      </c>
      <c r="AL57" s="2" t="s">
        <v>89</v>
      </c>
      <c r="AM57" s="2"/>
      <c r="AN57" s="2"/>
      <c r="AO57" s="2"/>
      <c r="AP57" s="2"/>
      <c r="AQ57" s="2"/>
      <c r="AR57" s="2" t="s">
        <v>444</v>
      </c>
      <c r="AS57" s="2">
        <v>112</v>
      </c>
      <c r="AT57" s="2" t="s">
        <v>192</v>
      </c>
      <c r="AU57" s="2" t="s">
        <v>613</v>
      </c>
      <c r="AV57" t="str">
        <f t="shared" si="1"/>
        <v>COMMON</v>
      </c>
    </row>
    <row r="58" spans="1:48" ht="130.5" x14ac:dyDescent="0.35">
      <c r="A58" s="2" t="s">
        <v>614</v>
      </c>
      <c r="B58" s="2" t="s">
        <v>451</v>
      </c>
      <c r="C58" s="2" t="s">
        <v>452</v>
      </c>
      <c r="D58" s="2" t="s">
        <v>453</v>
      </c>
      <c r="E58" s="2" t="s">
        <v>442</v>
      </c>
      <c r="F58" s="2" t="s">
        <v>443</v>
      </c>
      <c r="G58" s="2" t="s">
        <v>144</v>
      </c>
      <c r="H58" s="4">
        <v>45540</v>
      </c>
      <c r="I58" s="2" t="s">
        <v>11</v>
      </c>
      <c r="J58" s="2" t="s">
        <v>82</v>
      </c>
      <c r="K58" s="2" t="s">
        <v>454</v>
      </c>
      <c r="L58" s="2" t="s">
        <v>445</v>
      </c>
      <c r="M58" s="2" t="s">
        <v>446</v>
      </c>
      <c r="N58" s="2" t="s">
        <v>447</v>
      </c>
      <c r="O58" s="2" t="s">
        <v>103</v>
      </c>
      <c r="P58" s="2" t="s">
        <v>89</v>
      </c>
      <c r="Q58" s="2" t="s">
        <v>89</v>
      </c>
      <c r="R58" s="2" t="s">
        <v>89</v>
      </c>
      <c r="S58" s="2" t="s">
        <v>90</v>
      </c>
      <c r="T58" s="2"/>
      <c r="U58" s="2"/>
      <c r="V58" s="2"/>
      <c r="W58" s="2"/>
      <c r="X58" s="2"/>
      <c r="Y58" s="2"/>
      <c r="Z58" s="2"/>
      <c r="AA58" s="2"/>
      <c r="AB58" s="2"/>
      <c r="AC58" s="2" t="s">
        <v>448</v>
      </c>
      <c r="AD58" s="2"/>
      <c r="AE58" s="2" t="s">
        <v>89</v>
      </c>
      <c r="AF58" s="2" t="s">
        <v>447</v>
      </c>
      <c r="AG58" s="2" t="s">
        <v>449</v>
      </c>
      <c r="AH58" s="2"/>
      <c r="AI58" s="2"/>
      <c r="AJ58" s="2" t="s">
        <v>103</v>
      </c>
      <c r="AK58" s="2" t="s">
        <v>89</v>
      </c>
      <c r="AL58" s="2" t="s">
        <v>89</v>
      </c>
      <c r="AM58" s="2"/>
      <c r="AN58" s="2"/>
      <c r="AO58" s="2"/>
      <c r="AP58" s="2"/>
      <c r="AQ58" s="2"/>
      <c r="AR58" s="2" t="s">
        <v>444</v>
      </c>
      <c r="AS58" s="2">
        <v>114</v>
      </c>
      <c r="AT58" s="2" t="s">
        <v>192</v>
      </c>
      <c r="AU58" s="2" t="s">
        <v>613</v>
      </c>
      <c r="AV58" t="str">
        <f t="shared" si="1"/>
        <v>COMMON</v>
      </c>
    </row>
    <row r="59" spans="1:48" ht="130.5" x14ac:dyDescent="0.35">
      <c r="A59" s="2" t="s">
        <v>615</v>
      </c>
      <c r="B59" s="2" t="s">
        <v>456</v>
      </c>
      <c r="C59" s="2" t="s">
        <v>457</v>
      </c>
      <c r="D59" s="2" t="s">
        <v>458</v>
      </c>
      <c r="E59" s="2" t="s">
        <v>442</v>
      </c>
      <c r="F59" s="2" t="s">
        <v>443</v>
      </c>
      <c r="G59" s="2" t="s">
        <v>217</v>
      </c>
      <c r="H59" s="4">
        <v>45555</v>
      </c>
      <c r="I59" s="2" t="s">
        <v>11</v>
      </c>
      <c r="J59" s="2" t="s">
        <v>82</v>
      </c>
      <c r="K59" s="2" t="s">
        <v>454</v>
      </c>
      <c r="L59" s="2" t="s">
        <v>459</v>
      </c>
      <c r="M59" s="2" t="s">
        <v>460</v>
      </c>
      <c r="N59" s="2" t="s">
        <v>347</v>
      </c>
      <c r="O59" s="2" t="s">
        <v>103</v>
      </c>
      <c r="P59" s="2" t="s">
        <v>89</v>
      </c>
      <c r="Q59" s="2" t="s">
        <v>89</v>
      </c>
      <c r="R59" s="2" t="s">
        <v>89</v>
      </c>
      <c r="S59" s="2" t="s">
        <v>90</v>
      </c>
      <c r="T59" s="2"/>
      <c r="U59" s="2"/>
      <c r="V59" s="2"/>
      <c r="W59" s="2"/>
      <c r="X59" s="2"/>
      <c r="Y59" s="2"/>
      <c r="Z59" s="2"/>
      <c r="AA59" s="2"/>
      <c r="AB59" s="2"/>
      <c r="AC59" s="2" t="s">
        <v>461</v>
      </c>
      <c r="AD59" s="2"/>
      <c r="AE59" s="2" t="s">
        <v>89</v>
      </c>
      <c r="AF59" s="2" t="s">
        <v>347</v>
      </c>
      <c r="AG59" s="2" t="s">
        <v>449</v>
      </c>
      <c r="AH59" s="2"/>
      <c r="AI59" s="2"/>
      <c r="AJ59" s="2" t="s">
        <v>103</v>
      </c>
      <c r="AK59" s="2" t="s">
        <v>89</v>
      </c>
      <c r="AL59" s="2" t="s">
        <v>89</v>
      </c>
      <c r="AM59" s="2"/>
      <c r="AN59" s="2"/>
      <c r="AO59" s="2"/>
      <c r="AP59" s="2"/>
      <c r="AQ59" s="2"/>
      <c r="AR59" s="2" t="s">
        <v>444</v>
      </c>
      <c r="AS59" s="2">
        <v>116</v>
      </c>
      <c r="AT59" s="2" t="s">
        <v>192</v>
      </c>
      <c r="AU59" s="2" t="s">
        <v>616</v>
      </c>
      <c r="AV59" t="str">
        <f t="shared" si="1"/>
        <v>COMMON</v>
      </c>
    </row>
    <row r="60" spans="1:48" ht="130.5" x14ac:dyDescent="0.35">
      <c r="A60" s="2" t="s">
        <v>617</v>
      </c>
      <c r="B60" s="2" t="s">
        <v>463</v>
      </c>
      <c r="C60" s="2" t="s">
        <v>464</v>
      </c>
      <c r="D60" s="2" t="s">
        <v>465</v>
      </c>
      <c r="E60" s="2" t="s">
        <v>442</v>
      </c>
      <c r="F60" s="2" t="s">
        <v>443</v>
      </c>
      <c r="G60" s="2" t="s">
        <v>144</v>
      </c>
      <c r="H60" s="4">
        <v>45541</v>
      </c>
      <c r="I60" s="2" t="s">
        <v>8</v>
      </c>
      <c r="J60" s="2" t="s">
        <v>82</v>
      </c>
      <c r="K60" s="2" t="s">
        <v>145</v>
      </c>
      <c r="L60" s="2" t="s">
        <v>459</v>
      </c>
      <c r="M60" s="2" t="s">
        <v>460</v>
      </c>
      <c r="N60" s="2" t="s">
        <v>347</v>
      </c>
      <c r="O60" s="2" t="s">
        <v>103</v>
      </c>
      <c r="P60" s="2" t="s">
        <v>89</v>
      </c>
      <c r="Q60" s="2" t="s">
        <v>89</v>
      </c>
      <c r="R60" s="2" t="s">
        <v>89</v>
      </c>
      <c r="S60" s="2" t="s">
        <v>90</v>
      </c>
      <c r="T60" s="2"/>
      <c r="U60" s="2"/>
      <c r="V60" s="2"/>
      <c r="W60" s="2"/>
      <c r="X60" s="2"/>
      <c r="Y60" s="2"/>
      <c r="Z60" s="2"/>
      <c r="AA60" s="2"/>
      <c r="AB60" s="2"/>
      <c r="AC60" s="2" t="s">
        <v>461</v>
      </c>
      <c r="AD60" s="2"/>
      <c r="AE60" s="2" t="s">
        <v>89</v>
      </c>
      <c r="AF60" s="2" t="s">
        <v>347</v>
      </c>
      <c r="AG60" s="2" t="s">
        <v>449</v>
      </c>
      <c r="AH60" s="2"/>
      <c r="AI60" s="2"/>
      <c r="AJ60" s="2" t="s">
        <v>103</v>
      </c>
      <c r="AK60" s="2" t="s">
        <v>89</v>
      </c>
      <c r="AL60" s="2" t="s">
        <v>89</v>
      </c>
      <c r="AM60" s="2"/>
      <c r="AN60" s="2"/>
      <c r="AO60" s="2"/>
      <c r="AP60" s="2"/>
      <c r="AQ60" s="2"/>
      <c r="AR60" s="2" t="s">
        <v>444</v>
      </c>
      <c r="AS60" s="2">
        <v>118</v>
      </c>
      <c r="AT60" s="2" t="s">
        <v>192</v>
      </c>
      <c r="AU60" s="2" t="s">
        <v>616</v>
      </c>
      <c r="AV60" t="str">
        <f t="shared" si="1"/>
        <v>COMMON</v>
      </c>
    </row>
    <row r="61" spans="1:48" ht="130.5" x14ac:dyDescent="0.35">
      <c r="A61" s="2" t="s">
        <v>618</v>
      </c>
      <c r="B61" s="2" t="s">
        <v>467</v>
      </c>
      <c r="C61" s="2" t="s">
        <v>468</v>
      </c>
      <c r="D61" s="2" t="s">
        <v>469</v>
      </c>
      <c r="E61" s="2" t="s">
        <v>443</v>
      </c>
      <c r="F61" s="2" t="s">
        <v>443</v>
      </c>
      <c r="G61" s="2" t="s">
        <v>217</v>
      </c>
      <c r="H61" s="4">
        <v>45555</v>
      </c>
      <c r="I61" s="2" t="s">
        <v>11</v>
      </c>
      <c r="J61" s="2" t="s">
        <v>82</v>
      </c>
      <c r="K61" s="2" t="s">
        <v>145</v>
      </c>
      <c r="L61" s="2" t="s">
        <v>470</v>
      </c>
      <c r="M61" s="2" t="s">
        <v>471</v>
      </c>
      <c r="N61" s="2" t="s">
        <v>472</v>
      </c>
      <c r="O61" s="2" t="s">
        <v>103</v>
      </c>
      <c r="P61" s="2" t="s">
        <v>89</v>
      </c>
      <c r="Q61" s="2" t="s">
        <v>89</v>
      </c>
      <c r="R61" s="2" t="s">
        <v>89</v>
      </c>
      <c r="S61" s="2" t="s">
        <v>90</v>
      </c>
      <c r="T61" s="2"/>
      <c r="U61" s="2"/>
      <c r="V61" s="2"/>
      <c r="W61" s="2"/>
      <c r="X61" s="2"/>
      <c r="Y61" s="2"/>
      <c r="Z61" s="2"/>
      <c r="AA61" s="2"/>
      <c r="AB61" s="2"/>
      <c r="AC61" s="2" t="s">
        <v>473</v>
      </c>
      <c r="AD61" s="2"/>
      <c r="AE61" s="2" t="s">
        <v>89</v>
      </c>
      <c r="AF61" s="2" t="s">
        <v>447</v>
      </c>
      <c r="AG61" s="2" t="s">
        <v>449</v>
      </c>
      <c r="AH61" s="2"/>
      <c r="AI61" s="2"/>
      <c r="AJ61" s="2" t="s">
        <v>103</v>
      </c>
      <c r="AK61" s="2" t="s">
        <v>89</v>
      </c>
      <c r="AL61" s="2" t="s">
        <v>89</v>
      </c>
      <c r="AM61" s="2"/>
      <c r="AN61" s="2"/>
      <c r="AO61" s="2"/>
      <c r="AP61" s="2"/>
      <c r="AQ61" s="2"/>
      <c r="AR61" s="2" t="s">
        <v>444</v>
      </c>
      <c r="AS61" s="2">
        <v>120</v>
      </c>
      <c r="AT61" s="2"/>
      <c r="AU61" s="2" t="s">
        <v>619</v>
      </c>
      <c r="AV61" t="str">
        <f t="shared" si="1"/>
        <v>COMMON</v>
      </c>
    </row>
    <row r="62" spans="1:48" ht="130.5" x14ac:dyDescent="0.35">
      <c r="A62" s="2" t="s">
        <v>620</v>
      </c>
      <c r="B62" s="2" t="s">
        <v>475</v>
      </c>
      <c r="C62" s="2" t="s">
        <v>476</v>
      </c>
      <c r="D62" s="2" t="s">
        <v>477</v>
      </c>
      <c r="E62" s="2" t="s">
        <v>442</v>
      </c>
      <c r="F62" s="2" t="s">
        <v>443</v>
      </c>
      <c r="G62" s="2" t="s">
        <v>144</v>
      </c>
      <c r="H62" s="4">
        <v>45541</v>
      </c>
      <c r="I62" s="2" t="s">
        <v>11</v>
      </c>
      <c r="J62" s="2" t="s">
        <v>82</v>
      </c>
      <c r="K62" s="2" t="s">
        <v>145</v>
      </c>
      <c r="L62" s="2" t="s">
        <v>470</v>
      </c>
      <c r="M62" s="2" t="s">
        <v>471</v>
      </c>
      <c r="N62" s="2" t="s">
        <v>472</v>
      </c>
      <c r="O62" s="2" t="s">
        <v>103</v>
      </c>
      <c r="P62" s="2" t="s">
        <v>89</v>
      </c>
      <c r="Q62" s="2" t="s">
        <v>89</v>
      </c>
      <c r="R62" s="2" t="s">
        <v>89</v>
      </c>
      <c r="S62" s="2" t="s">
        <v>90</v>
      </c>
      <c r="T62" s="2"/>
      <c r="U62" s="2"/>
      <c r="V62" s="2"/>
      <c r="W62" s="2"/>
      <c r="X62" s="2"/>
      <c r="Y62" s="2"/>
      <c r="Z62" s="2"/>
      <c r="AA62" s="2"/>
      <c r="AB62" s="2"/>
      <c r="AC62" s="2" t="s">
        <v>473</v>
      </c>
      <c r="AD62" s="2"/>
      <c r="AE62" s="2" t="s">
        <v>89</v>
      </c>
      <c r="AF62" s="2" t="s">
        <v>447</v>
      </c>
      <c r="AG62" s="2" t="s">
        <v>449</v>
      </c>
      <c r="AH62" s="2"/>
      <c r="AI62" s="2"/>
      <c r="AJ62" s="2" t="s">
        <v>103</v>
      </c>
      <c r="AK62" s="2" t="s">
        <v>89</v>
      </c>
      <c r="AL62" s="2" t="s">
        <v>89</v>
      </c>
      <c r="AM62" s="2"/>
      <c r="AN62" s="2"/>
      <c r="AO62" s="2"/>
      <c r="AP62" s="2"/>
      <c r="AQ62" s="2"/>
      <c r="AR62" s="2" t="s">
        <v>444</v>
      </c>
      <c r="AS62" s="2">
        <v>122</v>
      </c>
      <c r="AT62" s="2" t="s">
        <v>192</v>
      </c>
      <c r="AU62" s="2" t="s">
        <v>619</v>
      </c>
      <c r="AV62" t="str">
        <f t="shared" si="1"/>
        <v>COMMON</v>
      </c>
    </row>
    <row r="63" spans="1:48" ht="116" x14ac:dyDescent="0.35">
      <c r="A63" s="2" t="s">
        <v>621</v>
      </c>
      <c r="B63" s="2" t="s">
        <v>479</v>
      </c>
      <c r="C63" s="2" t="s">
        <v>480</v>
      </c>
      <c r="D63" s="2" t="s">
        <v>481</v>
      </c>
      <c r="E63" s="2" t="s">
        <v>443</v>
      </c>
      <c r="F63" s="2" t="s">
        <v>443</v>
      </c>
      <c r="G63" s="2" t="s">
        <v>217</v>
      </c>
      <c r="H63" s="4">
        <v>45555</v>
      </c>
      <c r="I63" s="2" t="s">
        <v>11</v>
      </c>
      <c r="J63" s="2" t="s">
        <v>82</v>
      </c>
      <c r="K63" s="2" t="s">
        <v>145</v>
      </c>
      <c r="L63" s="2"/>
      <c r="M63" s="2" t="s">
        <v>482</v>
      </c>
      <c r="N63" s="2" t="s">
        <v>483</v>
      </c>
      <c r="O63" s="2" t="s">
        <v>103</v>
      </c>
      <c r="P63" s="2" t="s">
        <v>89</v>
      </c>
      <c r="Q63" s="2" t="s">
        <v>89</v>
      </c>
      <c r="R63" s="2" t="s">
        <v>89</v>
      </c>
      <c r="S63" s="2" t="s">
        <v>90</v>
      </c>
      <c r="T63" s="2"/>
      <c r="U63" s="2"/>
      <c r="V63" s="2"/>
      <c r="W63" s="2"/>
      <c r="X63" s="2"/>
      <c r="Y63" s="2"/>
      <c r="Z63" s="2"/>
      <c r="AA63" s="2"/>
      <c r="AB63" s="2"/>
      <c r="AC63" s="2" t="s">
        <v>89</v>
      </c>
      <c r="AD63" s="2"/>
      <c r="AE63" s="2" t="s">
        <v>89</v>
      </c>
      <c r="AF63" s="2" t="s">
        <v>89</v>
      </c>
      <c r="AG63" s="2" t="s">
        <v>89</v>
      </c>
      <c r="AH63" s="2"/>
      <c r="AI63" s="2"/>
      <c r="AJ63" s="2" t="s">
        <v>89</v>
      </c>
      <c r="AK63" s="2" t="s">
        <v>89</v>
      </c>
      <c r="AL63" s="2" t="s">
        <v>89</v>
      </c>
      <c r="AM63" s="2"/>
      <c r="AN63" s="2"/>
      <c r="AO63" s="2"/>
      <c r="AP63" s="2"/>
      <c r="AQ63" s="2"/>
      <c r="AR63" s="2" t="s">
        <v>444</v>
      </c>
      <c r="AS63" s="2">
        <v>124</v>
      </c>
      <c r="AT63" s="2"/>
      <c r="AU63" s="2" t="s">
        <v>622</v>
      </c>
      <c r="AV63" t="str">
        <f t="shared" si="1"/>
        <v>COMMON</v>
      </c>
    </row>
    <row r="64" spans="1:48" ht="116" x14ac:dyDescent="0.35">
      <c r="A64" s="2" t="s">
        <v>623</v>
      </c>
      <c r="B64" s="2" t="s">
        <v>485</v>
      </c>
      <c r="C64" s="2" t="s">
        <v>486</v>
      </c>
      <c r="D64" s="2" t="s">
        <v>487</v>
      </c>
      <c r="E64" s="2" t="s">
        <v>443</v>
      </c>
      <c r="F64" s="2" t="s">
        <v>443</v>
      </c>
      <c r="G64" s="2" t="s">
        <v>144</v>
      </c>
      <c r="H64" s="4">
        <v>45541</v>
      </c>
      <c r="I64" s="2" t="s">
        <v>11</v>
      </c>
      <c r="J64" s="2" t="s">
        <v>82</v>
      </c>
      <c r="K64" s="2" t="s">
        <v>145</v>
      </c>
      <c r="L64" s="2"/>
      <c r="M64" s="2" t="s">
        <v>482</v>
      </c>
      <c r="N64" s="2" t="s">
        <v>483</v>
      </c>
      <c r="O64" s="2" t="s">
        <v>103</v>
      </c>
      <c r="P64" s="2" t="s">
        <v>89</v>
      </c>
      <c r="Q64" s="2" t="s">
        <v>89</v>
      </c>
      <c r="R64" s="2" t="s">
        <v>89</v>
      </c>
      <c r="S64" s="2" t="s">
        <v>90</v>
      </c>
      <c r="T64" s="2"/>
      <c r="U64" s="2"/>
      <c r="V64" s="2"/>
      <c r="W64" s="2"/>
      <c r="X64" s="2"/>
      <c r="Y64" s="2"/>
      <c r="Z64" s="2"/>
      <c r="AA64" s="2"/>
      <c r="AB64" s="2"/>
      <c r="AC64" s="2" t="s">
        <v>89</v>
      </c>
      <c r="AD64" s="2"/>
      <c r="AE64" s="2" t="s">
        <v>89</v>
      </c>
      <c r="AF64" s="2" t="s">
        <v>89</v>
      </c>
      <c r="AG64" s="2" t="s">
        <v>89</v>
      </c>
      <c r="AH64" s="2"/>
      <c r="AI64" s="2"/>
      <c r="AJ64" s="2" t="s">
        <v>89</v>
      </c>
      <c r="AK64" s="2" t="s">
        <v>89</v>
      </c>
      <c r="AL64" s="2" t="s">
        <v>89</v>
      </c>
      <c r="AM64" s="2"/>
      <c r="AN64" s="2"/>
      <c r="AO64" s="2"/>
      <c r="AP64" s="2"/>
      <c r="AQ64" s="2"/>
      <c r="AR64" s="2" t="s">
        <v>444</v>
      </c>
      <c r="AS64" s="2">
        <v>126</v>
      </c>
      <c r="AT64" s="2"/>
      <c r="AU64" s="2" t="s">
        <v>622</v>
      </c>
      <c r="AV64" t="str">
        <f t="shared" si="1"/>
        <v>COMMON</v>
      </c>
    </row>
    <row r="65" spans="1:48" ht="116" x14ac:dyDescent="0.35">
      <c r="A65" s="2" t="s">
        <v>624</v>
      </c>
      <c r="B65" s="2" t="s">
        <v>489</v>
      </c>
      <c r="C65" s="2" t="s">
        <v>490</v>
      </c>
      <c r="D65" s="2" t="s">
        <v>491</v>
      </c>
      <c r="E65" s="2" t="s">
        <v>492</v>
      </c>
      <c r="F65" s="2" t="s">
        <v>443</v>
      </c>
      <c r="G65" s="2" t="s">
        <v>217</v>
      </c>
      <c r="H65" s="4">
        <v>45555</v>
      </c>
      <c r="I65" s="2" t="s">
        <v>11</v>
      </c>
      <c r="J65" s="2" t="s">
        <v>82</v>
      </c>
      <c r="K65" s="2" t="s">
        <v>145</v>
      </c>
      <c r="L65" s="2"/>
      <c r="M65" s="2" t="s">
        <v>446</v>
      </c>
      <c r="N65" s="2" t="s">
        <v>493</v>
      </c>
      <c r="O65" s="2" t="s">
        <v>103</v>
      </c>
      <c r="P65" s="2" t="s">
        <v>89</v>
      </c>
      <c r="Q65" s="2" t="s">
        <v>89</v>
      </c>
      <c r="R65" s="2" t="s">
        <v>89</v>
      </c>
      <c r="S65" s="2" t="s">
        <v>90</v>
      </c>
      <c r="T65" s="2"/>
      <c r="U65" s="2"/>
      <c r="V65" s="2"/>
      <c r="W65" s="2"/>
      <c r="X65" s="2"/>
      <c r="Y65" s="2"/>
      <c r="Z65" s="2"/>
      <c r="AA65" s="2"/>
      <c r="AB65" s="2"/>
      <c r="AC65" s="2" t="s">
        <v>89</v>
      </c>
      <c r="AD65" s="2"/>
      <c r="AE65" s="2" t="s">
        <v>89</v>
      </c>
      <c r="AF65" s="2" t="s">
        <v>89</v>
      </c>
      <c r="AG65" s="2" t="s">
        <v>89</v>
      </c>
      <c r="AH65" s="2"/>
      <c r="AI65" s="2"/>
      <c r="AJ65" s="2" t="s">
        <v>89</v>
      </c>
      <c r="AK65" s="2" t="s">
        <v>89</v>
      </c>
      <c r="AL65" s="2" t="s">
        <v>89</v>
      </c>
      <c r="AM65" s="2"/>
      <c r="AN65" s="2"/>
      <c r="AO65" s="2"/>
      <c r="AP65" s="2"/>
      <c r="AQ65" s="2"/>
      <c r="AR65" s="2" t="s">
        <v>444</v>
      </c>
      <c r="AS65" s="2">
        <v>128</v>
      </c>
      <c r="AT65" s="2" t="s">
        <v>192</v>
      </c>
      <c r="AU65" s="2" t="s">
        <v>625</v>
      </c>
      <c r="AV65" t="str">
        <f t="shared" si="1"/>
        <v>COMMON</v>
      </c>
    </row>
    <row r="66" spans="1:48" ht="116" x14ac:dyDescent="0.35">
      <c r="A66" s="2" t="s">
        <v>626</v>
      </c>
      <c r="B66" s="2" t="s">
        <v>495</v>
      </c>
      <c r="C66" s="2" t="s">
        <v>496</v>
      </c>
      <c r="D66" s="2" t="s">
        <v>497</v>
      </c>
      <c r="E66" s="2" t="s">
        <v>443</v>
      </c>
      <c r="F66" s="2" t="s">
        <v>443</v>
      </c>
      <c r="G66" s="2" t="s">
        <v>144</v>
      </c>
      <c r="H66" s="4">
        <v>45541</v>
      </c>
      <c r="I66" s="2" t="s">
        <v>8</v>
      </c>
      <c r="J66" s="2" t="s">
        <v>82</v>
      </c>
      <c r="K66" s="2" t="s">
        <v>145</v>
      </c>
      <c r="L66" s="2"/>
      <c r="M66" s="2" t="s">
        <v>446</v>
      </c>
      <c r="N66" s="2" t="s">
        <v>493</v>
      </c>
      <c r="O66" s="2" t="s">
        <v>103</v>
      </c>
      <c r="P66" s="2" t="s">
        <v>89</v>
      </c>
      <c r="Q66" s="2" t="s">
        <v>89</v>
      </c>
      <c r="R66" s="2" t="s">
        <v>89</v>
      </c>
      <c r="S66" s="2" t="s">
        <v>90</v>
      </c>
      <c r="T66" s="2"/>
      <c r="U66" s="2"/>
      <c r="V66" s="2"/>
      <c r="W66" s="2"/>
      <c r="X66" s="2"/>
      <c r="Y66" s="2"/>
      <c r="Z66" s="2"/>
      <c r="AA66" s="2"/>
      <c r="AB66" s="2"/>
      <c r="AC66" s="2" t="s">
        <v>89</v>
      </c>
      <c r="AD66" s="2"/>
      <c r="AE66" s="2" t="s">
        <v>89</v>
      </c>
      <c r="AF66" s="2" t="s">
        <v>89</v>
      </c>
      <c r="AG66" s="2" t="s">
        <v>89</v>
      </c>
      <c r="AH66" s="2"/>
      <c r="AI66" s="2"/>
      <c r="AJ66" s="2" t="s">
        <v>89</v>
      </c>
      <c r="AK66" s="2" t="s">
        <v>89</v>
      </c>
      <c r="AL66" s="2" t="s">
        <v>89</v>
      </c>
      <c r="AM66" s="2"/>
      <c r="AN66" s="2"/>
      <c r="AO66" s="2"/>
      <c r="AP66" s="2"/>
      <c r="AQ66" s="2"/>
      <c r="AR66" s="2" t="s">
        <v>444</v>
      </c>
      <c r="AS66" s="2">
        <v>130</v>
      </c>
      <c r="AT66" s="2"/>
      <c r="AU66" s="2" t="s">
        <v>625</v>
      </c>
      <c r="AV66" t="str">
        <f t="shared" si="1"/>
        <v>COMMON</v>
      </c>
    </row>
    <row r="67" spans="1:48" ht="101.5" x14ac:dyDescent="0.35">
      <c r="A67" s="2" t="s">
        <v>627</v>
      </c>
      <c r="B67" s="2" t="s">
        <v>499</v>
      </c>
      <c r="C67" s="2" t="s">
        <v>500</v>
      </c>
      <c r="D67" s="2" t="s">
        <v>497</v>
      </c>
      <c r="E67" s="2" t="s">
        <v>501</v>
      </c>
      <c r="F67" s="2" t="s">
        <v>443</v>
      </c>
      <c r="G67" s="2" t="s">
        <v>217</v>
      </c>
      <c r="H67" s="4">
        <v>45554</v>
      </c>
      <c r="I67" s="2" t="s">
        <v>11</v>
      </c>
      <c r="J67" s="2" t="s">
        <v>82</v>
      </c>
      <c r="K67" s="2"/>
      <c r="L67" s="2" t="s">
        <v>503</v>
      </c>
      <c r="M67" s="2" t="s">
        <v>482</v>
      </c>
      <c r="N67" s="2" t="s">
        <v>483</v>
      </c>
      <c r="O67" s="2"/>
      <c r="P67" s="2" t="s">
        <v>89</v>
      </c>
      <c r="Q67" s="2" t="s">
        <v>89</v>
      </c>
      <c r="R67" s="2" t="s">
        <v>89</v>
      </c>
      <c r="S67" s="2" t="s">
        <v>504</v>
      </c>
      <c r="T67" s="2"/>
      <c r="U67" s="2"/>
      <c r="V67" s="2"/>
      <c r="W67" s="2"/>
      <c r="X67" s="2"/>
      <c r="Y67" s="2"/>
      <c r="Z67" s="2"/>
      <c r="AA67" s="2"/>
      <c r="AB67" s="2"/>
      <c r="AC67" s="2" t="s">
        <v>89</v>
      </c>
      <c r="AD67" s="2"/>
      <c r="AE67" s="2" t="s">
        <v>89</v>
      </c>
      <c r="AF67" s="2" t="s">
        <v>89</v>
      </c>
      <c r="AG67" s="2" t="s">
        <v>89</v>
      </c>
      <c r="AH67" s="2"/>
      <c r="AI67" s="2"/>
      <c r="AJ67" s="2"/>
      <c r="AK67" s="2" t="s">
        <v>89</v>
      </c>
      <c r="AL67" s="2" t="s">
        <v>89</v>
      </c>
      <c r="AM67" s="2"/>
      <c r="AN67" s="2"/>
      <c r="AO67" s="2"/>
      <c r="AP67" s="2"/>
      <c r="AQ67" s="2"/>
      <c r="AR67" s="2" t="s">
        <v>502</v>
      </c>
      <c r="AS67" s="2">
        <v>132</v>
      </c>
      <c r="AT67" s="2" t="s">
        <v>192</v>
      </c>
      <c r="AU67" s="2" t="s">
        <v>628</v>
      </c>
      <c r="AV67" t="str">
        <f t="shared" si="1"/>
        <v>COMMON</v>
      </c>
    </row>
    <row r="68" spans="1:48" ht="101.5" x14ac:dyDescent="0.35">
      <c r="A68" s="2" t="s">
        <v>629</v>
      </c>
      <c r="B68" s="2" t="s">
        <v>506</v>
      </c>
      <c r="C68" s="2" t="s">
        <v>507</v>
      </c>
      <c r="D68" s="2" t="s">
        <v>508</v>
      </c>
      <c r="E68" s="2" t="s">
        <v>492</v>
      </c>
      <c r="F68" s="2" t="s">
        <v>443</v>
      </c>
      <c r="G68" s="2" t="s">
        <v>144</v>
      </c>
      <c r="H68" s="4">
        <v>45540</v>
      </c>
      <c r="I68" s="2" t="s">
        <v>11</v>
      </c>
      <c r="J68" s="2" t="s">
        <v>82</v>
      </c>
      <c r="K68" s="2"/>
      <c r="L68" s="2" t="s">
        <v>503</v>
      </c>
      <c r="M68" s="2" t="s">
        <v>482</v>
      </c>
      <c r="N68" s="2" t="s">
        <v>483</v>
      </c>
      <c r="O68" s="2"/>
      <c r="P68" s="2" t="s">
        <v>89</v>
      </c>
      <c r="Q68" s="2" t="s">
        <v>89</v>
      </c>
      <c r="R68" s="2" t="s">
        <v>89</v>
      </c>
      <c r="S68" s="2" t="s">
        <v>504</v>
      </c>
      <c r="T68" s="2"/>
      <c r="U68" s="2"/>
      <c r="V68" s="2"/>
      <c r="W68" s="2"/>
      <c r="X68" s="2"/>
      <c r="Y68" s="2"/>
      <c r="Z68" s="2"/>
      <c r="AA68" s="2"/>
      <c r="AB68" s="2"/>
      <c r="AC68" s="2" t="s">
        <v>89</v>
      </c>
      <c r="AD68" s="2"/>
      <c r="AE68" s="2" t="s">
        <v>89</v>
      </c>
      <c r="AF68" s="2" t="s">
        <v>89</v>
      </c>
      <c r="AG68" s="2" t="s">
        <v>89</v>
      </c>
      <c r="AH68" s="2"/>
      <c r="AI68" s="2"/>
      <c r="AJ68" s="2"/>
      <c r="AK68" s="2" t="s">
        <v>89</v>
      </c>
      <c r="AL68" s="2" t="s">
        <v>89</v>
      </c>
      <c r="AM68" s="2"/>
      <c r="AN68" s="2"/>
      <c r="AO68" s="2"/>
      <c r="AP68" s="2"/>
      <c r="AQ68" s="2"/>
      <c r="AR68" s="2" t="s">
        <v>502</v>
      </c>
      <c r="AS68" s="2">
        <v>134</v>
      </c>
      <c r="AT68" s="2" t="s">
        <v>192</v>
      </c>
      <c r="AU68" s="2" t="s">
        <v>628</v>
      </c>
      <c r="AV68" t="str">
        <f t="shared" si="1"/>
        <v>COMMON</v>
      </c>
    </row>
    <row r="69" spans="1:48" ht="116" x14ac:dyDescent="0.35">
      <c r="A69" s="2" t="s">
        <v>630</v>
      </c>
      <c r="B69" s="2" t="s">
        <v>510</v>
      </c>
      <c r="C69" s="2" t="s">
        <v>511</v>
      </c>
      <c r="D69" s="2" t="s">
        <v>512</v>
      </c>
      <c r="E69" s="2" t="s">
        <v>443</v>
      </c>
      <c r="F69" s="2" t="s">
        <v>443</v>
      </c>
      <c r="G69" s="2" t="s">
        <v>217</v>
      </c>
      <c r="H69" s="4">
        <v>45554</v>
      </c>
      <c r="I69" s="2" t="s">
        <v>14</v>
      </c>
      <c r="J69" s="2" t="s">
        <v>82</v>
      </c>
      <c r="K69" s="2" t="s">
        <v>514</v>
      </c>
      <c r="L69" s="2" t="s">
        <v>515</v>
      </c>
      <c r="M69" s="2" t="s">
        <v>516</v>
      </c>
      <c r="N69" s="2" t="s">
        <v>517</v>
      </c>
      <c r="O69" s="2" t="s">
        <v>103</v>
      </c>
      <c r="P69" s="2"/>
      <c r="Q69" s="2"/>
      <c r="R69" s="2" t="s">
        <v>89</v>
      </c>
      <c r="S69" s="2" t="s">
        <v>90</v>
      </c>
      <c r="T69" s="2"/>
      <c r="U69" s="2"/>
      <c r="V69" s="2"/>
      <c r="W69" s="2"/>
      <c r="X69" s="2"/>
      <c r="Y69" s="2"/>
      <c r="Z69" s="2"/>
      <c r="AA69" s="2"/>
      <c r="AB69" s="2"/>
      <c r="AC69" s="2" t="s">
        <v>89</v>
      </c>
      <c r="AD69" s="2"/>
      <c r="AE69" s="2" t="s">
        <v>89</v>
      </c>
      <c r="AF69" s="2" t="s">
        <v>89</v>
      </c>
      <c r="AG69" s="2" t="s">
        <v>89</v>
      </c>
      <c r="AH69" s="2"/>
      <c r="AI69" s="2"/>
      <c r="AJ69" s="2" t="s">
        <v>89</v>
      </c>
      <c r="AK69" s="2" t="s">
        <v>89</v>
      </c>
      <c r="AL69" s="2" t="s">
        <v>89</v>
      </c>
      <c r="AM69" s="2"/>
      <c r="AN69" s="2"/>
      <c r="AO69" s="2"/>
      <c r="AP69" s="2"/>
      <c r="AQ69" s="2"/>
      <c r="AR69" s="2" t="s">
        <v>513</v>
      </c>
      <c r="AS69" s="2">
        <v>136</v>
      </c>
      <c r="AT69" s="2"/>
      <c r="AU69" s="2" t="s">
        <v>631</v>
      </c>
      <c r="AV69" t="str">
        <f t="shared" si="1"/>
        <v>COMMON</v>
      </c>
    </row>
    <row r="70" spans="1:48" ht="116" x14ac:dyDescent="0.35">
      <c r="A70" s="2" t="s">
        <v>632</v>
      </c>
      <c r="B70" s="2" t="s">
        <v>519</v>
      </c>
      <c r="C70" s="2" t="s">
        <v>520</v>
      </c>
      <c r="D70" s="2" t="s">
        <v>521</v>
      </c>
      <c r="E70" s="2" t="s">
        <v>443</v>
      </c>
      <c r="F70" s="2" t="s">
        <v>443</v>
      </c>
      <c r="G70" s="2" t="s">
        <v>144</v>
      </c>
      <c r="H70" s="4">
        <v>45540</v>
      </c>
      <c r="I70" s="2" t="s">
        <v>8</v>
      </c>
      <c r="J70" s="2" t="s">
        <v>82</v>
      </c>
      <c r="K70" s="2" t="s">
        <v>514</v>
      </c>
      <c r="L70" s="2" t="s">
        <v>515</v>
      </c>
      <c r="M70" s="2" t="s">
        <v>516</v>
      </c>
      <c r="N70" s="2" t="s">
        <v>517</v>
      </c>
      <c r="O70" s="2" t="s">
        <v>103</v>
      </c>
      <c r="P70" s="2"/>
      <c r="Q70" s="2"/>
      <c r="R70" s="2" t="s">
        <v>89</v>
      </c>
      <c r="S70" s="2" t="s">
        <v>90</v>
      </c>
      <c r="T70" s="2"/>
      <c r="U70" s="2"/>
      <c r="V70" s="2"/>
      <c r="W70" s="2"/>
      <c r="X70" s="2"/>
      <c r="Y70" s="2"/>
      <c r="Z70" s="2"/>
      <c r="AA70" s="2"/>
      <c r="AB70" s="2"/>
      <c r="AC70" s="2" t="s">
        <v>89</v>
      </c>
      <c r="AD70" s="2"/>
      <c r="AE70" s="2" t="s">
        <v>89</v>
      </c>
      <c r="AF70" s="2" t="s">
        <v>89</v>
      </c>
      <c r="AG70" s="2" t="s">
        <v>89</v>
      </c>
      <c r="AH70" s="2"/>
      <c r="AI70" s="2"/>
      <c r="AJ70" s="2" t="s">
        <v>89</v>
      </c>
      <c r="AK70" s="2" t="s">
        <v>89</v>
      </c>
      <c r="AL70" s="2" t="s">
        <v>89</v>
      </c>
      <c r="AM70" s="2"/>
      <c r="AN70" s="2"/>
      <c r="AO70" s="2"/>
      <c r="AP70" s="2"/>
      <c r="AQ70" s="2"/>
      <c r="AR70" s="2" t="s">
        <v>513</v>
      </c>
      <c r="AS70" s="2">
        <v>138</v>
      </c>
      <c r="AT70" s="2"/>
      <c r="AU70" s="2" t="s">
        <v>631</v>
      </c>
      <c r="AV70" t="str">
        <f t="shared" si="1"/>
        <v>COMMON</v>
      </c>
    </row>
  </sheetData>
  <conditionalFormatting sqref="I2:I70">
    <cfRule type="expression" dxfId="23" priority="1">
      <formula>I2="NORMAL"</formula>
    </cfRule>
    <cfRule type="expression" dxfId="22" priority="2">
      <formula>I2="PREWARNING"</formula>
    </cfRule>
    <cfRule type="expression" dxfId="21" priority="3">
      <formula>I2="WARNING"</formula>
    </cfRule>
    <cfRule type="expression" dxfId="20" priority="4">
      <formula>I2="ALARM"</formula>
    </cfRule>
  </conditionalFormatting>
  <conditionalFormatting sqref="AV2:AV70">
    <cfRule type="expression" dxfId="19" priority="5">
      <formula>AV2="UNIT 1"</formula>
    </cfRule>
    <cfRule type="expression" dxfId="18" priority="6">
      <formula>AV2="UNIT 2"</formula>
    </cfRule>
    <cfRule type="expression" dxfId="17" priority="7">
      <formula>AV2="UNIT 3"</formula>
    </cfRule>
    <cfRule type="expression" dxfId="16" priority="8">
      <formula>AV2="COMMON"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38" customWidth="1"/>
    <col min="4" max="4" width="24" customWidth="1"/>
    <col min="5" max="5" width="18" customWidth="1"/>
    <col min="6" max="6" width="55" customWidth="1"/>
  </cols>
  <sheetData>
    <row r="1" spans="1:6" x14ac:dyDescent="0.35">
      <c r="A1" s="3" t="s">
        <v>633</v>
      </c>
      <c r="B1" s="3" t="s">
        <v>634</v>
      </c>
      <c r="C1" s="3" t="s">
        <v>635</v>
      </c>
      <c r="D1" s="3" t="s">
        <v>32</v>
      </c>
      <c r="E1" s="3" t="s">
        <v>636</v>
      </c>
      <c r="F1" s="3" t="s">
        <v>637</v>
      </c>
    </row>
    <row r="2" spans="1:6" x14ac:dyDescent="0.35">
      <c r="A2" s="2" t="s">
        <v>638</v>
      </c>
      <c r="B2" s="2" t="s">
        <v>555</v>
      </c>
      <c r="C2" s="2" t="s">
        <v>216</v>
      </c>
      <c r="D2" s="2"/>
      <c r="E2" s="2" t="s">
        <v>218</v>
      </c>
      <c r="F2" s="2" t="s">
        <v>639</v>
      </c>
    </row>
    <row r="3" spans="1:6" x14ac:dyDescent="0.35">
      <c r="A3" s="2" t="s">
        <v>638</v>
      </c>
      <c r="B3" s="2" t="s">
        <v>573</v>
      </c>
      <c r="C3" s="2" t="s">
        <v>281</v>
      </c>
      <c r="D3" s="2"/>
      <c r="E3" s="2" t="s">
        <v>640</v>
      </c>
      <c r="F3" s="2" t="s">
        <v>639</v>
      </c>
    </row>
    <row r="4" spans="1:6" x14ac:dyDescent="0.35">
      <c r="A4" s="2" t="s">
        <v>638</v>
      </c>
      <c r="B4" s="2" t="s">
        <v>575</v>
      </c>
      <c r="C4" s="2" t="s">
        <v>281</v>
      </c>
      <c r="D4" s="2"/>
      <c r="E4" s="2" t="s">
        <v>641</v>
      </c>
      <c r="F4" s="2" t="s">
        <v>639</v>
      </c>
    </row>
    <row r="5" spans="1:6" x14ac:dyDescent="0.35">
      <c r="A5" s="2" t="s">
        <v>638</v>
      </c>
      <c r="B5" s="2" t="s">
        <v>585</v>
      </c>
      <c r="C5" s="2" t="s">
        <v>335</v>
      </c>
      <c r="D5" s="2"/>
      <c r="E5" s="2" t="s">
        <v>342</v>
      </c>
      <c r="F5" s="2" t="s">
        <v>639</v>
      </c>
    </row>
    <row r="6" spans="1:6" x14ac:dyDescent="0.35">
      <c r="A6" s="2" t="s">
        <v>638</v>
      </c>
      <c r="B6" s="2" t="s">
        <v>604</v>
      </c>
      <c r="C6" s="2" t="s">
        <v>410</v>
      </c>
      <c r="D6" s="2"/>
      <c r="E6" s="2" t="s">
        <v>418</v>
      </c>
      <c r="F6" s="2" t="s">
        <v>639</v>
      </c>
    </row>
    <row r="7" spans="1:6" x14ac:dyDescent="0.35">
      <c r="A7" s="2" t="s">
        <v>638</v>
      </c>
      <c r="B7" s="2" t="s">
        <v>606</v>
      </c>
      <c r="C7" s="2" t="s">
        <v>420</v>
      </c>
      <c r="D7" s="2"/>
      <c r="E7" s="2" t="s">
        <v>427</v>
      </c>
      <c r="F7" s="2" t="s">
        <v>639</v>
      </c>
    </row>
    <row r="8" spans="1:6" x14ac:dyDescent="0.35">
      <c r="A8" s="2" t="s">
        <v>638</v>
      </c>
      <c r="B8" s="2" t="s">
        <v>608</v>
      </c>
      <c r="C8" s="2" t="s">
        <v>429</v>
      </c>
      <c r="D8" s="2"/>
      <c r="E8" s="2" t="s">
        <v>432</v>
      </c>
      <c r="F8" s="2" t="s">
        <v>639</v>
      </c>
    </row>
    <row r="9" spans="1:6" x14ac:dyDescent="0.35">
      <c r="A9" s="2" t="s">
        <v>638</v>
      </c>
      <c r="B9" s="2" t="s">
        <v>610</v>
      </c>
      <c r="C9" s="2" t="s">
        <v>434</v>
      </c>
      <c r="D9" s="2"/>
      <c r="E9" s="2" t="s">
        <v>435</v>
      </c>
      <c r="F9" s="2" t="s">
        <v>639</v>
      </c>
    </row>
    <row r="10" spans="1:6" x14ac:dyDescent="0.35">
      <c r="A10" s="2" t="s">
        <v>638</v>
      </c>
      <c r="B10" s="2" t="s">
        <v>611</v>
      </c>
      <c r="C10" s="2" t="s">
        <v>437</v>
      </c>
      <c r="D10" s="2"/>
      <c r="E10" s="2" t="s">
        <v>438</v>
      </c>
      <c r="F10" s="2" t="s">
        <v>639</v>
      </c>
    </row>
    <row r="11" spans="1:6" x14ac:dyDescent="0.35">
      <c r="A11" s="2" t="s">
        <v>642</v>
      </c>
      <c r="B11" s="2" t="s">
        <v>280</v>
      </c>
      <c r="C11" s="2" t="s">
        <v>281</v>
      </c>
      <c r="D11" s="2"/>
      <c r="E11" s="2" t="s">
        <v>282</v>
      </c>
      <c r="F11" s="2" t="s">
        <v>643</v>
      </c>
    </row>
    <row r="12" spans="1:6" x14ac:dyDescent="0.35">
      <c r="A12" s="2" t="s">
        <v>644</v>
      </c>
      <c r="B12" s="2" t="s">
        <v>89</v>
      </c>
      <c r="C12" s="2" t="s">
        <v>187</v>
      </c>
      <c r="D12" s="2"/>
      <c r="E12" s="2" t="s">
        <v>191</v>
      </c>
      <c r="F12" s="2" t="s">
        <v>645</v>
      </c>
    </row>
    <row r="13" spans="1:6" x14ac:dyDescent="0.35">
      <c r="A13" s="2" t="s">
        <v>644</v>
      </c>
      <c r="B13" s="2" t="s">
        <v>89</v>
      </c>
      <c r="C13" s="2" t="s">
        <v>442</v>
      </c>
      <c r="D13" s="2"/>
      <c r="E13" s="2" t="s">
        <v>450</v>
      </c>
      <c r="F13" s="2" t="s">
        <v>646</v>
      </c>
    </row>
    <row r="14" spans="1:6" x14ac:dyDescent="0.35">
      <c r="A14" s="2" t="s">
        <v>644</v>
      </c>
      <c r="B14" s="2" t="s">
        <v>89</v>
      </c>
      <c r="C14" s="2" t="s">
        <v>492</v>
      </c>
      <c r="D14" s="2"/>
      <c r="E14" s="2" t="s">
        <v>494</v>
      </c>
      <c r="F14" s="2" t="s">
        <v>646</v>
      </c>
    </row>
    <row r="15" spans="1:6" x14ac:dyDescent="0.35">
      <c r="A15" s="2" t="s">
        <v>644</v>
      </c>
      <c r="B15" s="2" t="s">
        <v>89</v>
      </c>
      <c r="C15" s="2" t="s">
        <v>501</v>
      </c>
      <c r="D15" s="2"/>
      <c r="E15" s="2" t="s">
        <v>505</v>
      </c>
      <c r="F15" s="2" t="s">
        <v>646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.5" x14ac:dyDescent="0.35"/>
  <cols>
    <col min="1" max="1" width="30" customWidth="1"/>
    <col min="2" max="2" width="14" customWidth="1"/>
    <col min="3" max="3" width="85" customWidth="1"/>
  </cols>
  <sheetData>
    <row r="1" spans="1:3" x14ac:dyDescent="0.35">
      <c r="A1" s="3" t="s">
        <v>647</v>
      </c>
      <c r="B1" s="3" t="s">
        <v>648</v>
      </c>
      <c r="C1" s="3" t="s">
        <v>637</v>
      </c>
    </row>
    <row r="2" spans="1:3" x14ac:dyDescent="0.35">
      <c r="A2" s="2" t="s">
        <v>30</v>
      </c>
      <c r="B2" s="2" t="s">
        <v>649</v>
      </c>
      <c r="C2" s="2" t="s">
        <v>650</v>
      </c>
    </row>
    <row r="3" spans="1:3" x14ac:dyDescent="0.35">
      <c r="A3" s="2" t="s">
        <v>523</v>
      </c>
      <c r="B3" s="2" t="s">
        <v>649</v>
      </c>
      <c r="C3" s="2" t="s">
        <v>651</v>
      </c>
    </row>
    <row r="4" spans="1:3" x14ac:dyDescent="0.35">
      <c r="A4" s="2" t="s">
        <v>31</v>
      </c>
      <c r="B4" s="2" t="s">
        <v>652</v>
      </c>
      <c r="C4" s="2" t="s">
        <v>653</v>
      </c>
    </row>
    <row r="5" spans="1:3" x14ac:dyDescent="0.35">
      <c r="A5" s="2" t="s">
        <v>32</v>
      </c>
      <c r="B5" s="2" t="s">
        <v>652</v>
      </c>
      <c r="C5" s="2" t="s">
        <v>654</v>
      </c>
    </row>
    <row r="6" spans="1:3" x14ac:dyDescent="0.35">
      <c r="A6" s="2" t="s">
        <v>33</v>
      </c>
      <c r="B6" s="2" t="s">
        <v>652</v>
      </c>
      <c r="C6" s="2" t="s">
        <v>655</v>
      </c>
    </row>
    <row r="7" spans="1:3" x14ac:dyDescent="0.35">
      <c r="A7" s="2" t="s">
        <v>34</v>
      </c>
      <c r="B7" s="2" t="s">
        <v>649</v>
      </c>
      <c r="C7" s="2" t="s">
        <v>656</v>
      </c>
    </row>
    <row r="8" spans="1:3" x14ac:dyDescent="0.35">
      <c r="A8" s="2" t="s">
        <v>36</v>
      </c>
      <c r="B8" s="2" t="s">
        <v>652</v>
      </c>
      <c r="C8" s="2" t="s">
        <v>657</v>
      </c>
    </row>
    <row r="9" spans="1:3" x14ac:dyDescent="0.35">
      <c r="A9" s="2" t="s">
        <v>37</v>
      </c>
      <c r="B9" s="2" t="s">
        <v>652</v>
      </c>
      <c r="C9" s="2" t="s">
        <v>658</v>
      </c>
    </row>
    <row r="10" spans="1:3" x14ac:dyDescent="0.35">
      <c r="A10" s="2" t="s">
        <v>38</v>
      </c>
      <c r="B10" s="2" t="s">
        <v>652</v>
      </c>
      <c r="C10" s="2" t="s">
        <v>659</v>
      </c>
    </row>
    <row r="11" spans="1:3" x14ac:dyDescent="0.35">
      <c r="A11" s="2" t="s">
        <v>660</v>
      </c>
      <c r="B11" s="2" t="s">
        <v>652</v>
      </c>
      <c r="C11" s="2" t="s">
        <v>661</v>
      </c>
    </row>
    <row r="12" spans="1:3" x14ac:dyDescent="0.35">
      <c r="A12" s="2" t="s">
        <v>662</v>
      </c>
      <c r="B12" s="2" t="s">
        <v>652</v>
      </c>
      <c r="C12" s="2" t="s">
        <v>663</v>
      </c>
    </row>
    <row r="13" spans="1:3" x14ac:dyDescent="0.35">
      <c r="A13" s="2" t="s">
        <v>35</v>
      </c>
      <c r="B13" s="2" t="s">
        <v>649</v>
      </c>
      <c r="C13" s="2" t="s">
        <v>664</v>
      </c>
    </row>
    <row r="14" spans="1:3" x14ac:dyDescent="0.35">
      <c r="A14" s="2" t="s">
        <v>636</v>
      </c>
      <c r="B14" s="2" t="s">
        <v>665</v>
      </c>
      <c r="C14" s="2" t="s">
        <v>666</v>
      </c>
    </row>
    <row r="15" spans="1:3" x14ac:dyDescent="0.35">
      <c r="A15" s="2" t="s">
        <v>525</v>
      </c>
      <c r="B15" s="2" t="s">
        <v>665</v>
      </c>
      <c r="C15" s="2" t="s">
        <v>667</v>
      </c>
    </row>
    <row r="16" spans="1:3" ht="43.5" x14ac:dyDescent="0.35">
      <c r="A16" s="2" t="s">
        <v>75</v>
      </c>
      <c r="B16" s="2" t="s">
        <v>649</v>
      </c>
      <c r="C16" s="2" t="s">
        <v>668</v>
      </c>
    </row>
    <row r="17" spans="1:3" ht="29" x14ac:dyDescent="0.35">
      <c r="A17" s="2" t="s">
        <v>669</v>
      </c>
      <c r="B17" s="2" t="s">
        <v>670</v>
      </c>
      <c r="C17" s="2" t="s">
        <v>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32" customWidth="1"/>
    <col min="4" max="6" width="24" customWidth="1"/>
    <col min="7" max="9" width="16" customWidth="1"/>
    <col min="10" max="23" width="18" customWidth="1"/>
  </cols>
  <sheetData>
    <row r="1" spans="1:23" ht="29" x14ac:dyDescent="0.35">
      <c r="A1" s="5" t="s">
        <v>672</v>
      </c>
      <c r="B1" s="5" t="s">
        <v>30</v>
      </c>
      <c r="C1" s="5" t="s">
        <v>31</v>
      </c>
      <c r="D1" s="5" t="s">
        <v>32</v>
      </c>
      <c r="E1" s="5" t="s">
        <v>673</v>
      </c>
      <c r="F1" s="5" t="s">
        <v>674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48</v>
      </c>
      <c r="R1" s="5" t="s">
        <v>40</v>
      </c>
      <c r="S1" s="5" t="s">
        <v>58</v>
      </c>
      <c r="T1" s="5" t="s">
        <v>60</v>
      </c>
      <c r="U1" s="5" t="s">
        <v>61</v>
      </c>
      <c r="V1" s="5" t="s">
        <v>62</v>
      </c>
      <c r="W1" s="5" t="s">
        <v>73</v>
      </c>
    </row>
    <row r="2" spans="1:23" ht="29" x14ac:dyDescent="0.35">
      <c r="A2" s="2" t="s">
        <v>9</v>
      </c>
      <c r="B2" s="2" t="s">
        <v>76</v>
      </c>
      <c r="C2" s="2" t="s">
        <v>77</v>
      </c>
      <c r="D2" s="2" t="s">
        <v>78</v>
      </c>
      <c r="E2" s="2" t="s">
        <v>80</v>
      </c>
      <c r="F2" s="2" t="s">
        <v>79</v>
      </c>
      <c r="G2" s="2" t="s">
        <v>81</v>
      </c>
      <c r="H2" s="2" t="s">
        <v>675</v>
      </c>
      <c r="I2" s="2" t="s">
        <v>8</v>
      </c>
      <c r="J2" s="2" t="s">
        <v>82</v>
      </c>
      <c r="K2" s="2" t="s">
        <v>84</v>
      </c>
      <c r="L2" s="2" t="s">
        <v>85</v>
      </c>
      <c r="M2" s="2" t="s">
        <v>86</v>
      </c>
      <c r="N2" s="2"/>
      <c r="O2" s="2" t="s">
        <v>87</v>
      </c>
      <c r="P2" s="2" t="s">
        <v>88</v>
      </c>
      <c r="Q2" s="2" t="s">
        <v>90</v>
      </c>
      <c r="R2" s="2" t="s">
        <v>83</v>
      </c>
      <c r="S2" s="2"/>
      <c r="T2" s="2"/>
      <c r="U2" s="2"/>
      <c r="V2" s="2"/>
      <c r="W2" s="2" t="s">
        <v>91</v>
      </c>
    </row>
    <row r="3" spans="1:23" ht="29" x14ac:dyDescent="0.35">
      <c r="A3" s="2" t="s">
        <v>9</v>
      </c>
      <c r="B3" s="2" t="s">
        <v>92</v>
      </c>
      <c r="C3" s="2" t="s">
        <v>93</v>
      </c>
      <c r="D3" s="2" t="s">
        <v>94</v>
      </c>
      <c r="E3" s="2" t="s">
        <v>80</v>
      </c>
      <c r="F3" s="2" t="s">
        <v>79</v>
      </c>
      <c r="G3" s="2" t="s">
        <v>95</v>
      </c>
      <c r="H3" s="2" t="s">
        <v>676</v>
      </c>
      <c r="I3" s="2" t="s">
        <v>11</v>
      </c>
      <c r="J3" s="2" t="s">
        <v>82</v>
      </c>
      <c r="K3" s="2" t="s">
        <v>84</v>
      </c>
      <c r="L3" s="2" t="s">
        <v>85</v>
      </c>
      <c r="M3" s="2" t="s">
        <v>86</v>
      </c>
      <c r="N3" s="2"/>
      <c r="O3" s="2" t="s">
        <v>87</v>
      </c>
      <c r="P3" s="2" t="s">
        <v>88</v>
      </c>
      <c r="Q3" s="2" t="s">
        <v>90</v>
      </c>
      <c r="R3" s="2" t="s">
        <v>83</v>
      </c>
      <c r="S3" s="2"/>
      <c r="T3" s="2"/>
      <c r="U3" s="2"/>
      <c r="V3" s="2"/>
      <c r="W3" s="2" t="s">
        <v>96</v>
      </c>
    </row>
    <row r="4" spans="1:23" ht="29" x14ac:dyDescent="0.35">
      <c r="A4" s="2" t="s">
        <v>9</v>
      </c>
      <c r="B4" s="2" t="s">
        <v>97</v>
      </c>
      <c r="C4" s="2" t="s">
        <v>98</v>
      </c>
      <c r="D4" s="2" t="s">
        <v>99</v>
      </c>
      <c r="E4" s="2" t="s">
        <v>80</v>
      </c>
      <c r="F4" s="2" t="s">
        <v>79</v>
      </c>
      <c r="G4" s="2" t="s">
        <v>81</v>
      </c>
      <c r="H4" s="2" t="s">
        <v>675</v>
      </c>
      <c r="I4" s="2" t="s">
        <v>8</v>
      </c>
      <c r="J4" s="2" t="s">
        <v>82</v>
      </c>
      <c r="K4" s="2" t="s">
        <v>100</v>
      </c>
      <c r="L4" s="2" t="s">
        <v>101</v>
      </c>
      <c r="M4" s="2" t="s">
        <v>102</v>
      </c>
      <c r="N4" s="2" t="s">
        <v>103</v>
      </c>
      <c r="O4" s="2" t="s">
        <v>87</v>
      </c>
      <c r="P4" s="2" t="s">
        <v>104</v>
      </c>
      <c r="Q4" s="2" t="s">
        <v>90</v>
      </c>
      <c r="R4" s="2" t="s">
        <v>83</v>
      </c>
      <c r="S4" s="2" t="s">
        <v>105</v>
      </c>
      <c r="T4" s="2" t="s">
        <v>106</v>
      </c>
      <c r="U4" s="2"/>
      <c r="V4" s="2"/>
      <c r="W4" s="2" t="s">
        <v>109</v>
      </c>
    </row>
    <row r="5" spans="1:23" ht="29" x14ac:dyDescent="0.35">
      <c r="A5" s="2" t="s">
        <v>9</v>
      </c>
      <c r="B5" s="2" t="s">
        <v>110</v>
      </c>
      <c r="C5" s="2" t="s">
        <v>111</v>
      </c>
      <c r="D5" s="2" t="s">
        <v>112</v>
      </c>
      <c r="E5" s="2" t="s">
        <v>80</v>
      </c>
      <c r="F5" s="2" t="s">
        <v>79</v>
      </c>
      <c r="G5" s="2" t="s">
        <v>95</v>
      </c>
      <c r="H5" s="2" t="s">
        <v>676</v>
      </c>
      <c r="I5" s="2" t="s">
        <v>8</v>
      </c>
      <c r="J5" s="2" t="s">
        <v>82</v>
      </c>
      <c r="K5" s="2" t="s">
        <v>100</v>
      </c>
      <c r="L5" s="2" t="s">
        <v>101</v>
      </c>
      <c r="M5" s="2" t="s">
        <v>102</v>
      </c>
      <c r="N5" s="2" t="s">
        <v>103</v>
      </c>
      <c r="O5" s="2" t="s">
        <v>87</v>
      </c>
      <c r="P5" s="2" t="s">
        <v>104</v>
      </c>
      <c r="Q5" s="2" t="s">
        <v>90</v>
      </c>
      <c r="R5" s="2" t="s">
        <v>83</v>
      </c>
      <c r="S5" s="2" t="s">
        <v>105</v>
      </c>
      <c r="T5" s="2" t="s">
        <v>106</v>
      </c>
      <c r="U5" s="2"/>
      <c r="V5" s="2"/>
      <c r="W5" s="2" t="s">
        <v>113</v>
      </c>
    </row>
    <row r="6" spans="1:23" ht="29" x14ac:dyDescent="0.35">
      <c r="A6" s="2" t="s">
        <v>9</v>
      </c>
      <c r="B6" s="2" t="s">
        <v>114</v>
      </c>
      <c r="C6" s="2" t="s">
        <v>115</v>
      </c>
      <c r="D6" s="2" t="s">
        <v>116</v>
      </c>
      <c r="E6" s="2" t="s">
        <v>80</v>
      </c>
      <c r="F6" s="2" t="s">
        <v>79</v>
      </c>
      <c r="G6" s="2" t="s">
        <v>81</v>
      </c>
      <c r="H6" s="2" t="s">
        <v>675</v>
      </c>
      <c r="I6" s="2" t="s">
        <v>8</v>
      </c>
      <c r="J6" s="2" t="s">
        <v>82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87</v>
      </c>
      <c r="P6" s="2" t="s">
        <v>104</v>
      </c>
      <c r="Q6" s="2" t="s">
        <v>90</v>
      </c>
      <c r="R6" s="2" t="s">
        <v>83</v>
      </c>
      <c r="S6" s="2" t="s">
        <v>105</v>
      </c>
      <c r="T6" s="2" t="s">
        <v>106</v>
      </c>
      <c r="U6" s="2"/>
      <c r="V6" s="2"/>
      <c r="W6" s="2" t="s">
        <v>117</v>
      </c>
    </row>
    <row r="7" spans="1:23" ht="29" x14ac:dyDescent="0.35">
      <c r="A7" s="2" t="s">
        <v>9</v>
      </c>
      <c r="B7" s="2" t="s">
        <v>118</v>
      </c>
      <c r="C7" s="2" t="s">
        <v>119</v>
      </c>
      <c r="D7" s="2" t="s">
        <v>120</v>
      </c>
      <c r="E7" s="2" t="s">
        <v>80</v>
      </c>
      <c r="F7" s="2" t="s">
        <v>79</v>
      </c>
      <c r="G7" s="2" t="s">
        <v>95</v>
      </c>
      <c r="H7" s="2" t="s">
        <v>676</v>
      </c>
      <c r="I7" s="2" t="s">
        <v>11</v>
      </c>
      <c r="J7" s="2" t="s">
        <v>82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87</v>
      </c>
      <c r="P7" s="2" t="s">
        <v>104</v>
      </c>
      <c r="Q7" s="2" t="s">
        <v>90</v>
      </c>
      <c r="R7" s="2" t="s">
        <v>83</v>
      </c>
      <c r="S7" s="2" t="s">
        <v>105</v>
      </c>
      <c r="T7" s="2" t="s">
        <v>106</v>
      </c>
      <c r="U7" s="2"/>
      <c r="V7" s="2"/>
      <c r="W7" s="2" t="s">
        <v>121</v>
      </c>
    </row>
    <row r="8" spans="1:23" ht="29" x14ac:dyDescent="0.35">
      <c r="A8" s="2" t="s">
        <v>9</v>
      </c>
      <c r="B8" s="2" t="s">
        <v>122</v>
      </c>
      <c r="C8" s="2" t="s">
        <v>123</v>
      </c>
      <c r="D8" s="2" t="s">
        <v>124</v>
      </c>
      <c r="E8" s="2" t="s">
        <v>126</v>
      </c>
      <c r="F8" s="2" t="s">
        <v>125</v>
      </c>
      <c r="G8" s="2" t="s">
        <v>81</v>
      </c>
      <c r="H8" s="2" t="s">
        <v>675</v>
      </c>
      <c r="I8" s="2" t="s">
        <v>8</v>
      </c>
      <c r="J8" s="2" t="s">
        <v>127</v>
      </c>
      <c r="K8" s="2" t="s">
        <v>129</v>
      </c>
      <c r="L8" s="2"/>
      <c r="M8" s="2"/>
      <c r="N8" s="2"/>
      <c r="O8" s="2"/>
      <c r="P8" s="2"/>
      <c r="Q8" s="2"/>
      <c r="R8" s="2" t="s">
        <v>128</v>
      </c>
      <c r="S8" s="2"/>
      <c r="T8" s="2" t="s">
        <v>133</v>
      </c>
      <c r="U8" s="2"/>
      <c r="V8" s="2"/>
      <c r="W8" s="2" t="s">
        <v>138</v>
      </c>
    </row>
    <row r="9" spans="1:23" ht="29" x14ac:dyDescent="0.35">
      <c r="A9" s="2" t="s">
        <v>9</v>
      </c>
      <c r="B9" s="2" t="s">
        <v>139</v>
      </c>
      <c r="C9" s="2" t="s">
        <v>140</v>
      </c>
      <c r="D9" s="2" t="s">
        <v>141</v>
      </c>
      <c r="E9" s="2" t="s">
        <v>143</v>
      </c>
      <c r="F9" s="2" t="s">
        <v>142</v>
      </c>
      <c r="G9" s="2" t="s">
        <v>144</v>
      </c>
      <c r="H9" s="2" t="s">
        <v>677</v>
      </c>
      <c r="I9" s="2" t="s">
        <v>11</v>
      </c>
      <c r="J9" s="2" t="s">
        <v>82</v>
      </c>
      <c r="K9" s="2" t="s">
        <v>146</v>
      </c>
      <c r="L9" s="2" t="s">
        <v>147</v>
      </c>
      <c r="M9" s="2" t="s">
        <v>148</v>
      </c>
      <c r="N9" s="2" t="s">
        <v>89</v>
      </c>
      <c r="O9" s="2" t="s">
        <v>89</v>
      </c>
      <c r="P9" s="2" t="s">
        <v>89</v>
      </c>
      <c r="Q9" s="2" t="s">
        <v>90</v>
      </c>
      <c r="R9" s="2" t="s">
        <v>145</v>
      </c>
      <c r="S9" s="2" t="s">
        <v>149</v>
      </c>
      <c r="T9" s="2" t="s">
        <v>150</v>
      </c>
      <c r="U9" s="2" t="s">
        <v>151</v>
      </c>
      <c r="V9" s="2" t="s">
        <v>152</v>
      </c>
      <c r="W9" s="2" t="s">
        <v>153</v>
      </c>
    </row>
    <row r="10" spans="1:23" ht="29" x14ac:dyDescent="0.35">
      <c r="A10" s="2" t="s">
        <v>9</v>
      </c>
      <c r="B10" s="2" t="s">
        <v>154</v>
      </c>
      <c r="C10" s="2" t="s">
        <v>155</v>
      </c>
      <c r="D10" s="2" t="s">
        <v>156</v>
      </c>
      <c r="E10" s="2" t="s">
        <v>143</v>
      </c>
      <c r="F10" s="2" t="s">
        <v>142</v>
      </c>
      <c r="G10" s="2" t="s">
        <v>95</v>
      </c>
      <c r="H10" s="2" t="s">
        <v>676</v>
      </c>
      <c r="I10" s="2" t="s">
        <v>8</v>
      </c>
      <c r="J10" s="2" t="s">
        <v>82</v>
      </c>
      <c r="K10" s="2" t="s">
        <v>157</v>
      </c>
      <c r="L10" s="2" t="s">
        <v>158</v>
      </c>
      <c r="M10" s="2" t="s">
        <v>159</v>
      </c>
      <c r="N10" s="2"/>
      <c r="O10" s="2"/>
      <c r="P10" s="2"/>
      <c r="Q10" s="2" t="s">
        <v>90</v>
      </c>
      <c r="R10" s="2" t="s">
        <v>145</v>
      </c>
      <c r="S10" s="2"/>
      <c r="T10" s="2"/>
      <c r="U10" s="2"/>
      <c r="V10" s="2"/>
      <c r="W10" s="2" t="s">
        <v>160</v>
      </c>
    </row>
    <row r="11" spans="1:23" ht="29" x14ac:dyDescent="0.35">
      <c r="A11" s="2" t="s">
        <v>9</v>
      </c>
      <c r="B11" s="2" t="s">
        <v>161</v>
      </c>
      <c r="C11" s="2" t="s">
        <v>162</v>
      </c>
      <c r="D11" s="2" t="s">
        <v>163</v>
      </c>
      <c r="E11" s="2" t="s">
        <v>143</v>
      </c>
      <c r="F11" s="2" t="s">
        <v>142</v>
      </c>
      <c r="G11" s="2" t="s">
        <v>95</v>
      </c>
      <c r="H11" s="2" t="s">
        <v>676</v>
      </c>
      <c r="I11" s="2" t="s">
        <v>8</v>
      </c>
      <c r="J11" s="2" t="s">
        <v>82</v>
      </c>
      <c r="K11" s="2" t="s">
        <v>157</v>
      </c>
      <c r="L11" s="2" t="s">
        <v>158</v>
      </c>
      <c r="M11" s="2" t="s">
        <v>159</v>
      </c>
      <c r="N11" s="2"/>
      <c r="O11" s="2"/>
      <c r="P11" s="2"/>
      <c r="Q11" s="2" t="s">
        <v>90</v>
      </c>
      <c r="R11" s="2" t="s">
        <v>145</v>
      </c>
      <c r="S11" s="2"/>
      <c r="T11" s="2"/>
      <c r="U11" s="2"/>
      <c r="V11" s="2"/>
      <c r="W11" s="2" t="s">
        <v>136</v>
      </c>
    </row>
    <row r="12" spans="1:23" ht="58" x14ac:dyDescent="0.35">
      <c r="A12" s="2" t="s">
        <v>9</v>
      </c>
      <c r="B12" s="2" t="s">
        <v>164</v>
      </c>
      <c r="C12" s="2" t="s">
        <v>165</v>
      </c>
      <c r="D12" s="2" t="s">
        <v>166</v>
      </c>
      <c r="E12" s="2" t="s">
        <v>143</v>
      </c>
      <c r="F12" s="2" t="s">
        <v>79</v>
      </c>
      <c r="G12" s="2" t="s">
        <v>144</v>
      </c>
      <c r="H12" s="2" t="s">
        <v>677</v>
      </c>
      <c r="I12" s="2" t="s">
        <v>8</v>
      </c>
      <c r="J12" s="2" t="s">
        <v>82</v>
      </c>
      <c r="K12" s="2" t="s">
        <v>167</v>
      </c>
      <c r="L12" s="2" t="s">
        <v>168</v>
      </c>
      <c r="M12" s="2" t="s">
        <v>169</v>
      </c>
      <c r="N12" s="2"/>
      <c r="O12" s="2" t="s">
        <v>170</v>
      </c>
      <c r="P12" s="2" t="s">
        <v>171</v>
      </c>
      <c r="Q12" s="2" t="s">
        <v>90</v>
      </c>
      <c r="R12" s="2" t="s">
        <v>145</v>
      </c>
      <c r="S12" s="2" t="s">
        <v>172</v>
      </c>
      <c r="T12" s="2" t="s">
        <v>168</v>
      </c>
      <c r="U12" s="2"/>
      <c r="V12" s="2" t="s">
        <v>173</v>
      </c>
      <c r="W12" s="2" t="s">
        <v>174</v>
      </c>
    </row>
    <row r="13" spans="1:23" ht="29" x14ac:dyDescent="0.35">
      <c r="A13" s="2" t="s">
        <v>9</v>
      </c>
      <c r="B13" s="2" t="s">
        <v>175</v>
      </c>
      <c r="C13" s="2" t="s">
        <v>176</v>
      </c>
      <c r="D13" s="2" t="s">
        <v>177</v>
      </c>
      <c r="E13" s="2" t="s">
        <v>143</v>
      </c>
      <c r="F13" s="2" t="s">
        <v>142</v>
      </c>
      <c r="G13" s="2" t="s">
        <v>81</v>
      </c>
      <c r="H13" s="2" t="s">
        <v>678</v>
      </c>
      <c r="I13" s="2" t="s">
        <v>11</v>
      </c>
      <c r="J13" s="2" t="s">
        <v>82</v>
      </c>
      <c r="K13" s="2" t="s">
        <v>178</v>
      </c>
      <c r="L13" s="2" t="s">
        <v>158</v>
      </c>
      <c r="M13" s="2" t="s">
        <v>148</v>
      </c>
      <c r="N13" s="2" t="s">
        <v>89</v>
      </c>
      <c r="O13" s="2" t="s">
        <v>89</v>
      </c>
      <c r="P13" s="2" t="s">
        <v>89</v>
      </c>
      <c r="Q13" s="2" t="s">
        <v>90</v>
      </c>
      <c r="R13" s="2" t="s">
        <v>145</v>
      </c>
      <c r="S13" s="2"/>
      <c r="T13" s="2"/>
      <c r="U13" s="2"/>
      <c r="V13" s="2"/>
      <c r="W13" s="2" t="s">
        <v>179</v>
      </c>
    </row>
    <row r="14" spans="1:23" ht="29" x14ac:dyDescent="0.35">
      <c r="A14" s="2" t="s">
        <v>9</v>
      </c>
      <c r="B14" s="2" t="s">
        <v>180</v>
      </c>
      <c r="C14" s="2" t="s">
        <v>181</v>
      </c>
      <c r="D14" s="2" t="s">
        <v>182</v>
      </c>
      <c r="E14" s="2" t="s">
        <v>143</v>
      </c>
      <c r="F14" s="2" t="s">
        <v>142</v>
      </c>
      <c r="G14" s="2" t="s">
        <v>95</v>
      </c>
      <c r="H14" s="2" t="s">
        <v>679</v>
      </c>
      <c r="I14" s="2" t="s">
        <v>8</v>
      </c>
      <c r="J14" s="2" t="s">
        <v>82</v>
      </c>
      <c r="K14" s="2" t="s">
        <v>178</v>
      </c>
      <c r="L14" s="2" t="s">
        <v>158</v>
      </c>
      <c r="M14" s="2" t="s">
        <v>148</v>
      </c>
      <c r="N14" s="2"/>
      <c r="O14" s="2"/>
      <c r="P14" s="2"/>
      <c r="Q14" s="2" t="s">
        <v>90</v>
      </c>
      <c r="R14" s="2" t="s">
        <v>145</v>
      </c>
      <c r="S14" s="2"/>
      <c r="T14" s="2"/>
      <c r="U14" s="2"/>
      <c r="V14" s="2"/>
      <c r="W14" s="2" t="s">
        <v>183</v>
      </c>
    </row>
    <row r="15" spans="1:23" ht="29" x14ac:dyDescent="0.35">
      <c r="A15" s="2" t="s">
        <v>9</v>
      </c>
      <c r="B15" s="2" t="s">
        <v>184</v>
      </c>
      <c r="C15" s="2" t="s">
        <v>185</v>
      </c>
      <c r="D15" s="2" t="s">
        <v>186</v>
      </c>
      <c r="E15" s="2" t="s">
        <v>143</v>
      </c>
      <c r="F15" s="2" t="s">
        <v>79</v>
      </c>
      <c r="G15" s="2" t="s">
        <v>95</v>
      </c>
      <c r="H15" s="2" t="s">
        <v>679</v>
      </c>
      <c r="I15" s="2" t="s">
        <v>11</v>
      </c>
      <c r="J15" s="2" t="s">
        <v>82</v>
      </c>
      <c r="K15" s="2" t="s">
        <v>188</v>
      </c>
      <c r="L15" s="2" t="s">
        <v>189</v>
      </c>
      <c r="M15" s="2" t="s">
        <v>190</v>
      </c>
      <c r="N15" s="2"/>
      <c r="O15" s="2"/>
      <c r="P15" s="2"/>
      <c r="Q15" s="2" t="s">
        <v>90</v>
      </c>
      <c r="R15" s="2" t="s">
        <v>145</v>
      </c>
      <c r="S15" s="2"/>
      <c r="T15" s="2"/>
      <c r="U15" s="2"/>
      <c r="V15" s="2"/>
      <c r="W15" s="2" t="s">
        <v>191</v>
      </c>
    </row>
    <row r="16" spans="1:23" ht="29" x14ac:dyDescent="0.35">
      <c r="A16" s="2" t="s">
        <v>9</v>
      </c>
      <c r="B16" s="2" t="s">
        <v>193</v>
      </c>
      <c r="C16" s="2" t="s">
        <v>194</v>
      </c>
      <c r="D16" s="2" t="s">
        <v>195</v>
      </c>
      <c r="E16" s="2" t="s">
        <v>143</v>
      </c>
      <c r="F16" s="2" t="s">
        <v>79</v>
      </c>
      <c r="G16" s="2" t="s">
        <v>81</v>
      </c>
      <c r="H16" s="2" t="s">
        <v>678</v>
      </c>
      <c r="I16" s="2" t="s">
        <v>8</v>
      </c>
      <c r="J16" s="2" t="s">
        <v>82</v>
      </c>
      <c r="K16" s="2" t="s">
        <v>188</v>
      </c>
      <c r="L16" s="2" t="s">
        <v>189</v>
      </c>
      <c r="M16" s="2" t="s">
        <v>190</v>
      </c>
      <c r="N16" s="2"/>
      <c r="O16" s="2"/>
      <c r="P16" s="2"/>
      <c r="Q16" s="2" t="s">
        <v>90</v>
      </c>
      <c r="R16" s="2" t="s">
        <v>145</v>
      </c>
      <c r="S16" s="2"/>
      <c r="T16" s="2"/>
      <c r="U16" s="2"/>
      <c r="V16" s="2"/>
      <c r="W16" s="2" t="s">
        <v>196</v>
      </c>
    </row>
    <row r="17" spans="1:23" ht="29" x14ac:dyDescent="0.35">
      <c r="A17" s="2" t="s">
        <v>9</v>
      </c>
      <c r="B17" s="2" t="s">
        <v>197</v>
      </c>
      <c r="C17" s="2" t="s">
        <v>198</v>
      </c>
      <c r="D17" s="2" t="s">
        <v>199</v>
      </c>
      <c r="E17" s="2" t="s">
        <v>143</v>
      </c>
      <c r="F17" s="2" t="s">
        <v>142</v>
      </c>
      <c r="G17" s="2" t="s">
        <v>81</v>
      </c>
      <c r="H17" s="2" t="s">
        <v>678</v>
      </c>
      <c r="I17" s="2" t="s">
        <v>11</v>
      </c>
      <c r="J17" s="2" t="s">
        <v>82</v>
      </c>
      <c r="K17" s="2" t="s">
        <v>200</v>
      </c>
      <c r="L17" s="2" t="s">
        <v>201</v>
      </c>
      <c r="M17" s="2" t="s">
        <v>202</v>
      </c>
      <c r="N17" s="2" t="s">
        <v>103</v>
      </c>
      <c r="O17" s="2" t="s">
        <v>203</v>
      </c>
      <c r="P17" s="2" t="s">
        <v>204</v>
      </c>
      <c r="Q17" s="2" t="s">
        <v>90</v>
      </c>
      <c r="R17" s="2" t="s">
        <v>145</v>
      </c>
      <c r="S17" s="2" t="s">
        <v>205</v>
      </c>
      <c r="T17" s="2" t="s">
        <v>201</v>
      </c>
      <c r="U17" s="2" t="s">
        <v>206</v>
      </c>
      <c r="V17" s="2" t="s">
        <v>207</v>
      </c>
      <c r="W17" s="2" t="s">
        <v>208</v>
      </c>
    </row>
    <row r="18" spans="1:23" ht="29" x14ac:dyDescent="0.35">
      <c r="A18" s="2" t="s">
        <v>9</v>
      </c>
      <c r="B18" s="2" t="s">
        <v>209</v>
      </c>
      <c r="C18" s="2" t="s">
        <v>210</v>
      </c>
      <c r="D18" s="2" t="s">
        <v>211</v>
      </c>
      <c r="E18" s="2" t="s">
        <v>143</v>
      </c>
      <c r="F18" s="2" t="s">
        <v>142</v>
      </c>
      <c r="G18" s="2" t="s">
        <v>95</v>
      </c>
      <c r="H18" s="2" t="s">
        <v>679</v>
      </c>
      <c r="I18" s="2" t="s">
        <v>8</v>
      </c>
      <c r="J18" s="2" t="s">
        <v>82</v>
      </c>
      <c r="K18" s="2"/>
      <c r="L18" s="2" t="s">
        <v>212</v>
      </c>
      <c r="M18" s="2" t="s">
        <v>213</v>
      </c>
      <c r="N18" s="2"/>
      <c r="O18" s="2"/>
      <c r="P18" s="2"/>
      <c r="Q18" s="2" t="s">
        <v>90</v>
      </c>
      <c r="R18" s="2" t="s">
        <v>145</v>
      </c>
      <c r="S18" s="2"/>
      <c r="T18" s="2"/>
      <c r="U18" s="2"/>
      <c r="V18" s="2"/>
      <c r="W18" s="2" t="s">
        <v>214</v>
      </c>
    </row>
    <row r="19" spans="1:23" ht="29" x14ac:dyDescent="0.35">
      <c r="A19" s="2" t="s">
        <v>9</v>
      </c>
      <c r="B19" s="2" t="s">
        <v>215</v>
      </c>
      <c r="C19" s="2" t="s">
        <v>216</v>
      </c>
      <c r="D19" s="2"/>
      <c r="E19" s="2" t="s">
        <v>143</v>
      </c>
      <c r="F19" s="2" t="s">
        <v>142</v>
      </c>
      <c r="G19" s="2" t="s">
        <v>217</v>
      </c>
      <c r="H19" s="2" t="s">
        <v>680</v>
      </c>
      <c r="I19" s="2" t="s">
        <v>11</v>
      </c>
      <c r="J19" s="2" t="s">
        <v>82</v>
      </c>
      <c r="K19" s="2" t="s">
        <v>157</v>
      </c>
      <c r="L19" s="2" t="s">
        <v>158</v>
      </c>
      <c r="M19" s="2" t="s">
        <v>159</v>
      </c>
      <c r="N19" s="2"/>
      <c r="O19" s="2"/>
      <c r="P19" s="2"/>
      <c r="Q19" s="2" t="s">
        <v>90</v>
      </c>
      <c r="R19" s="2" t="s">
        <v>145</v>
      </c>
      <c r="S19" s="2"/>
      <c r="T19" s="2"/>
      <c r="U19" s="2"/>
      <c r="V19" s="2"/>
      <c r="W19" s="2" t="s">
        <v>218</v>
      </c>
    </row>
  </sheetData>
  <conditionalFormatting sqref="I2:I19">
    <cfRule type="expression" dxfId="15" priority="1">
      <formula>I2="NORMAL"</formula>
    </cfRule>
    <cfRule type="expression" dxfId="14" priority="2">
      <formula>I2="PREWARNING"</formula>
    </cfRule>
    <cfRule type="expression" dxfId="13" priority="3">
      <formula>I2="WARNING"</formula>
    </cfRule>
    <cfRule type="expression" dxfId="12" priority="4">
      <formula>I2="ALARM"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32" customWidth="1"/>
    <col min="4" max="6" width="24" customWidth="1"/>
    <col min="7" max="9" width="16" customWidth="1"/>
    <col min="10" max="23" width="18" customWidth="1"/>
  </cols>
  <sheetData>
    <row r="1" spans="1:23" ht="29" x14ac:dyDescent="0.35">
      <c r="A1" s="5" t="s">
        <v>672</v>
      </c>
      <c r="B1" s="5" t="s">
        <v>30</v>
      </c>
      <c r="C1" s="5" t="s">
        <v>31</v>
      </c>
      <c r="D1" s="5" t="s">
        <v>32</v>
      </c>
      <c r="E1" s="5" t="s">
        <v>673</v>
      </c>
      <c r="F1" s="5" t="s">
        <v>674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48</v>
      </c>
      <c r="R1" s="5" t="s">
        <v>40</v>
      </c>
      <c r="S1" s="5" t="s">
        <v>58</v>
      </c>
      <c r="T1" s="5" t="s">
        <v>60</v>
      </c>
      <c r="U1" s="5" t="s">
        <v>61</v>
      </c>
      <c r="V1" s="5" t="s">
        <v>62</v>
      </c>
      <c r="W1" s="5" t="s">
        <v>73</v>
      </c>
    </row>
    <row r="2" spans="1:23" ht="29" x14ac:dyDescent="0.35">
      <c r="A2" s="2" t="s">
        <v>12</v>
      </c>
      <c r="B2" s="2" t="s">
        <v>220</v>
      </c>
      <c r="C2" s="2" t="s">
        <v>221</v>
      </c>
      <c r="D2" s="2" t="s">
        <v>222</v>
      </c>
      <c r="E2" s="2" t="s">
        <v>80</v>
      </c>
      <c r="F2" s="2" t="s">
        <v>79</v>
      </c>
      <c r="G2" s="2" t="s">
        <v>95</v>
      </c>
      <c r="H2" s="2" t="s">
        <v>679</v>
      </c>
      <c r="I2" s="2" t="s">
        <v>8</v>
      </c>
      <c r="J2" s="2" t="s">
        <v>82</v>
      </c>
      <c r="K2" s="2" t="s">
        <v>84</v>
      </c>
      <c r="L2" s="2" t="s">
        <v>85</v>
      </c>
      <c r="M2" s="2" t="s">
        <v>86</v>
      </c>
      <c r="N2" s="2"/>
      <c r="O2" s="2" t="s">
        <v>87</v>
      </c>
      <c r="P2" s="2" t="s">
        <v>88</v>
      </c>
      <c r="Q2" s="2" t="s">
        <v>90</v>
      </c>
      <c r="R2" s="2" t="s">
        <v>83</v>
      </c>
      <c r="S2" s="2"/>
      <c r="T2" s="2"/>
      <c r="U2" s="2"/>
      <c r="V2" s="2"/>
      <c r="W2" s="2" t="s">
        <v>223</v>
      </c>
    </row>
    <row r="3" spans="1:23" ht="29" x14ac:dyDescent="0.35">
      <c r="A3" s="2" t="s">
        <v>12</v>
      </c>
      <c r="B3" s="2" t="s">
        <v>224</v>
      </c>
      <c r="C3" s="2" t="s">
        <v>225</v>
      </c>
      <c r="D3" s="2" t="s">
        <v>226</v>
      </c>
      <c r="E3" s="2" t="s">
        <v>80</v>
      </c>
      <c r="F3" s="2" t="s">
        <v>79</v>
      </c>
      <c r="G3" s="2" t="s">
        <v>81</v>
      </c>
      <c r="H3" s="2" t="s">
        <v>678</v>
      </c>
      <c r="I3" s="2" t="s">
        <v>11</v>
      </c>
      <c r="J3" s="2" t="s">
        <v>82</v>
      </c>
      <c r="K3" s="2" t="s">
        <v>84</v>
      </c>
      <c r="L3" s="2" t="s">
        <v>85</v>
      </c>
      <c r="M3" s="2" t="s">
        <v>86</v>
      </c>
      <c r="N3" s="2"/>
      <c r="O3" s="2" t="s">
        <v>87</v>
      </c>
      <c r="P3" s="2" t="s">
        <v>88</v>
      </c>
      <c r="Q3" s="2" t="s">
        <v>90</v>
      </c>
      <c r="R3" s="2" t="s">
        <v>83</v>
      </c>
      <c r="S3" s="2"/>
      <c r="T3" s="2"/>
      <c r="U3" s="2"/>
      <c r="V3" s="2"/>
      <c r="W3" s="2" t="s">
        <v>227</v>
      </c>
    </row>
    <row r="4" spans="1:23" ht="29" x14ac:dyDescent="0.35">
      <c r="A4" s="2" t="s">
        <v>12</v>
      </c>
      <c r="B4" s="2" t="s">
        <v>228</v>
      </c>
      <c r="C4" s="2" t="s">
        <v>229</v>
      </c>
      <c r="D4" s="2" t="s">
        <v>230</v>
      </c>
      <c r="E4" s="2" t="s">
        <v>80</v>
      </c>
      <c r="F4" s="2" t="s">
        <v>79</v>
      </c>
      <c r="G4" s="2" t="s">
        <v>95</v>
      </c>
      <c r="H4" s="2" t="s">
        <v>681</v>
      </c>
      <c r="I4" s="2" t="s">
        <v>8</v>
      </c>
      <c r="J4" s="2" t="s">
        <v>82</v>
      </c>
      <c r="K4" s="2" t="s">
        <v>100</v>
      </c>
      <c r="L4" s="2" t="s">
        <v>101</v>
      </c>
      <c r="M4" s="2" t="s">
        <v>102</v>
      </c>
      <c r="N4" s="2" t="s">
        <v>103</v>
      </c>
      <c r="O4" s="2" t="s">
        <v>87</v>
      </c>
      <c r="P4" s="2" t="s">
        <v>104</v>
      </c>
      <c r="Q4" s="2" t="s">
        <v>90</v>
      </c>
      <c r="R4" s="2" t="s">
        <v>83</v>
      </c>
      <c r="S4" s="2" t="s">
        <v>105</v>
      </c>
      <c r="T4" s="2" t="s">
        <v>106</v>
      </c>
      <c r="U4" s="2"/>
      <c r="V4" s="2"/>
      <c r="W4" s="2" t="s">
        <v>231</v>
      </c>
    </row>
    <row r="5" spans="1:23" ht="29" x14ac:dyDescent="0.35">
      <c r="A5" s="2" t="s">
        <v>12</v>
      </c>
      <c r="B5" s="2" t="s">
        <v>232</v>
      </c>
      <c r="C5" s="2" t="s">
        <v>233</v>
      </c>
      <c r="D5" s="2" t="s">
        <v>234</v>
      </c>
      <c r="E5" s="2" t="s">
        <v>80</v>
      </c>
      <c r="F5" s="2" t="s">
        <v>79</v>
      </c>
      <c r="G5" s="2" t="s">
        <v>81</v>
      </c>
      <c r="H5" s="2" t="s">
        <v>682</v>
      </c>
      <c r="I5" s="2" t="s">
        <v>8</v>
      </c>
      <c r="J5" s="2" t="s">
        <v>82</v>
      </c>
      <c r="K5" s="2" t="s">
        <v>100</v>
      </c>
      <c r="L5" s="2" t="s">
        <v>101</v>
      </c>
      <c r="M5" s="2" t="s">
        <v>102</v>
      </c>
      <c r="N5" s="2" t="s">
        <v>103</v>
      </c>
      <c r="O5" s="2" t="s">
        <v>87</v>
      </c>
      <c r="P5" s="2" t="s">
        <v>104</v>
      </c>
      <c r="Q5" s="2" t="s">
        <v>90</v>
      </c>
      <c r="R5" s="2" t="s">
        <v>83</v>
      </c>
      <c r="S5" s="2" t="s">
        <v>105</v>
      </c>
      <c r="T5" s="2" t="s">
        <v>106</v>
      </c>
      <c r="U5" s="2"/>
      <c r="V5" s="2"/>
      <c r="W5" s="2" t="s">
        <v>235</v>
      </c>
    </row>
    <row r="6" spans="1:23" ht="29" x14ac:dyDescent="0.35">
      <c r="A6" s="2" t="s">
        <v>12</v>
      </c>
      <c r="B6" s="2" t="s">
        <v>236</v>
      </c>
      <c r="C6" s="2" t="s">
        <v>237</v>
      </c>
      <c r="D6" s="2" t="s">
        <v>238</v>
      </c>
      <c r="E6" s="2" t="s">
        <v>80</v>
      </c>
      <c r="F6" s="2" t="s">
        <v>79</v>
      </c>
      <c r="G6" s="2" t="s">
        <v>95</v>
      </c>
      <c r="H6" s="2" t="s">
        <v>681</v>
      </c>
      <c r="I6" s="2" t="s">
        <v>11</v>
      </c>
      <c r="J6" s="2" t="s">
        <v>82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87</v>
      </c>
      <c r="P6" s="2" t="s">
        <v>104</v>
      </c>
      <c r="Q6" s="2" t="s">
        <v>90</v>
      </c>
      <c r="R6" s="2" t="s">
        <v>83</v>
      </c>
      <c r="S6" s="2" t="s">
        <v>105</v>
      </c>
      <c r="T6" s="2" t="s">
        <v>106</v>
      </c>
      <c r="U6" s="2"/>
      <c r="V6" s="2"/>
      <c r="W6" s="2" t="s">
        <v>239</v>
      </c>
    </row>
    <row r="7" spans="1:23" ht="29" x14ac:dyDescent="0.35">
      <c r="A7" s="2" t="s">
        <v>12</v>
      </c>
      <c r="B7" s="2" t="s">
        <v>240</v>
      </c>
      <c r="C7" s="2" t="s">
        <v>241</v>
      </c>
      <c r="D7" s="2" t="s">
        <v>242</v>
      </c>
      <c r="E7" s="2" t="s">
        <v>80</v>
      </c>
      <c r="F7" s="2" t="s">
        <v>79</v>
      </c>
      <c r="G7" s="2" t="s">
        <v>81</v>
      </c>
      <c r="H7" s="2" t="s">
        <v>682</v>
      </c>
      <c r="I7" s="2" t="s">
        <v>8</v>
      </c>
      <c r="J7" s="2" t="s">
        <v>82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87</v>
      </c>
      <c r="P7" s="2" t="s">
        <v>104</v>
      </c>
      <c r="Q7" s="2" t="s">
        <v>90</v>
      </c>
      <c r="R7" s="2" t="s">
        <v>83</v>
      </c>
      <c r="S7" s="2" t="s">
        <v>105</v>
      </c>
      <c r="T7" s="2" t="s">
        <v>106</v>
      </c>
      <c r="U7" s="2"/>
      <c r="V7" s="2"/>
      <c r="W7" s="2" t="s">
        <v>243</v>
      </c>
    </row>
    <row r="8" spans="1:23" ht="29" x14ac:dyDescent="0.35">
      <c r="A8" s="2" t="s">
        <v>12</v>
      </c>
      <c r="B8" s="2" t="s">
        <v>244</v>
      </c>
      <c r="C8" s="2" t="s">
        <v>245</v>
      </c>
      <c r="D8" s="2" t="s">
        <v>246</v>
      </c>
      <c r="E8" s="2" t="s">
        <v>126</v>
      </c>
      <c r="F8" s="2" t="s">
        <v>125</v>
      </c>
      <c r="G8" s="2" t="s">
        <v>95</v>
      </c>
      <c r="H8" s="2" t="s">
        <v>681</v>
      </c>
      <c r="I8" s="2" t="s">
        <v>11</v>
      </c>
      <c r="J8" s="2" t="s">
        <v>127</v>
      </c>
      <c r="K8" s="2" t="s">
        <v>129</v>
      </c>
      <c r="L8" s="2"/>
      <c r="M8" s="2"/>
      <c r="N8" s="2"/>
      <c r="O8" s="2"/>
      <c r="P8" s="2"/>
      <c r="Q8" s="2"/>
      <c r="R8" s="2" t="s">
        <v>128</v>
      </c>
      <c r="S8" s="2"/>
      <c r="T8" s="2" t="s">
        <v>133</v>
      </c>
      <c r="U8" s="2"/>
      <c r="V8" s="2"/>
      <c r="W8" s="2" t="s">
        <v>247</v>
      </c>
    </row>
    <row r="9" spans="1:23" ht="29" x14ac:dyDescent="0.35">
      <c r="A9" s="2" t="s">
        <v>12</v>
      </c>
      <c r="B9" s="2" t="s">
        <v>248</v>
      </c>
      <c r="C9" s="2" t="s">
        <v>249</v>
      </c>
      <c r="D9" s="2" t="s">
        <v>250</v>
      </c>
      <c r="E9" s="2" t="s">
        <v>143</v>
      </c>
      <c r="F9" s="2" t="s">
        <v>142</v>
      </c>
      <c r="G9" s="2" t="s">
        <v>144</v>
      </c>
      <c r="H9" s="2" t="s">
        <v>677</v>
      </c>
      <c r="I9" s="2" t="s">
        <v>8</v>
      </c>
      <c r="J9" s="2" t="s">
        <v>82</v>
      </c>
      <c r="K9" s="2" t="s">
        <v>146</v>
      </c>
      <c r="L9" s="2" t="s">
        <v>147</v>
      </c>
      <c r="M9" s="2" t="s">
        <v>148</v>
      </c>
      <c r="N9" s="2" t="s">
        <v>89</v>
      </c>
      <c r="O9" s="2" t="s">
        <v>89</v>
      </c>
      <c r="P9" s="2" t="s">
        <v>89</v>
      </c>
      <c r="Q9" s="2" t="s">
        <v>90</v>
      </c>
      <c r="R9" s="2" t="s">
        <v>145</v>
      </c>
      <c r="S9" s="2"/>
      <c r="T9" s="2"/>
      <c r="U9" s="2"/>
      <c r="V9" s="2"/>
      <c r="W9" s="2" t="s">
        <v>251</v>
      </c>
    </row>
    <row r="10" spans="1:23" ht="29" x14ac:dyDescent="0.35">
      <c r="A10" s="2" t="s">
        <v>12</v>
      </c>
      <c r="B10" s="2" t="s">
        <v>252</v>
      </c>
      <c r="C10" s="2" t="s">
        <v>253</v>
      </c>
      <c r="D10" s="2" t="s">
        <v>254</v>
      </c>
      <c r="E10" s="2" t="s">
        <v>143</v>
      </c>
      <c r="F10" s="2" t="s">
        <v>142</v>
      </c>
      <c r="G10" s="2" t="s">
        <v>95</v>
      </c>
      <c r="H10" s="2" t="s">
        <v>683</v>
      </c>
      <c r="I10" s="2" t="s">
        <v>11</v>
      </c>
      <c r="J10" s="2" t="s">
        <v>82</v>
      </c>
      <c r="K10" s="2" t="s">
        <v>157</v>
      </c>
      <c r="L10" s="2" t="s">
        <v>158</v>
      </c>
      <c r="M10" s="2" t="s">
        <v>159</v>
      </c>
      <c r="N10" s="2"/>
      <c r="O10" s="2"/>
      <c r="P10" s="2"/>
      <c r="Q10" s="2" t="s">
        <v>90</v>
      </c>
      <c r="R10" s="2" t="s">
        <v>145</v>
      </c>
      <c r="S10" s="2"/>
      <c r="T10" s="2"/>
      <c r="U10" s="2"/>
      <c r="V10" s="2"/>
      <c r="W10" s="2" t="s">
        <v>255</v>
      </c>
    </row>
    <row r="11" spans="1:23" ht="29" x14ac:dyDescent="0.35">
      <c r="A11" s="2" t="s">
        <v>12</v>
      </c>
      <c r="B11" s="2" t="s">
        <v>256</v>
      </c>
      <c r="C11" s="2" t="s">
        <v>257</v>
      </c>
      <c r="D11" s="2" t="s">
        <v>258</v>
      </c>
      <c r="E11" s="2" t="s">
        <v>143</v>
      </c>
      <c r="F11" s="2" t="s">
        <v>142</v>
      </c>
      <c r="G11" s="2" t="s">
        <v>95</v>
      </c>
      <c r="H11" s="2" t="s">
        <v>683</v>
      </c>
      <c r="I11" s="2" t="s">
        <v>11</v>
      </c>
      <c r="J11" s="2" t="s">
        <v>82</v>
      </c>
      <c r="K11" s="2" t="s">
        <v>157</v>
      </c>
      <c r="L11" s="2" t="s">
        <v>158</v>
      </c>
      <c r="M11" s="2" t="s">
        <v>159</v>
      </c>
      <c r="N11" s="2"/>
      <c r="O11" s="2"/>
      <c r="P11" s="2"/>
      <c r="Q11" s="2" t="s">
        <v>90</v>
      </c>
      <c r="R11" s="2" t="s">
        <v>145</v>
      </c>
      <c r="S11" s="2"/>
      <c r="T11" s="2"/>
      <c r="U11" s="2"/>
      <c r="V11" s="2"/>
      <c r="W11" s="2" t="s">
        <v>259</v>
      </c>
    </row>
    <row r="12" spans="1:23" ht="58" x14ac:dyDescent="0.35">
      <c r="A12" s="2" t="s">
        <v>12</v>
      </c>
      <c r="B12" s="2" t="s">
        <v>260</v>
      </c>
      <c r="C12" s="2" t="s">
        <v>261</v>
      </c>
      <c r="D12" s="2" t="s">
        <v>262</v>
      </c>
      <c r="E12" s="2" t="s">
        <v>143</v>
      </c>
      <c r="F12" s="2" t="s">
        <v>79</v>
      </c>
      <c r="G12" s="2" t="s">
        <v>144</v>
      </c>
      <c r="H12" s="2" t="s">
        <v>677</v>
      </c>
      <c r="I12" s="2" t="s">
        <v>11</v>
      </c>
      <c r="J12" s="2" t="s">
        <v>82</v>
      </c>
      <c r="K12" s="2" t="s">
        <v>167</v>
      </c>
      <c r="L12" s="2" t="s">
        <v>168</v>
      </c>
      <c r="M12" s="2" t="s">
        <v>169</v>
      </c>
      <c r="N12" s="2"/>
      <c r="O12" s="2" t="s">
        <v>170</v>
      </c>
      <c r="P12" s="2" t="s">
        <v>171</v>
      </c>
      <c r="Q12" s="2" t="s">
        <v>90</v>
      </c>
      <c r="R12" s="2" t="s">
        <v>83</v>
      </c>
      <c r="S12" s="2" t="s">
        <v>172</v>
      </c>
      <c r="T12" s="2" t="s">
        <v>168</v>
      </c>
      <c r="U12" s="2"/>
      <c r="V12" s="2" t="s">
        <v>173</v>
      </c>
      <c r="W12" s="2" t="s">
        <v>263</v>
      </c>
    </row>
    <row r="13" spans="1:23" ht="29" x14ac:dyDescent="0.35">
      <c r="A13" s="2" t="s">
        <v>12</v>
      </c>
      <c r="B13" s="2" t="s">
        <v>264</v>
      </c>
      <c r="C13" s="2" t="s">
        <v>265</v>
      </c>
      <c r="D13" s="2" t="s">
        <v>266</v>
      </c>
      <c r="E13" s="2" t="s">
        <v>143</v>
      </c>
      <c r="F13" s="2" t="s">
        <v>142</v>
      </c>
      <c r="G13" s="2" t="s">
        <v>95</v>
      </c>
      <c r="H13" s="2" t="s">
        <v>683</v>
      </c>
      <c r="I13" s="2" t="s">
        <v>11</v>
      </c>
      <c r="J13" s="2" t="s">
        <v>82</v>
      </c>
      <c r="K13" s="2" t="s">
        <v>178</v>
      </c>
      <c r="L13" s="2" t="s">
        <v>158</v>
      </c>
      <c r="M13" s="2" t="s">
        <v>148</v>
      </c>
      <c r="N13" s="2" t="s">
        <v>89</v>
      </c>
      <c r="O13" s="2" t="s">
        <v>89</v>
      </c>
      <c r="P13" s="2" t="s">
        <v>89</v>
      </c>
      <c r="Q13" s="2" t="s">
        <v>90</v>
      </c>
      <c r="R13" s="2" t="s">
        <v>145</v>
      </c>
      <c r="S13" s="2"/>
      <c r="T13" s="2"/>
      <c r="U13" s="2"/>
      <c r="V13" s="2"/>
      <c r="W13" s="2" t="s">
        <v>267</v>
      </c>
    </row>
    <row r="14" spans="1:23" ht="29" x14ac:dyDescent="0.35">
      <c r="A14" s="2" t="s">
        <v>12</v>
      </c>
      <c r="B14" s="2" t="s">
        <v>268</v>
      </c>
      <c r="C14" s="2" t="s">
        <v>269</v>
      </c>
      <c r="D14" s="2" t="s">
        <v>270</v>
      </c>
      <c r="E14" s="2" t="s">
        <v>143</v>
      </c>
      <c r="F14" s="2" t="s">
        <v>142</v>
      </c>
      <c r="G14" s="2" t="s">
        <v>95</v>
      </c>
      <c r="H14" s="2" t="s">
        <v>683</v>
      </c>
      <c r="I14" s="2" t="s">
        <v>11</v>
      </c>
      <c r="J14" s="2" t="s">
        <v>82</v>
      </c>
      <c r="K14" s="2" t="s">
        <v>178</v>
      </c>
      <c r="L14" s="2" t="s">
        <v>158</v>
      </c>
      <c r="M14" s="2" t="s">
        <v>148</v>
      </c>
      <c r="N14" s="2"/>
      <c r="O14" s="2"/>
      <c r="P14" s="2"/>
      <c r="Q14" s="2" t="s">
        <v>90</v>
      </c>
      <c r="R14" s="2" t="s">
        <v>145</v>
      </c>
      <c r="S14" s="2"/>
      <c r="T14" s="2"/>
      <c r="U14" s="2"/>
      <c r="V14" s="2"/>
      <c r="W14" s="2" t="s">
        <v>271</v>
      </c>
    </row>
    <row r="15" spans="1:23" ht="29" x14ac:dyDescent="0.35">
      <c r="A15" s="2" t="s">
        <v>12</v>
      </c>
      <c r="B15" s="2" t="s">
        <v>272</v>
      </c>
      <c r="C15" s="2" t="s">
        <v>273</v>
      </c>
      <c r="D15" s="2" t="s">
        <v>274</v>
      </c>
      <c r="E15" s="2" t="s">
        <v>143</v>
      </c>
      <c r="F15" s="2" t="s">
        <v>79</v>
      </c>
      <c r="G15" s="2" t="s">
        <v>217</v>
      </c>
      <c r="H15" s="2" t="s">
        <v>684</v>
      </c>
      <c r="I15" s="2" t="s">
        <v>8</v>
      </c>
      <c r="J15" s="2" t="s">
        <v>82</v>
      </c>
      <c r="K15" s="2" t="s">
        <v>188</v>
      </c>
      <c r="L15" s="2" t="s">
        <v>189</v>
      </c>
      <c r="M15" s="2" t="s">
        <v>190</v>
      </c>
      <c r="N15" s="2"/>
      <c r="O15" s="2"/>
      <c r="P15" s="2"/>
      <c r="Q15" s="2" t="s">
        <v>90</v>
      </c>
      <c r="R15" s="2" t="s">
        <v>145</v>
      </c>
      <c r="S15" s="2"/>
      <c r="T15" s="2"/>
      <c r="U15" s="2"/>
      <c r="V15" s="2"/>
      <c r="W15" s="2" t="s">
        <v>275</v>
      </c>
    </row>
    <row r="16" spans="1:23" ht="29" x14ac:dyDescent="0.35">
      <c r="A16" s="2" t="s">
        <v>12</v>
      </c>
      <c r="B16" s="2" t="s">
        <v>276</v>
      </c>
      <c r="C16" s="2" t="s">
        <v>277</v>
      </c>
      <c r="D16" s="2" t="s">
        <v>278</v>
      </c>
      <c r="E16" s="2" t="s">
        <v>143</v>
      </c>
      <c r="F16" s="2" t="s">
        <v>79</v>
      </c>
      <c r="G16" s="2" t="s">
        <v>144</v>
      </c>
      <c r="H16" s="2" t="s">
        <v>677</v>
      </c>
      <c r="I16" s="2" t="s">
        <v>8</v>
      </c>
      <c r="J16" s="2" t="s">
        <v>82</v>
      </c>
      <c r="K16" s="2" t="s">
        <v>188</v>
      </c>
      <c r="L16" s="2" t="s">
        <v>189</v>
      </c>
      <c r="M16" s="2" t="s">
        <v>190</v>
      </c>
      <c r="N16" s="2"/>
      <c r="O16" s="2"/>
      <c r="P16" s="2"/>
      <c r="Q16" s="2" t="s">
        <v>90</v>
      </c>
      <c r="R16" s="2" t="s">
        <v>145</v>
      </c>
      <c r="S16" s="2"/>
      <c r="T16" s="2"/>
      <c r="U16" s="2"/>
      <c r="V16" s="2"/>
      <c r="W16" s="2" t="s">
        <v>279</v>
      </c>
    </row>
    <row r="17" spans="1:23" ht="29" x14ac:dyDescent="0.35">
      <c r="A17" s="2" t="s">
        <v>12</v>
      </c>
      <c r="B17" s="2" t="s">
        <v>280</v>
      </c>
      <c r="C17" s="2" t="s">
        <v>281</v>
      </c>
      <c r="D17" s="2"/>
      <c r="E17" s="2" t="s">
        <v>143</v>
      </c>
      <c r="F17" s="2" t="s">
        <v>142</v>
      </c>
      <c r="G17" s="2" t="s">
        <v>217</v>
      </c>
      <c r="H17" s="2" t="s">
        <v>684</v>
      </c>
      <c r="I17" s="2" t="s">
        <v>11</v>
      </c>
      <c r="J17" s="2" t="s">
        <v>82</v>
      </c>
      <c r="K17" s="2" t="s">
        <v>157</v>
      </c>
      <c r="L17" s="2" t="s">
        <v>158</v>
      </c>
      <c r="M17" s="2" t="s">
        <v>159</v>
      </c>
      <c r="N17" s="2"/>
      <c r="O17" s="2"/>
      <c r="P17" s="2"/>
      <c r="Q17" s="2" t="s">
        <v>90</v>
      </c>
      <c r="R17" s="2" t="s">
        <v>145</v>
      </c>
      <c r="S17" s="2"/>
      <c r="T17" s="2"/>
      <c r="U17" s="2"/>
      <c r="V17" s="2"/>
      <c r="W17" s="2" t="s">
        <v>282</v>
      </c>
    </row>
  </sheetData>
  <conditionalFormatting sqref="I2:I17">
    <cfRule type="expression" dxfId="11" priority="1">
      <formula>I2="NORMAL"</formula>
    </cfRule>
    <cfRule type="expression" dxfId="10" priority="2">
      <formula>I2="PREWARNING"</formula>
    </cfRule>
    <cfRule type="expression" dxfId="9" priority="3">
      <formula>I2="WARNING"</formula>
    </cfRule>
    <cfRule type="expression" dxfId="8" priority="4">
      <formula>I2="ALARM"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32" customWidth="1"/>
    <col min="4" max="6" width="24" customWidth="1"/>
    <col min="7" max="9" width="16" customWidth="1"/>
    <col min="10" max="23" width="18" customWidth="1"/>
  </cols>
  <sheetData>
    <row r="1" spans="1:23" ht="29" x14ac:dyDescent="0.35">
      <c r="A1" s="5" t="s">
        <v>672</v>
      </c>
      <c r="B1" s="5" t="s">
        <v>30</v>
      </c>
      <c r="C1" s="5" t="s">
        <v>31</v>
      </c>
      <c r="D1" s="5" t="s">
        <v>32</v>
      </c>
      <c r="E1" s="5" t="s">
        <v>673</v>
      </c>
      <c r="F1" s="5" t="s">
        <v>674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48</v>
      </c>
      <c r="R1" s="5" t="s">
        <v>40</v>
      </c>
      <c r="S1" s="5" t="s">
        <v>58</v>
      </c>
      <c r="T1" s="5" t="s">
        <v>60</v>
      </c>
      <c r="U1" s="5" t="s">
        <v>61</v>
      </c>
      <c r="V1" s="5" t="s">
        <v>62</v>
      </c>
      <c r="W1" s="5" t="s">
        <v>73</v>
      </c>
    </row>
    <row r="2" spans="1:23" ht="29" x14ac:dyDescent="0.35">
      <c r="A2" s="2" t="s">
        <v>15</v>
      </c>
      <c r="B2" s="2" t="s">
        <v>284</v>
      </c>
      <c r="C2" s="2" t="s">
        <v>285</v>
      </c>
      <c r="D2" s="2" t="s">
        <v>286</v>
      </c>
      <c r="E2" s="2" t="s">
        <v>80</v>
      </c>
      <c r="F2" s="2" t="s">
        <v>79</v>
      </c>
      <c r="G2" s="2" t="s">
        <v>217</v>
      </c>
      <c r="H2" s="2" t="s">
        <v>684</v>
      </c>
      <c r="I2" s="2" t="s">
        <v>8</v>
      </c>
      <c r="J2" s="2" t="s">
        <v>82</v>
      </c>
      <c r="K2" s="2" t="s">
        <v>287</v>
      </c>
      <c r="L2" s="2" t="s">
        <v>288</v>
      </c>
      <c r="M2" s="2" t="s">
        <v>289</v>
      </c>
      <c r="N2" s="2" t="s">
        <v>103</v>
      </c>
      <c r="O2" s="2" t="s">
        <v>290</v>
      </c>
      <c r="P2" s="2" t="s">
        <v>291</v>
      </c>
      <c r="Q2" s="2" t="s">
        <v>90</v>
      </c>
      <c r="R2" s="2" t="s">
        <v>83</v>
      </c>
      <c r="S2" s="2" t="s">
        <v>292</v>
      </c>
      <c r="T2" s="2" t="s">
        <v>293</v>
      </c>
      <c r="U2" s="2"/>
      <c r="V2" s="2" t="s">
        <v>294</v>
      </c>
      <c r="W2" s="2" t="s">
        <v>296</v>
      </c>
    </row>
    <row r="3" spans="1:23" ht="29" x14ac:dyDescent="0.35">
      <c r="A3" s="2" t="s">
        <v>15</v>
      </c>
      <c r="B3" s="2" t="s">
        <v>297</v>
      </c>
      <c r="C3" s="2" t="s">
        <v>298</v>
      </c>
      <c r="D3" s="2" t="s">
        <v>299</v>
      </c>
      <c r="E3" s="2" t="s">
        <v>80</v>
      </c>
      <c r="F3" s="2" t="s">
        <v>79</v>
      </c>
      <c r="G3" s="2" t="s">
        <v>144</v>
      </c>
      <c r="H3" s="2" t="s">
        <v>685</v>
      </c>
      <c r="I3" s="2" t="s">
        <v>8</v>
      </c>
      <c r="J3" s="2" t="s">
        <v>82</v>
      </c>
      <c r="K3" s="2" t="s">
        <v>287</v>
      </c>
      <c r="L3" s="2" t="s">
        <v>288</v>
      </c>
      <c r="M3" s="2" t="s">
        <v>289</v>
      </c>
      <c r="N3" s="2" t="s">
        <v>103</v>
      </c>
      <c r="O3" s="2" t="s">
        <v>290</v>
      </c>
      <c r="P3" s="2" t="s">
        <v>291</v>
      </c>
      <c r="Q3" s="2" t="s">
        <v>90</v>
      </c>
      <c r="R3" s="2" t="s">
        <v>83</v>
      </c>
      <c r="S3" s="2" t="s">
        <v>292</v>
      </c>
      <c r="T3" s="2" t="s">
        <v>293</v>
      </c>
      <c r="U3" s="2"/>
      <c r="V3" s="2" t="s">
        <v>294</v>
      </c>
      <c r="W3" s="2" t="s">
        <v>300</v>
      </c>
    </row>
    <row r="4" spans="1:23" ht="29" x14ac:dyDescent="0.35">
      <c r="A4" s="2" t="s">
        <v>15</v>
      </c>
      <c r="B4" s="2" t="s">
        <v>301</v>
      </c>
      <c r="C4" s="2" t="s">
        <v>302</v>
      </c>
      <c r="D4" s="2" t="s">
        <v>303</v>
      </c>
      <c r="E4" s="2" t="s">
        <v>80</v>
      </c>
      <c r="F4" s="2" t="s">
        <v>79</v>
      </c>
      <c r="G4" s="2" t="s">
        <v>144</v>
      </c>
      <c r="H4" s="2" t="s">
        <v>685</v>
      </c>
      <c r="I4" s="2" t="s">
        <v>11</v>
      </c>
      <c r="J4" s="2" t="s">
        <v>82</v>
      </c>
      <c r="K4" s="2" t="s">
        <v>304</v>
      </c>
      <c r="L4" s="2" t="s">
        <v>305</v>
      </c>
      <c r="M4" s="2" t="s">
        <v>306</v>
      </c>
      <c r="N4" s="2" t="s">
        <v>103</v>
      </c>
      <c r="O4" s="2" t="s">
        <v>307</v>
      </c>
      <c r="P4" s="2" t="s">
        <v>308</v>
      </c>
      <c r="Q4" s="2" t="s">
        <v>90</v>
      </c>
      <c r="R4" s="2" t="s">
        <v>83</v>
      </c>
      <c r="S4" s="2" t="s">
        <v>309</v>
      </c>
      <c r="T4" s="2" t="s">
        <v>310</v>
      </c>
      <c r="U4" s="2" t="s">
        <v>311</v>
      </c>
      <c r="V4" s="2"/>
      <c r="W4" s="2" t="s">
        <v>313</v>
      </c>
    </row>
    <row r="5" spans="1:23" ht="29" x14ac:dyDescent="0.35">
      <c r="A5" s="2" t="s">
        <v>15</v>
      </c>
      <c r="B5" s="2" t="s">
        <v>314</v>
      </c>
      <c r="C5" s="2" t="s">
        <v>315</v>
      </c>
      <c r="D5" s="2" t="s">
        <v>316</v>
      </c>
      <c r="E5" s="2" t="s">
        <v>80</v>
      </c>
      <c r="F5" s="2" t="s">
        <v>79</v>
      </c>
      <c r="G5" s="2" t="s">
        <v>95</v>
      </c>
      <c r="H5" s="2" t="s">
        <v>683</v>
      </c>
      <c r="I5" s="2" t="s">
        <v>11</v>
      </c>
      <c r="J5" s="2" t="s">
        <v>82</v>
      </c>
      <c r="K5" s="2" t="s">
        <v>304</v>
      </c>
      <c r="L5" s="2" t="s">
        <v>317</v>
      </c>
      <c r="M5" s="2" t="s">
        <v>318</v>
      </c>
      <c r="N5" s="2" t="s">
        <v>103</v>
      </c>
      <c r="O5" s="2" t="s">
        <v>319</v>
      </c>
      <c r="P5" s="2" t="s">
        <v>171</v>
      </c>
      <c r="Q5" s="2" t="s">
        <v>90</v>
      </c>
      <c r="R5" s="2" t="s">
        <v>83</v>
      </c>
      <c r="S5" s="2" t="s">
        <v>320</v>
      </c>
      <c r="T5" s="2" t="s">
        <v>310</v>
      </c>
      <c r="U5" s="2" t="s">
        <v>321</v>
      </c>
      <c r="V5" s="2"/>
      <c r="W5" s="2" t="s">
        <v>323</v>
      </c>
    </row>
    <row r="6" spans="1:23" ht="29" x14ac:dyDescent="0.35">
      <c r="A6" s="2" t="s">
        <v>15</v>
      </c>
      <c r="B6" s="2" t="s">
        <v>324</v>
      </c>
      <c r="C6" s="2" t="s">
        <v>325</v>
      </c>
      <c r="D6" s="2" t="s">
        <v>326</v>
      </c>
      <c r="E6" s="2" t="s">
        <v>80</v>
      </c>
      <c r="F6" s="2" t="s">
        <v>142</v>
      </c>
      <c r="G6" s="2" t="s">
        <v>144</v>
      </c>
      <c r="H6" s="2" t="s">
        <v>685</v>
      </c>
      <c r="I6" s="2" t="s">
        <v>11</v>
      </c>
      <c r="J6" s="2" t="s">
        <v>82</v>
      </c>
      <c r="K6" s="2" t="s">
        <v>327</v>
      </c>
      <c r="L6" s="2" t="s">
        <v>328</v>
      </c>
      <c r="M6" s="2" t="s">
        <v>329</v>
      </c>
      <c r="N6" s="2" t="s">
        <v>330</v>
      </c>
      <c r="O6" s="2" t="s">
        <v>331</v>
      </c>
      <c r="P6" s="2" t="s">
        <v>332</v>
      </c>
      <c r="Q6" s="2" t="s">
        <v>90</v>
      </c>
      <c r="R6" s="2" t="s">
        <v>83</v>
      </c>
      <c r="S6" s="2"/>
      <c r="T6" s="2"/>
      <c r="U6" s="2"/>
      <c r="V6" s="2"/>
      <c r="W6" s="2" t="s">
        <v>333</v>
      </c>
    </row>
    <row r="7" spans="1:23" ht="29" x14ac:dyDescent="0.35">
      <c r="A7" s="2" t="s">
        <v>15</v>
      </c>
      <c r="B7" s="2" t="s">
        <v>334</v>
      </c>
      <c r="C7" s="2" t="s">
        <v>335</v>
      </c>
      <c r="D7" s="2"/>
      <c r="E7" s="2" t="s">
        <v>126</v>
      </c>
      <c r="F7" s="2" t="s">
        <v>336</v>
      </c>
      <c r="G7" s="2" t="s">
        <v>81</v>
      </c>
      <c r="H7" s="2" t="s">
        <v>682</v>
      </c>
      <c r="I7" s="2" t="s">
        <v>8</v>
      </c>
      <c r="J7" s="2" t="s">
        <v>128</v>
      </c>
      <c r="K7" s="2" t="s">
        <v>337</v>
      </c>
      <c r="L7" s="2"/>
      <c r="M7" s="2"/>
      <c r="N7" s="2"/>
      <c r="O7" s="2"/>
      <c r="P7" s="2"/>
      <c r="Q7" s="2"/>
      <c r="R7" s="2" t="s">
        <v>127</v>
      </c>
      <c r="S7" s="2"/>
      <c r="T7" s="2" t="s">
        <v>133</v>
      </c>
      <c r="U7" s="2"/>
      <c r="V7" s="2"/>
      <c r="W7" s="2" t="s">
        <v>342</v>
      </c>
    </row>
    <row r="8" spans="1:23" ht="43.5" x14ac:dyDescent="0.35">
      <c r="A8" s="2" t="s">
        <v>15</v>
      </c>
      <c r="B8" s="2" t="s">
        <v>343</v>
      </c>
      <c r="C8" s="2" t="s">
        <v>344</v>
      </c>
      <c r="D8" s="2" t="s">
        <v>345</v>
      </c>
      <c r="E8" s="2" t="s">
        <v>143</v>
      </c>
      <c r="F8" s="2" t="s">
        <v>142</v>
      </c>
      <c r="G8" s="2" t="s">
        <v>144</v>
      </c>
      <c r="H8" s="2" t="s">
        <v>685</v>
      </c>
      <c r="I8" s="2" t="s">
        <v>11</v>
      </c>
      <c r="J8" s="2" t="s">
        <v>82</v>
      </c>
      <c r="K8" s="2" t="s">
        <v>346</v>
      </c>
      <c r="L8" s="2" t="s">
        <v>212</v>
      </c>
      <c r="M8" s="2" t="s">
        <v>347</v>
      </c>
      <c r="N8" s="2" t="s">
        <v>103</v>
      </c>
      <c r="O8" s="2" t="s">
        <v>348</v>
      </c>
      <c r="P8" s="2" t="s">
        <v>348</v>
      </c>
      <c r="Q8" s="2" t="s">
        <v>90</v>
      </c>
      <c r="R8" s="2" t="s">
        <v>145</v>
      </c>
      <c r="S8" s="2" t="s">
        <v>349</v>
      </c>
      <c r="T8" s="2" t="s">
        <v>350</v>
      </c>
      <c r="U8" s="2" t="s">
        <v>347</v>
      </c>
      <c r="V8" s="2" t="s">
        <v>351</v>
      </c>
      <c r="W8" s="2" t="s">
        <v>352</v>
      </c>
    </row>
    <row r="9" spans="1:23" ht="43.5" x14ac:dyDescent="0.35">
      <c r="A9" s="2" t="s">
        <v>15</v>
      </c>
      <c r="B9" s="2" t="s">
        <v>353</v>
      </c>
      <c r="C9" s="2" t="s">
        <v>354</v>
      </c>
      <c r="D9" s="2" t="s">
        <v>355</v>
      </c>
      <c r="E9" s="2" t="s">
        <v>143</v>
      </c>
      <c r="F9" s="2" t="s">
        <v>142</v>
      </c>
      <c r="G9" s="2" t="s">
        <v>217</v>
      </c>
      <c r="H9" s="2" t="s">
        <v>686</v>
      </c>
      <c r="I9" s="2" t="s">
        <v>11</v>
      </c>
      <c r="J9" s="2" t="s">
        <v>82</v>
      </c>
      <c r="K9" s="2" t="s">
        <v>346</v>
      </c>
      <c r="L9" s="2" t="s">
        <v>212</v>
      </c>
      <c r="M9" s="2" t="s">
        <v>347</v>
      </c>
      <c r="N9" s="2" t="s">
        <v>103</v>
      </c>
      <c r="O9" s="2" t="s">
        <v>348</v>
      </c>
      <c r="P9" s="2" t="s">
        <v>348</v>
      </c>
      <c r="Q9" s="2" t="s">
        <v>90</v>
      </c>
      <c r="R9" s="2" t="s">
        <v>145</v>
      </c>
      <c r="S9" s="2" t="s">
        <v>349</v>
      </c>
      <c r="T9" s="2" t="s">
        <v>350</v>
      </c>
      <c r="U9" s="2" t="s">
        <v>347</v>
      </c>
      <c r="V9" s="2" t="s">
        <v>351</v>
      </c>
      <c r="W9" s="2" t="s">
        <v>356</v>
      </c>
    </row>
    <row r="10" spans="1:23" ht="29" x14ac:dyDescent="0.35">
      <c r="A10" s="2" t="s">
        <v>15</v>
      </c>
      <c r="B10" s="2" t="s">
        <v>357</v>
      </c>
      <c r="C10" s="2" t="s">
        <v>358</v>
      </c>
      <c r="D10" s="2" t="s">
        <v>359</v>
      </c>
      <c r="E10" s="2" t="s">
        <v>143</v>
      </c>
      <c r="F10" s="2" t="s">
        <v>142</v>
      </c>
      <c r="G10" s="2" t="s">
        <v>217</v>
      </c>
      <c r="H10" s="2" t="s">
        <v>686</v>
      </c>
      <c r="I10" s="2" t="s">
        <v>8</v>
      </c>
      <c r="J10" s="2" t="s">
        <v>82</v>
      </c>
      <c r="K10" s="2" t="s">
        <v>360</v>
      </c>
      <c r="L10" s="2" t="s">
        <v>350</v>
      </c>
      <c r="M10" s="2" t="s">
        <v>361</v>
      </c>
      <c r="N10" s="2" t="s">
        <v>103</v>
      </c>
      <c r="O10" s="2" t="s">
        <v>362</v>
      </c>
      <c r="P10" s="2" t="s">
        <v>362</v>
      </c>
      <c r="Q10" s="2" t="s">
        <v>90</v>
      </c>
      <c r="R10" s="2" t="s">
        <v>145</v>
      </c>
      <c r="S10" s="2" t="s">
        <v>363</v>
      </c>
      <c r="T10" s="2" t="s">
        <v>364</v>
      </c>
      <c r="U10" s="2" t="s">
        <v>361</v>
      </c>
      <c r="V10" s="2" t="s">
        <v>365</v>
      </c>
      <c r="W10" s="2" t="s">
        <v>366</v>
      </c>
    </row>
    <row r="11" spans="1:23" ht="29" x14ac:dyDescent="0.35">
      <c r="A11" s="2" t="s">
        <v>15</v>
      </c>
      <c r="B11" s="2" t="s">
        <v>367</v>
      </c>
      <c r="C11" s="2" t="s">
        <v>368</v>
      </c>
      <c r="D11" s="2" t="s">
        <v>369</v>
      </c>
      <c r="E11" s="2" t="s">
        <v>143</v>
      </c>
      <c r="F11" s="2" t="s">
        <v>79</v>
      </c>
      <c r="G11" s="2" t="s">
        <v>217</v>
      </c>
      <c r="H11" s="2" t="s">
        <v>686</v>
      </c>
      <c r="I11" s="2" t="s">
        <v>11</v>
      </c>
      <c r="J11" s="2" t="s">
        <v>82</v>
      </c>
      <c r="K11" s="2" t="s">
        <v>370</v>
      </c>
      <c r="L11" s="2" t="s">
        <v>371</v>
      </c>
      <c r="M11" s="2" t="s">
        <v>372</v>
      </c>
      <c r="N11" s="2" t="s">
        <v>103</v>
      </c>
      <c r="O11" s="2" t="s">
        <v>373</v>
      </c>
      <c r="P11" s="2" t="s">
        <v>373</v>
      </c>
      <c r="Q11" s="2" t="s">
        <v>90</v>
      </c>
      <c r="R11" s="2" t="s">
        <v>145</v>
      </c>
      <c r="S11" s="2" t="s">
        <v>374</v>
      </c>
      <c r="T11" s="2" t="s">
        <v>293</v>
      </c>
      <c r="U11" s="2" t="s">
        <v>375</v>
      </c>
      <c r="V11" s="2" t="s">
        <v>376</v>
      </c>
      <c r="W11" s="2" t="s">
        <v>377</v>
      </c>
    </row>
    <row r="12" spans="1:23" ht="29" x14ac:dyDescent="0.35">
      <c r="A12" s="2" t="s">
        <v>15</v>
      </c>
      <c r="B12" s="2" t="s">
        <v>378</v>
      </c>
      <c r="C12" s="2" t="s">
        <v>379</v>
      </c>
      <c r="D12" s="2" t="s">
        <v>380</v>
      </c>
      <c r="E12" s="2" t="s">
        <v>143</v>
      </c>
      <c r="F12" s="2" t="s">
        <v>142</v>
      </c>
      <c r="G12" s="2" t="s">
        <v>95</v>
      </c>
      <c r="H12" s="2" t="s">
        <v>683</v>
      </c>
      <c r="I12" s="2" t="s">
        <v>11</v>
      </c>
      <c r="J12" s="2" t="s">
        <v>82</v>
      </c>
      <c r="K12" s="2" t="s">
        <v>381</v>
      </c>
      <c r="L12" s="2" t="s">
        <v>101</v>
      </c>
      <c r="M12" s="2" t="s">
        <v>382</v>
      </c>
      <c r="N12" s="2" t="s">
        <v>103</v>
      </c>
      <c r="O12" s="2" t="s">
        <v>89</v>
      </c>
      <c r="P12" s="2" t="s">
        <v>89</v>
      </c>
      <c r="Q12" s="2" t="s">
        <v>90</v>
      </c>
      <c r="R12" s="2" t="s">
        <v>145</v>
      </c>
      <c r="S12" s="2" t="s">
        <v>383</v>
      </c>
      <c r="T12" s="2" t="s">
        <v>101</v>
      </c>
      <c r="U12" s="2" t="s">
        <v>382</v>
      </c>
      <c r="V12" s="2" t="s">
        <v>384</v>
      </c>
      <c r="W12" s="2" t="s">
        <v>385</v>
      </c>
    </row>
    <row r="13" spans="1:23" ht="29" x14ac:dyDescent="0.35">
      <c r="A13" s="2" t="s">
        <v>15</v>
      </c>
      <c r="B13" s="2" t="s">
        <v>386</v>
      </c>
      <c r="C13" s="2" t="s">
        <v>387</v>
      </c>
      <c r="D13" s="2" t="s">
        <v>388</v>
      </c>
      <c r="E13" s="2" t="s">
        <v>143</v>
      </c>
      <c r="F13" s="2" t="s">
        <v>142</v>
      </c>
      <c r="G13" s="2" t="s">
        <v>144</v>
      </c>
      <c r="H13" s="2" t="s">
        <v>687</v>
      </c>
      <c r="I13" s="2" t="s">
        <v>11</v>
      </c>
      <c r="J13" s="2" t="s">
        <v>82</v>
      </c>
      <c r="K13" s="2" t="s">
        <v>381</v>
      </c>
      <c r="L13" s="2" t="s">
        <v>101</v>
      </c>
      <c r="M13" s="2" t="s">
        <v>382</v>
      </c>
      <c r="N13" s="2" t="s">
        <v>103</v>
      </c>
      <c r="O13" s="2" t="s">
        <v>89</v>
      </c>
      <c r="P13" s="2" t="s">
        <v>89</v>
      </c>
      <c r="Q13" s="2" t="s">
        <v>90</v>
      </c>
      <c r="R13" s="2" t="s">
        <v>145</v>
      </c>
      <c r="S13" s="2" t="s">
        <v>383</v>
      </c>
      <c r="T13" s="2" t="s">
        <v>101</v>
      </c>
      <c r="U13" s="2" t="s">
        <v>382</v>
      </c>
      <c r="V13" s="2" t="s">
        <v>384</v>
      </c>
      <c r="W13" s="2" t="s">
        <v>389</v>
      </c>
    </row>
    <row r="14" spans="1:23" ht="29" x14ac:dyDescent="0.35">
      <c r="A14" s="2" t="s">
        <v>15</v>
      </c>
      <c r="B14" s="2" t="s">
        <v>390</v>
      </c>
      <c r="C14" s="2" t="s">
        <v>391</v>
      </c>
      <c r="D14" s="2" t="s">
        <v>392</v>
      </c>
      <c r="E14" s="2" t="s">
        <v>143</v>
      </c>
      <c r="F14" s="2" t="s">
        <v>79</v>
      </c>
      <c r="G14" s="2" t="s">
        <v>217</v>
      </c>
      <c r="H14" s="2" t="s">
        <v>688</v>
      </c>
      <c r="I14" s="2" t="s">
        <v>11</v>
      </c>
      <c r="J14" s="2" t="s">
        <v>82</v>
      </c>
      <c r="K14" s="2" t="s">
        <v>393</v>
      </c>
      <c r="L14" s="2" t="s">
        <v>394</v>
      </c>
      <c r="M14" s="2" t="s">
        <v>395</v>
      </c>
      <c r="N14" s="2" t="s">
        <v>103</v>
      </c>
      <c r="O14" s="2" t="s">
        <v>396</v>
      </c>
      <c r="P14" s="2" t="s">
        <v>397</v>
      </c>
      <c r="Q14" s="2" t="s">
        <v>90</v>
      </c>
      <c r="R14" s="2" t="s">
        <v>145</v>
      </c>
      <c r="S14" s="2"/>
      <c r="T14" s="2"/>
      <c r="U14" s="2"/>
      <c r="V14" s="2"/>
      <c r="W14" s="2" t="s">
        <v>398</v>
      </c>
    </row>
    <row r="15" spans="1:23" ht="29" x14ac:dyDescent="0.35">
      <c r="A15" s="2" t="s">
        <v>15</v>
      </c>
      <c r="B15" s="2" t="s">
        <v>399</v>
      </c>
      <c r="C15" s="2" t="s">
        <v>400</v>
      </c>
      <c r="D15" s="2" t="s">
        <v>401</v>
      </c>
      <c r="E15" s="2" t="s">
        <v>143</v>
      </c>
      <c r="F15" s="2" t="s">
        <v>142</v>
      </c>
      <c r="G15" s="2" t="s">
        <v>95</v>
      </c>
      <c r="H15" s="2" t="s">
        <v>683</v>
      </c>
      <c r="I15" s="2" t="s">
        <v>11</v>
      </c>
      <c r="J15" s="2" t="s">
        <v>82</v>
      </c>
      <c r="K15" s="2" t="s">
        <v>402</v>
      </c>
      <c r="L15" s="2" t="s">
        <v>403</v>
      </c>
      <c r="M15" s="2" t="s">
        <v>121</v>
      </c>
      <c r="N15" s="2" t="s">
        <v>103</v>
      </c>
      <c r="O15" s="2"/>
      <c r="P15" s="2"/>
      <c r="Q15" s="2" t="s">
        <v>90</v>
      </c>
      <c r="R15" s="2" t="s">
        <v>145</v>
      </c>
      <c r="S15" s="2"/>
      <c r="T15" s="2"/>
      <c r="U15" s="2"/>
      <c r="V15" s="2"/>
      <c r="W15" s="2" t="s">
        <v>404</v>
      </c>
    </row>
    <row r="16" spans="1:23" ht="29" x14ac:dyDescent="0.35">
      <c r="A16" s="2" t="s">
        <v>15</v>
      </c>
      <c r="B16" s="2" t="s">
        <v>405</v>
      </c>
      <c r="C16" s="2" t="s">
        <v>406</v>
      </c>
      <c r="D16" s="2" t="s">
        <v>407</v>
      </c>
      <c r="E16" s="2" t="s">
        <v>143</v>
      </c>
      <c r="F16" s="2" t="s">
        <v>142</v>
      </c>
      <c r="G16" s="2" t="s">
        <v>95</v>
      </c>
      <c r="H16" s="2" t="s">
        <v>683</v>
      </c>
      <c r="I16" s="2" t="s">
        <v>8</v>
      </c>
      <c r="J16" s="2" t="s">
        <v>82</v>
      </c>
      <c r="K16" s="2"/>
      <c r="L16" s="2"/>
      <c r="M16" s="2"/>
      <c r="N16" s="2"/>
      <c r="O16" s="2"/>
      <c r="P16" s="2"/>
      <c r="Q16" s="2" t="s">
        <v>90</v>
      </c>
      <c r="R16" s="2" t="s">
        <v>145</v>
      </c>
      <c r="S16" s="2"/>
      <c r="T16" s="2"/>
      <c r="U16" s="2"/>
      <c r="V16" s="2"/>
      <c r="W16" s="2" t="s">
        <v>408</v>
      </c>
    </row>
    <row r="17" spans="1:23" ht="29" x14ac:dyDescent="0.35">
      <c r="A17" s="2" t="s">
        <v>15</v>
      </c>
      <c r="B17" s="2" t="s">
        <v>409</v>
      </c>
      <c r="C17" s="2" t="s">
        <v>410</v>
      </c>
      <c r="D17" s="2"/>
      <c r="E17" s="2" t="s">
        <v>143</v>
      </c>
      <c r="F17" s="2" t="s">
        <v>142</v>
      </c>
      <c r="G17" s="2" t="s">
        <v>81</v>
      </c>
      <c r="H17" s="2" t="s">
        <v>689</v>
      </c>
      <c r="I17" s="2" t="s">
        <v>8</v>
      </c>
      <c r="J17" s="2" t="s">
        <v>82</v>
      </c>
      <c r="K17" s="2" t="s">
        <v>411</v>
      </c>
      <c r="L17" s="2" t="s">
        <v>412</v>
      </c>
      <c r="M17" s="2" t="s">
        <v>413</v>
      </c>
      <c r="N17" s="2"/>
      <c r="O17" s="2" t="s">
        <v>414</v>
      </c>
      <c r="P17" s="2" t="s">
        <v>415</v>
      </c>
      <c r="Q17" s="2" t="s">
        <v>90</v>
      </c>
      <c r="R17" s="2" t="s">
        <v>145</v>
      </c>
      <c r="S17" s="2"/>
      <c r="T17" s="2"/>
      <c r="U17" s="2"/>
      <c r="V17" s="2"/>
      <c r="W17" s="2" t="s">
        <v>418</v>
      </c>
    </row>
    <row r="18" spans="1:23" ht="29" x14ac:dyDescent="0.35">
      <c r="A18" s="2" t="s">
        <v>15</v>
      </c>
      <c r="B18" s="2" t="s">
        <v>419</v>
      </c>
      <c r="C18" s="2" t="s">
        <v>420</v>
      </c>
      <c r="D18" s="2"/>
      <c r="E18" s="2" t="s">
        <v>143</v>
      </c>
      <c r="F18" s="2" t="s">
        <v>142</v>
      </c>
      <c r="G18" s="2" t="s">
        <v>81</v>
      </c>
      <c r="H18" s="2" t="s">
        <v>689</v>
      </c>
      <c r="I18" s="2" t="s">
        <v>11</v>
      </c>
      <c r="J18" s="2" t="s">
        <v>82</v>
      </c>
      <c r="K18" s="2" t="s">
        <v>421</v>
      </c>
      <c r="L18" s="2" t="s">
        <v>422</v>
      </c>
      <c r="M18" s="2" t="s">
        <v>423</v>
      </c>
      <c r="N18" s="2"/>
      <c r="O18" s="2" t="s">
        <v>424</v>
      </c>
      <c r="P18" s="2" t="s">
        <v>424</v>
      </c>
      <c r="Q18" s="2" t="s">
        <v>90</v>
      </c>
      <c r="R18" s="2" t="s">
        <v>145</v>
      </c>
      <c r="S18" s="2"/>
      <c r="T18" s="2"/>
      <c r="U18" s="2"/>
      <c r="V18" s="2"/>
      <c r="W18" s="2" t="s">
        <v>427</v>
      </c>
    </row>
    <row r="19" spans="1:23" ht="29" x14ac:dyDescent="0.35">
      <c r="A19" s="2" t="s">
        <v>15</v>
      </c>
      <c r="B19" s="2" t="s">
        <v>428</v>
      </c>
      <c r="C19" s="2" t="s">
        <v>429</v>
      </c>
      <c r="D19" s="2"/>
      <c r="E19" s="2" t="s">
        <v>143</v>
      </c>
      <c r="F19" s="2" t="s">
        <v>142</v>
      </c>
      <c r="G19" s="2" t="s">
        <v>81</v>
      </c>
      <c r="H19" s="2" t="s">
        <v>689</v>
      </c>
      <c r="I19" s="2" t="s">
        <v>11</v>
      </c>
      <c r="J19" s="2" t="s">
        <v>82</v>
      </c>
      <c r="K19" s="2" t="s">
        <v>430</v>
      </c>
      <c r="L19" s="2" t="s">
        <v>133</v>
      </c>
      <c r="M19" s="2"/>
      <c r="N19" s="2"/>
      <c r="O19" s="2" t="s">
        <v>89</v>
      </c>
      <c r="P19" s="2" t="s">
        <v>89</v>
      </c>
      <c r="Q19" s="2" t="s">
        <v>90</v>
      </c>
      <c r="R19" s="2" t="s">
        <v>145</v>
      </c>
      <c r="S19" s="2"/>
      <c r="T19" s="2"/>
      <c r="U19" s="2"/>
      <c r="V19" s="2"/>
      <c r="W19" s="2" t="s">
        <v>432</v>
      </c>
    </row>
    <row r="20" spans="1:23" ht="29" x14ac:dyDescent="0.35">
      <c r="A20" s="2" t="s">
        <v>15</v>
      </c>
      <c r="B20" s="2" t="s">
        <v>433</v>
      </c>
      <c r="C20" s="2" t="s">
        <v>434</v>
      </c>
      <c r="D20" s="2"/>
      <c r="E20" s="2" t="s">
        <v>143</v>
      </c>
      <c r="F20" s="2" t="s">
        <v>142</v>
      </c>
      <c r="G20" s="2" t="s">
        <v>81</v>
      </c>
      <c r="H20" s="2" t="s">
        <v>690</v>
      </c>
      <c r="I20" s="2" t="s">
        <v>17</v>
      </c>
      <c r="J20" s="2" t="s">
        <v>82</v>
      </c>
      <c r="K20" s="2" t="s">
        <v>421</v>
      </c>
      <c r="L20" s="2" t="s">
        <v>422</v>
      </c>
      <c r="M20" s="2" t="s">
        <v>423</v>
      </c>
      <c r="N20" s="2"/>
      <c r="O20" s="2" t="s">
        <v>424</v>
      </c>
      <c r="P20" s="2" t="s">
        <v>424</v>
      </c>
      <c r="Q20" s="2" t="s">
        <v>90</v>
      </c>
      <c r="R20" s="2" t="s">
        <v>145</v>
      </c>
      <c r="S20" s="2"/>
      <c r="T20" s="2"/>
      <c r="U20" s="2"/>
      <c r="V20" s="2"/>
      <c r="W20" s="2" t="s">
        <v>435</v>
      </c>
    </row>
    <row r="21" spans="1:23" ht="29" x14ac:dyDescent="0.35">
      <c r="A21" s="2" t="s">
        <v>15</v>
      </c>
      <c r="B21" s="2" t="s">
        <v>436</v>
      </c>
      <c r="C21" s="2" t="s">
        <v>437</v>
      </c>
      <c r="D21" s="2"/>
      <c r="E21" s="2" t="s">
        <v>143</v>
      </c>
      <c r="F21" s="2" t="s">
        <v>142</v>
      </c>
      <c r="G21" s="2" t="s">
        <v>81</v>
      </c>
      <c r="H21" s="2" t="s">
        <v>690</v>
      </c>
      <c r="I21" s="2" t="s">
        <v>8</v>
      </c>
      <c r="J21" s="2" t="s">
        <v>82</v>
      </c>
      <c r="K21" s="2" t="s">
        <v>421</v>
      </c>
      <c r="L21" s="2" t="s">
        <v>422</v>
      </c>
      <c r="M21" s="2" t="s">
        <v>423</v>
      </c>
      <c r="N21" s="2"/>
      <c r="O21" s="2" t="s">
        <v>424</v>
      </c>
      <c r="P21" s="2" t="s">
        <v>424</v>
      </c>
      <c r="Q21" s="2" t="s">
        <v>90</v>
      </c>
      <c r="R21" s="2" t="s">
        <v>145</v>
      </c>
      <c r="S21" s="2"/>
      <c r="T21" s="2"/>
      <c r="U21" s="2"/>
      <c r="V21" s="2"/>
      <c r="W21" s="2" t="s">
        <v>438</v>
      </c>
    </row>
  </sheetData>
  <conditionalFormatting sqref="I2:I21">
    <cfRule type="expression" dxfId="7" priority="1">
      <formula>I2="NORMAL"</formula>
    </cfRule>
    <cfRule type="expression" dxfId="6" priority="2">
      <formula>I2="PREWARNING"</formula>
    </cfRule>
    <cfRule type="expression" dxfId="5" priority="3">
      <formula>I2="WARNING"</formula>
    </cfRule>
    <cfRule type="expression" dxfId="4" priority="4">
      <formula>I2="ALARM"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32" customWidth="1"/>
    <col min="4" max="6" width="24" customWidth="1"/>
    <col min="7" max="9" width="16" customWidth="1"/>
    <col min="10" max="23" width="18" customWidth="1"/>
  </cols>
  <sheetData>
    <row r="1" spans="1:23" ht="29" x14ac:dyDescent="0.35">
      <c r="A1" s="5" t="s">
        <v>672</v>
      </c>
      <c r="B1" s="5" t="s">
        <v>30</v>
      </c>
      <c r="C1" s="5" t="s">
        <v>31</v>
      </c>
      <c r="D1" s="5" t="s">
        <v>32</v>
      </c>
      <c r="E1" s="5" t="s">
        <v>673</v>
      </c>
      <c r="F1" s="5" t="s">
        <v>674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48</v>
      </c>
      <c r="R1" s="5" t="s">
        <v>40</v>
      </c>
      <c r="S1" s="5" t="s">
        <v>58</v>
      </c>
      <c r="T1" s="5" t="s">
        <v>60</v>
      </c>
      <c r="U1" s="5" t="s">
        <v>61</v>
      </c>
      <c r="V1" s="5" t="s">
        <v>62</v>
      </c>
      <c r="W1" s="5" t="s">
        <v>73</v>
      </c>
    </row>
    <row r="2" spans="1:23" ht="29" x14ac:dyDescent="0.35">
      <c r="A2" s="2" t="s">
        <v>18</v>
      </c>
      <c r="B2" s="2" t="s">
        <v>439</v>
      </c>
      <c r="C2" s="2" t="s">
        <v>440</v>
      </c>
      <c r="D2" s="2" t="s">
        <v>441</v>
      </c>
      <c r="E2" s="2" t="s">
        <v>444</v>
      </c>
      <c r="F2" s="2" t="s">
        <v>443</v>
      </c>
      <c r="G2" s="2" t="s">
        <v>217</v>
      </c>
      <c r="H2" s="2" t="s">
        <v>688</v>
      </c>
      <c r="I2" s="2" t="s">
        <v>11</v>
      </c>
      <c r="J2" s="2" t="s">
        <v>82</v>
      </c>
      <c r="K2" s="2" t="s">
        <v>445</v>
      </c>
      <c r="L2" s="2" t="s">
        <v>446</v>
      </c>
      <c r="M2" s="2" t="s">
        <v>447</v>
      </c>
      <c r="N2" s="2" t="s">
        <v>103</v>
      </c>
      <c r="O2" s="2" t="s">
        <v>89</v>
      </c>
      <c r="P2" s="2" t="s">
        <v>89</v>
      </c>
      <c r="Q2" s="2" t="s">
        <v>90</v>
      </c>
      <c r="R2" s="2" t="s">
        <v>145</v>
      </c>
      <c r="S2" s="2" t="s">
        <v>448</v>
      </c>
      <c r="T2" s="2" t="s">
        <v>89</v>
      </c>
      <c r="U2" s="2" t="s">
        <v>447</v>
      </c>
      <c r="V2" s="2" t="s">
        <v>449</v>
      </c>
      <c r="W2" s="2" t="s">
        <v>450</v>
      </c>
    </row>
    <row r="3" spans="1:23" ht="29" x14ac:dyDescent="0.35">
      <c r="A3" s="2" t="s">
        <v>18</v>
      </c>
      <c r="B3" s="2" t="s">
        <v>451</v>
      </c>
      <c r="C3" s="2" t="s">
        <v>452</v>
      </c>
      <c r="D3" s="2" t="s">
        <v>453</v>
      </c>
      <c r="E3" s="2" t="s">
        <v>444</v>
      </c>
      <c r="F3" s="2" t="s">
        <v>443</v>
      </c>
      <c r="G3" s="2" t="s">
        <v>144</v>
      </c>
      <c r="H3" s="2" t="s">
        <v>691</v>
      </c>
      <c r="I3" s="2" t="s">
        <v>11</v>
      </c>
      <c r="J3" s="2" t="s">
        <v>82</v>
      </c>
      <c r="K3" s="2" t="s">
        <v>445</v>
      </c>
      <c r="L3" s="2" t="s">
        <v>446</v>
      </c>
      <c r="M3" s="2" t="s">
        <v>447</v>
      </c>
      <c r="N3" s="2" t="s">
        <v>103</v>
      </c>
      <c r="O3" s="2" t="s">
        <v>89</v>
      </c>
      <c r="P3" s="2" t="s">
        <v>89</v>
      </c>
      <c r="Q3" s="2" t="s">
        <v>90</v>
      </c>
      <c r="R3" s="2" t="s">
        <v>454</v>
      </c>
      <c r="S3" s="2" t="s">
        <v>448</v>
      </c>
      <c r="T3" s="2" t="s">
        <v>89</v>
      </c>
      <c r="U3" s="2" t="s">
        <v>447</v>
      </c>
      <c r="V3" s="2" t="s">
        <v>449</v>
      </c>
      <c r="W3" s="2" t="s">
        <v>455</v>
      </c>
    </row>
    <row r="4" spans="1:23" ht="29" x14ac:dyDescent="0.35">
      <c r="A4" s="2" t="s">
        <v>18</v>
      </c>
      <c r="B4" s="2" t="s">
        <v>456</v>
      </c>
      <c r="C4" s="2" t="s">
        <v>457</v>
      </c>
      <c r="D4" s="2" t="s">
        <v>458</v>
      </c>
      <c r="E4" s="2" t="s">
        <v>444</v>
      </c>
      <c r="F4" s="2" t="s">
        <v>443</v>
      </c>
      <c r="G4" s="2" t="s">
        <v>217</v>
      </c>
      <c r="H4" s="2" t="s">
        <v>692</v>
      </c>
      <c r="I4" s="2" t="s">
        <v>11</v>
      </c>
      <c r="J4" s="2" t="s">
        <v>82</v>
      </c>
      <c r="K4" s="2" t="s">
        <v>459</v>
      </c>
      <c r="L4" s="2" t="s">
        <v>460</v>
      </c>
      <c r="M4" s="2" t="s">
        <v>347</v>
      </c>
      <c r="N4" s="2" t="s">
        <v>103</v>
      </c>
      <c r="O4" s="2" t="s">
        <v>89</v>
      </c>
      <c r="P4" s="2" t="s">
        <v>89</v>
      </c>
      <c r="Q4" s="2" t="s">
        <v>90</v>
      </c>
      <c r="R4" s="2" t="s">
        <v>454</v>
      </c>
      <c r="S4" s="2" t="s">
        <v>461</v>
      </c>
      <c r="T4" s="2" t="s">
        <v>89</v>
      </c>
      <c r="U4" s="2" t="s">
        <v>347</v>
      </c>
      <c r="V4" s="2" t="s">
        <v>449</v>
      </c>
      <c r="W4" s="2" t="s">
        <v>462</v>
      </c>
    </row>
    <row r="5" spans="1:23" ht="29" x14ac:dyDescent="0.35">
      <c r="A5" s="2" t="s">
        <v>18</v>
      </c>
      <c r="B5" s="2" t="s">
        <v>463</v>
      </c>
      <c r="C5" s="2" t="s">
        <v>464</v>
      </c>
      <c r="D5" s="2" t="s">
        <v>465</v>
      </c>
      <c r="E5" s="2" t="s">
        <v>444</v>
      </c>
      <c r="F5" s="2" t="s">
        <v>443</v>
      </c>
      <c r="G5" s="2" t="s">
        <v>144</v>
      </c>
      <c r="H5" s="2" t="s">
        <v>693</v>
      </c>
      <c r="I5" s="2" t="s">
        <v>8</v>
      </c>
      <c r="J5" s="2" t="s">
        <v>82</v>
      </c>
      <c r="K5" s="2" t="s">
        <v>459</v>
      </c>
      <c r="L5" s="2" t="s">
        <v>460</v>
      </c>
      <c r="M5" s="2" t="s">
        <v>347</v>
      </c>
      <c r="N5" s="2" t="s">
        <v>103</v>
      </c>
      <c r="O5" s="2" t="s">
        <v>89</v>
      </c>
      <c r="P5" s="2" t="s">
        <v>89</v>
      </c>
      <c r="Q5" s="2" t="s">
        <v>90</v>
      </c>
      <c r="R5" s="2" t="s">
        <v>145</v>
      </c>
      <c r="S5" s="2" t="s">
        <v>461</v>
      </c>
      <c r="T5" s="2" t="s">
        <v>89</v>
      </c>
      <c r="U5" s="2" t="s">
        <v>347</v>
      </c>
      <c r="V5" s="2" t="s">
        <v>449</v>
      </c>
      <c r="W5" s="2" t="s">
        <v>466</v>
      </c>
    </row>
    <row r="6" spans="1:23" ht="29" x14ac:dyDescent="0.35">
      <c r="A6" s="2" t="s">
        <v>18</v>
      </c>
      <c r="B6" s="2" t="s">
        <v>467</v>
      </c>
      <c r="C6" s="2" t="s">
        <v>468</v>
      </c>
      <c r="D6" s="2" t="s">
        <v>469</v>
      </c>
      <c r="E6" s="2" t="s">
        <v>444</v>
      </c>
      <c r="F6" s="2" t="s">
        <v>443</v>
      </c>
      <c r="G6" s="2" t="s">
        <v>217</v>
      </c>
      <c r="H6" s="2" t="s">
        <v>692</v>
      </c>
      <c r="I6" s="2" t="s">
        <v>11</v>
      </c>
      <c r="J6" s="2" t="s">
        <v>82</v>
      </c>
      <c r="K6" s="2" t="s">
        <v>470</v>
      </c>
      <c r="L6" s="2" t="s">
        <v>471</v>
      </c>
      <c r="M6" s="2" t="s">
        <v>472</v>
      </c>
      <c r="N6" s="2" t="s">
        <v>103</v>
      </c>
      <c r="O6" s="2" t="s">
        <v>89</v>
      </c>
      <c r="P6" s="2" t="s">
        <v>89</v>
      </c>
      <c r="Q6" s="2" t="s">
        <v>90</v>
      </c>
      <c r="R6" s="2" t="s">
        <v>145</v>
      </c>
      <c r="S6" s="2" t="s">
        <v>473</v>
      </c>
      <c r="T6" s="2" t="s">
        <v>89</v>
      </c>
      <c r="U6" s="2" t="s">
        <v>447</v>
      </c>
      <c r="V6" s="2" t="s">
        <v>449</v>
      </c>
      <c r="W6" s="2" t="s">
        <v>474</v>
      </c>
    </row>
    <row r="7" spans="1:23" ht="29" x14ac:dyDescent="0.35">
      <c r="A7" s="2" t="s">
        <v>18</v>
      </c>
      <c r="B7" s="2" t="s">
        <v>475</v>
      </c>
      <c r="C7" s="2" t="s">
        <v>476</v>
      </c>
      <c r="D7" s="2" t="s">
        <v>477</v>
      </c>
      <c r="E7" s="2" t="s">
        <v>444</v>
      </c>
      <c r="F7" s="2" t="s">
        <v>443</v>
      </c>
      <c r="G7" s="2" t="s">
        <v>144</v>
      </c>
      <c r="H7" s="2" t="s">
        <v>693</v>
      </c>
      <c r="I7" s="2" t="s">
        <v>11</v>
      </c>
      <c r="J7" s="2" t="s">
        <v>82</v>
      </c>
      <c r="K7" s="2" t="s">
        <v>470</v>
      </c>
      <c r="L7" s="2" t="s">
        <v>471</v>
      </c>
      <c r="M7" s="2" t="s">
        <v>472</v>
      </c>
      <c r="N7" s="2" t="s">
        <v>103</v>
      </c>
      <c r="O7" s="2" t="s">
        <v>89</v>
      </c>
      <c r="P7" s="2" t="s">
        <v>89</v>
      </c>
      <c r="Q7" s="2" t="s">
        <v>90</v>
      </c>
      <c r="R7" s="2" t="s">
        <v>145</v>
      </c>
      <c r="S7" s="2" t="s">
        <v>473</v>
      </c>
      <c r="T7" s="2" t="s">
        <v>89</v>
      </c>
      <c r="U7" s="2" t="s">
        <v>447</v>
      </c>
      <c r="V7" s="2" t="s">
        <v>449</v>
      </c>
      <c r="W7" s="2" t="s">
        <v>478</v>
      </c>
    </row>
    <row r="8" spans="1:23" ht="29" x14ac:dyDescent="0.35">
      <c r="A8" s="2" t="s">
        <v>18</v>
      </c>
      <c r="B8" s="2" t="s">
        <v>479</v>
      </c>
      <c r="C8" s="2" t="s">
        <v>480</v>
      </c>
      <c r="D8" s="2" t="s">
        <v>481</v>
      </c>
      <c r="E8" s="2" t="s">
        <v>444</v>
      </c>
      <c r="F8" s="2" t="s">
        <v>443</v>
      </c>
      <c r="G8" s="2" t="s">
        <v>217</v>
      </c>
      <c r="H8" s="2" t="s">
        <v>692</v>
      </c>
      <c r="I8" s="2" t="s">
        <v>11</v>
      </c>
      <c r="J8" s="2" t="s">
        <v>82</v>
      </c>
      <c r="K8" s="2"/>
      <c r="L8" s="2" t="s">
        <v>482</v>
      </c>
      <c r="M8" s="2" t="s">
        <v>483</v>
      </c>
      <c r="N8" s="2" t="s">
        <v>103</v>
      </c>
      <c r="O8" s="2" t="s">
        <v>89</v>
      </c>
      <c r="P8" s="2" t="s">
        <v>89</v>
      </c>
      <c r="Q8" s="2" t="s">
        <v>90</v>
      </c>
      <c r="R8" s="2" t="s">
        <v>145</v>
      </c>
      <c r="S8" s="2" t="s">
        <v>89</v>
      </c>
      <c r="T8" s="2" t="s">
        <v>89</v>
      </c>
      <c r="U8" s="2" t="s">
        <v>89</v>
      </c>
      <c r="V8" s="2" t="s">
        <v>89</v>
      </c>
      <c r="W8" s="2" t="s">
        <v>484</v>
      </c>
    </row>
    <row r="9" spans="1:23" ht="29" x14ac:dyDescent="0.35">
      <c r="A9" s="2" t="s">
        <v>18</v>
      </c>
      <c r="B9" s="2" t="s">
        <v>485</v>
      </c>
      <c r="C9" s="2" t="s">
        <v>486</v>
      </c>
      <c r="D9" s="2" t="s">
        <v>487</v>
      </c>
      <c r="E9" s="2" t="s">
        <v>444</v>
      </c>
      <c r="F9" s="2" t="s">
        <v>443</v>
      </c>
      <c r="G9" s="2" t="s">
        <v>144</v>
      </c>
      <c r="H9" s="2" t="s">
        <v>693</v>
      </c>
      <c r="I9" s="2" t="s">
        <v>11</v>
      </c>
      <c r="J9" s="2" t="s">
        <v>82</v>
      </c>
      <c r="K9" s="2"/>
      <c r="L9" s="2" t="s">
        <v>482</v>
      </c>
      <c r="M9" s="2" t="s">
        <v>483</v>
      </c>
      <c r="N9" s="2" t="s">
        <v>103</v>
      </c>
      <c r="O9" s="2" t="s">
        <v>89</v>
      </c>
      <c r="P9" s="2" t="s">
        <v>89</v>
      </c>
      <c r="Q9" s="2" t="s">
        <v>90</v>
      </c>
      <c r="R9" s="2" t="s">
        <v>145</v>
      </c>
      <c r="S9" s="2" t="s">
        <v>89</v>
      </c>
      <c r="T9" s="2" t="s">
        <v>89</v>
      </c>
      <c r="U9" s="2" t="s">
        <v>89</v>
      </c>
      <c r="V9" s="2" t="s">
        <v>89</v>
      </c>
      <c r="W9" s="2" t="s">
        <v>488</v>
      </c>
    </row>
    <row r="10" spans="1:23" ht="29" x14ac:dyDescent="0.35">
      <c r="A10" s="2" t="s">
        <v>18</v>
      </c>
      <c r="B10" s="2" t="s">
        <v>489</v>
      </c>
      <c r="C10" s="2" t="s">
        <v>490</v>
      </c>
      <c r="D10" s="2" t="s">
        <v>491</v>
      </c>
      <c r="E10" s="2" t="s">
        <v>444</v>
      </c>
      <c r="F10" s="2" t="s">
        <v>443</v>
      </c>
      <c r="G10" s="2" t="s">
        <v>217</v>
      </c>
      <c r="H10" s="2" t="s">
        <v>692</v>
      </c>
      <c r="I10" s="2" t="s">
        <v>11</v>
      </c>
      <c r="J10" s="2" t="s">
        <v>82</v>
      </c>
      <c r="K10" s="2"/>
      <c r="L10" s="2" t="s">
        <v>446</v>
      </c>
      <c r="M10" s="2" t="s">
        <v>493</v>
      </c>
      <c r="N10" s="2" t="s">
        <v>103</v>
      </c>
      <c r="O10" s="2" t="s">
        <v>89</v>
      </c>
      <c r="P10" s="2" t="s">
        <v>89</v>
      </c>
      <c r="Q10" s="2" t="s">
        <v>90</v>
      </c>
      <c r="R10" s="2" t="s">
        <v>145</v>
      </c>
      <c r="S10" s="2" t="s">
        <v>89</v>
      </c>
      <c r="T10" s="2" t="s">
        <v>89</v>
      </c>
      <c r="U10" s="2" t="s">
        <v>89</v>
      </c>
      <c r="V10" s="2" t="s">
        <v>89</v>
      </c>
      <c r="W10" s="2" t="s">
        <v>494</v>
      </c>
    </row>
    <row r="11" spans="1:23" ht="29" x14ac:dyDescent="0.35">
      <c r="A11" s="2" t="s">
        <v>18</v>
      </c>
      <c r="B11" s="2" t="s">
        <v>495</v>
      </c>
      <c r="C11" s="2" t="s">
        <v>496</v>
      </c>
      <c r="D11" s="2" t="s">
        <v>497</v>
      </c>
      <c r="E11" s="2" t="s">
        <v>444</v>
      </c>
      <c r="F11" s="2" t="s">
        <v>443</v>
      </c>
      <c r="G11" s="2" t="s">
        <v>144</v>
      </c>
      <c r="H11" s="2" t="s">
        <v>693</v>
      </c>
      <c r="I11" s="2" t="s">
        <v>8</v>
      </c>
      <c r="J11" s="2" t="s">
        <v>82</v>
      </c>
      <c r="K11" s="2"/>
      <c r="L11" s="2" t="s">
        <v>446</v>
      </c>
      <c r="M11" s="2" t="s">
        <v>493</v>
      </c>
      <c r="N11" s="2" t="s">
        <v>103</v>
      </c>
      <c r="O11" s="2" t="s">
        <v>89</v>
      </c>
      <c r="P11" s="2" t="s">
        <v>89</v>
      </c>
      <c r="Q11" s="2" t="s">
        <v>90</v>
      </c>
      <c r="R11" s="2" t="s">
        <v>145</v>
      </c>
      <c r="S11" s="2" t="s">
        <v>89</v>
      </c>
      <c r="T11" s="2" t="s">
        <v>89</v>
      </c>
      <c r="U11" s="2" t="s">
        <v>89</v>
      </c>
      <c r="V11" s="2" t="s">
        <v>89</v>
      </c>
      <c r="W11" s="2" t="s">
        <v>498</v>
      </c>
    </row>
    <row r="12" spans="1:23" ht="29" x14ac:dyDescent="0.35">
      <c r="A12" s="2" t="s">
        <v>18</v>
      </c>
      <c r="B12" s="2" t="s">
        <v>499</v>
      </c>
      <c r="C12" s="2" t="s">
        <v>500</v>
      </c>
      <c r="D12" s="2" t="s">
        <v>497</v>
      </c>
      <c r="E12" s="2" t="s">
        <v>502</v>
      </c>
      <c r="F12" s="2" t="s">
        <v>443</v>
      </c>
      <c r="G12" s="2" t="s">
        <v>217</v>
      </c>
      <c r="H12" s="2" t="s">
        <v>688</v>
      </c>
      <c r="I12" s="2" t="s">
        <v>11</v>
      </c>
      <c r="J12" s="2" t="s">
        <v>82</v>
      </c>
      <c r="K12" s="2" t="s">
        <v>503</v>
      </c>
      <c r="L12" s="2" t="s">
        <v>482</v>
      </c>
      <c r="M12" s="2" t="s">
        <v>483</v>
      </c>
      <c r="N12" s="2"/>
      <c r="O12" s="2" t="s">
        <v>89</v>
      </c>
      <c r="P12" s="2" t="s">
        <v>89</v>
      </c>
      <c r="Q12" s="2" t="s">
        <v>504</v>
      </c>
      <c r="R12" s="2"/>
      <c r="S12" s="2" t="s">
        <v>89</v>
      </c>
      <c r="T12" s="2" t="s">
        <v>89</v>
      </c>
      <c r="U12" s="2" t="s">
        <v>89</v>
      </c>
      <c r="V12" s="2" t="s">
        <v>89</v>
      </c>
      <c r="W12" s="2" t="s">
        <v>505</v>
      </c>
    </row>
    <row r="13" spans="1:23" ht="29" x14ac:dyDescent="0.35">
      <c r="A13" s="2" t="s">
        <v>18</v>
      </c>
      <c r="B13" s="2" t="s">
        <v>506</v>
      </c>
      <c r="C13" s="2" t="s">
        <v>507</v>
      </c>
      <c r="D13" s="2" t="s">
        <v>508</v>
      </c>
      <c r="E13" s="2" t="s">
        <v>502</v>
      </c>
      <c r="F13" s="2" t="s">
        <v>443</v>
      </c>
      <c r="G13" s="2" t="s">
        <v>144</v>
      </c>
      <c r="H13" s="2" t="s">
        <v>691</v>
      </c>
      <c r="I13" s="2" t="s">
        <v>11</v>
      </c>
      <c r="J13" s="2" t="s">
        <v>82</v>
      </c>
      <c r="K13" s="2" t="s">
        <v>503</v>
      </c>
      <c r="L13" s="2" t="s">
        <v>482</v>
      </c>
      <c r="M13" s="2" t="s">
        <v>483</v>
      </c>
      <c r="N13" s="2"/>
      <c r="O13" s="2" t="s">
        <v>89</v>
      </c>
      <c r="P13" s="2" t="s">
        <v>89</v>
      </c>
      <c r="Q13" s="2" t="s">
        <v>504</v>
      </c>
      <c r="R13" s="2"/>
      <c r="S13" s="2" t="s">
        <v>89</v>
      </c>
      <c r="T13" s="2" t="s">
        <v>89</v>
      </c>
      <c r="U13" s="2" t="s">
        <v>89</v>
      </c>
      <c r="V13" s="2" t="s">
        <v>89</v>
      </c>
      <c r="W13" s="2" t="s">
        <v>509</v>
      </c>
    </row>
    <row r="14" spans="1:23" ht="29" x14ac:dyDescent="0.35">
      <c r="A14" s="2" t="s">
        <v>18</v>
      </c>
      <c r="B14" s="2" t="s">
        <v>510</v>
      </c>
      <c r="C14" s="2" t="s">
        <v>511</v>
      </c>
      <c r="D14" s="2" t="s">
        <v>512</v>
      </c>
      <c r="E14" s="2" t="s">
        <v>513</v>
      </c>
      <c r="F14" s="2" t="s">
        <v>443</v>
      </c>
      <c r="G14" s="2" t="s">
        <v>217</v>
      </c>
      <c r="H14" s="2" t="s">
        <v>688</v>
      </c>
      <c r="I14" s="2" t="s">
        <v>14</v>
      </c>
      <c r="J14" s="2" t="s">
        <v>82</v>
      </c>
      <c r="K14" s="2" t="s">
        <v>515</v>
      </c>
      <c r="L14" s="2" t="s">
        <v>516</v>
      </c>
      <c r="M14" s="2" t="s">
        <v>517</v>
      </c>
      <c r="N14" s="2" t="s">
        <v>103</v>
      </c>
      <c r="O14" s="2"/>
      <c r="P14" s="2"/>
      <c r="Q14" s="2" t="s">
        <v>90</v>
      </c>
      <c r="R14" s="2" t="s">
        <v>514</v>
      </c>
      <c r="S14" s="2" t="s">
        <v>89</v>
      </c>
      <c r="T14" s="2" t="s">
        <v>89</v>
      </c>
      <c r="U14" s="2" t="s">
        <v>89</v>
      </c>
      <c r="V14" s="2" t="s">
        <v>89</v>
      </c>
      <c r="W14" s="2" t="s">
        <v>518</v>
      </c>
    </row>
    <row r="15" spans="1:23" ht="29" x14ac:dyDescent="0.35">
      <c r="A15" s="2" t="s">
        <v>18</v>
      </c>
      <c r="B15" s="2" t="s">
        <v>519</v>
      </c>
      <c r="C15" s="2" t="s">
        <v>520</v>
      </c>
      <c r="D15" s="2" t="s">
        <v>521</v>
      </c>
      <c r="E15" s="2" t="s">
        <v>513</v>
      </c>
      <c r="F15" s="2" t="s">
        <v>443</v>
      </c>
      <c r="G15" s="2" t="s">
        <v>144</v>
      </c>
      <c r="H15" s="2" t="s">
        <v>691</v>
      </c>
      <c r="I15" s="2" t="s">
        <v>8</v>
      </c>
      <c r="J15" s="2" t="s">
        <v>82</v>
      </c>
      <c r="K15" s="2" t="s">
        <v>515</v>
      </c>
      <c r="L15" s="2" t="s">
        <v>516</v>
      </c>
      <c r="M15" s="2" t="s">
        <v>517</v>
      </c>
      <c r="N15" s="2" t="s">
        <v>103</v>
      </c>
      <c r="O15" s="2"/>
      <c r="P15" s="2"/>
      <c r="Q15" s="2" t="s">
        <v>90</v>
      </c>
      <c r="R15" s="2" t="s">
        <v>514</v>
      </c>
      <c r="S15" s="2" t="s">
        <v>89</v>
      </c>
      <c r="T15" s="2" t="s">
        <v>89</v>
      </c>
      <c r="U15" s="2" t="s">
        <v>89</v>
      </c>
      <c r="V15" s="2" t="s">
        <v>89</v>
      </c>
      <c r="W15" s="2" t="s">
        <v>522</v>
      </c>
    </row>
  </sheetData>
  <conditionalFormatting sqref="I2:I15">
    <cfRule type="expression" dxfId="3" priority="1">
      <formula>I2="NORMAL"</formula>
    </cfRule>
    <cfRule type="expression" dxfId="2" priority="2">
      <formula>I2="PREWARNING"</formula>
    </cfRule>
    <cfRule type="expression" dxfId="1" priority="3">
      <formula>I2="WARNING"</formula>
    </cfRule>
    <cfRule type="expression" dxfId="0" priority="4">
      <formula>I2="ALARM"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Asset_Master</vt:lpstr>
      <vt:lpstr>Report_Records</vt:lpstr>
      <vt:lpstr>Data_Quality</vt:lpstr>
      <vt:lpstr>Field_Dictionary</vt:lpstr>
      <vt:lpstr>UNIT_1</vt:lpstr>
      <vt:lpstr>UNIT_2</vt:lpstr>
      <vt:lpstr>UNIT_3</vt:lpstr>
      <vt:lpstr>COMMON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2026-09-12T22:59:44Z</dcterms:modified>
</cp:coreProperties>
</file>