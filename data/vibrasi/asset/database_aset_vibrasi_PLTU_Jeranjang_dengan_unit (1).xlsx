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076cd5af204e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d70449c6ff548e0"/>
    <x:sheet xmlns:r="http://schemas.openxmlformats.org/officeDocument/2006/relationships" name="Asset_Master" sheetId="2" r:id="Rb1df91b4eb6544db"/>
    <x:sheet xmlns:r="http://schemas.openxmlformats.org/officeDocument/2006/relationships" name="Report_Records" sheetId="3" r:id="Rbc6a258398654290"/>
    <x:sheet xmlns:r="http://schemas.openxmlformats.org/officeDocument/2006/relationships" name="Data_Quality" sheetId="4" r:id="R69832bcf227a4326"/>
    <x:sheet xmlns:r="http://schemas.openxmlformats.org/officeDocument/2006/relationships" name="Field_Dictionary" sheetId="5" r:id="R9abcab93e71d4bbe"/>
    <x:sheet xmlns:r="http://schemas.openxmlformats.org/officeDocument/2006/relationships" name="UNIT_1" sheetId="6" r:id="R3b172a3a1b7a4ff9"/>
    <x:sheet xmlns:r="http://schemas.openxmlformats.org/officeDocument/2006/relationships" name="UNIT_2" sheetId="7" r:id="Rd9ffbba2ba2547ce"/>
    <x:sheet xmlns:r="http://schemas.openxmlformats.org/officeDocument/2006/relationships" name="UNIT_3" sheetId="8" r:id="R015c0c16665f47ad"/>
    <x:sheet xmlns:r="http://schemas.openxmlformats.org/officeDocument/2006/relationships" name="COMMON" sheetId="9" r:id="R57ccfa664dc04c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74151"/>
      </x:patternFill>
    </x:fill>
    <x:fill>
      <x:patternFill patternType="solid">
        <x:fgColor rgb="FFD1D5DB"/>
      </x:patternFill>
    </x:fill>
    <x:fill>
      <x:patternFill patternType="solid">
        <x:fgColor rgb="FFE5E7EB"/>
      </x:patternFill>
    </x:fill>
    <x:fill>
      <x:patternFill patternType="solid">
        <x:fgColor rgb="FF374151"/>
      </x:patternFill>
    </x:fill>
    <x:fill>
      <x:patternFill patternType="solid">
        <x:fgColor rgb="FFD1D5DB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</x:cellXfs>
  <x:cellStyles count="1">
    <x:cellStyle name="Normal" xfId="0"/>
  </x:cellStyles>
  <x:dxfs count="32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A3412"/>
      </x:font>
      <x:fill>
        <x:patternFill>
          <x:bgColor rgb="FFFED7AA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A3412"/>
      </x:font>
      <x:fill>
        <x:patternFill>
          <x:bgColor rgb="FFFED7AA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</x:font>
      <x:fill>
        <x:patternFill patternType="solid">
          <x:bgColor rgb="FFDBEAFE"/>
        </x:patternFill>
      </x:fill>
    </x:dxf>
    <x:dxf>
      <x:font>
        <x:b/>
      </x:font>
      <x:fill>
        <x:patternFill patternType="solid">
          <x:bgColor rgb="FFDCFCE7"/>
        </x:patternFill>
      </x:fill>
    </x:dxf>
    <x:dxf>
      <x:font>
        <x:b/>
      </x:font>
      <x:fill>
        <x:patternFill patternType="solid">
          <x:bgColor rgb="FFFEF3C7"/>
        </x:patternFill>
      </x:fill>
    </x:dxf>
    <x:dxf>
      <x:font>
        <x:b/>
      </x:font>
      <x:fill>
        <x:patternFill patternType="solid">
          <x:bgColor rgb="FFE5E7EB"/>
        </x:patternFill>
      </x:fill>
    </x:dxf>
    <x:dxf>
      <x:font>
        <x:b/>
      </x:font>
      <x:fill>
        <x:patternFill patternType="solid">
          <x:bgColor rgb="FFDBEAFE"/>
        </x:patternFill>
      </x:fill>
    </x:dxf>
    <x:dxf>
      <x:font>
        <x:b/>
      </x:font>
      <x:fill>
        <x:patternFill patternType="solid">
          <x:bgColor rgb="FFDCFCE7"/>
        </x:patternFill>
      </x:fill>
    </x:dxf>
    <x:dxf>
      <x:font>
        <x:b/>
      </x:font>
      <x:fill>
        <x:patternFill patternType="solid">
          <x:bgColor rgb="FFFEF3C7"/>
        </x:patternFill>
      </x:fill>
    </x:dxf>
    <x:dxf>
      <x:font>
        <x:b/>
      </x:font>
      <x:fill>
        <x:patternFill patternType="solid">
          <x:bgColor rgb="FFE5E7EB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A3412"/>
      </x:font>
      <x:fill>
        <x:patternFill patternType="solid">
          <x:bgColor rgb="FFFED7AA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A3412"/>
      </x:font>
      <x:fill>
        <x:patternFill patternType="solid">
          <x:bgColor rgb="FFFED7AA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A3412"/>
      </x:font>
      <x:fill>
        <x:patternFill patternType="solid">
          <x:bgColor rgb="FFFED7AA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A3412"/>
      </x:font>
      <x:fill>
        <x:patternFill patternType="solid">
          <x:bgColor rgb="FFFED7AA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e9d731475c4782" /><Relationship Type="http://schemas.openxmlformats.org/officeDocument/2006/relationships/theme" Target="/xl/theme/theme1.xml" Id="Rf1e0f7b2f4c24159" /><Relationship Type="http://schemas.openxmlformats.org/officeDocument/2006/relationships/sharedStrings" Target="/xl/sharedStrings.xml" Id="R94d4ca9478964bab" /><Relationship Type="http://schemas.openxmlformats.org/officeDocument/2006/relationships/worksheet" Target="/xl/worksheets/sheet1.xml" Id="R5d70449c6ff548e0" /><Relationship Type="http://schemas.openxmlformats.org/officeDocument/2006/relationships/worksheet" Target="/xl/worksheets/sheet2.xml" Id="Rb1df91b4eb6544db" /><Relationship Type="http://schemas.openxmlformats.org/officeDocument/2006/relationships/worksheet" Target="/xl/worksheets/sheet3.xml" Id="Rbc6a258398654290" /><Relationship Type="http://schemas.openxmlformats.org/officeDocument/2006/relationships/worksheet" Target="/xl/worksheets/sheet4.xml" Id="R69832bcf227a4326" /><Relationship Type="http://schemas.openxmlformats.org/officeDocument/2006/relationships/worksheet" Target="/xl/worksheets/sheet5.xml" Id="R9abcab93e71d4bbe" /><Relationship Type="http://schemas.openxmlformats.org/officeDocument/2006/relationships/worksheet" Target="/xl/worksheets/sheet6.xml" Id="R3b172a3a1b7a4ff9" /><Relationship Type="http://schemas.openxmlformats.org/officeDocument/2006/relationships/worksheet" Target="/xl/worksheets/sheet7.xml" Id="Rd9ffbba2ba2547ce" /><Relationship Type="http://schemas.openxmlformats.org/officeDocument/2006/relationships/worksheet" Target="/xl/worksheets/sheet8.xml" Id="R015c0c16665f47ad" /><Relationship Type="http://schemas.openxmlformats.org/officeDocument/2006/relationships/worksheet" Target="/xl/worksheets/sheet9.xml" Id="R57ccfa664dc04c6d" /></Relationships>
</file>

<file path=xl/tables/table1.xml><?xml version="1.0" encoding="utf-8"?>
<x:table xmlns:x="http://schemas.openxmlformats.org/spreadsheetml/2006/main" id="1" name="AssetMasterTable" displayName="AssetMasterTable" ref="A1:AS69" headerRowCount="1" totalsRowCount="0" totalsRowShown="0">
  <x:tableColumns count="45">
    <x:tableColumn id="1" name="Asset ID"/>
    <x:tableColumn id="2" name="Equipment"/>
    <x:tableColumn id="3" name="KKS"/>
    <x:tableColumn id="4" name="Equipment Class (Source)"/>
    <x:tableColumn id="5" name="Equipment Class (Normalized)"/>
    <x:tableColumn id="6" name="Asset Category (Derived)"/>
    <x:tableColumn id="7" name="PM Week"/>
    <x:tableColumn id="8" name="Measurement Date"/>
    <x:tableColumn id="9" name="Status Vibrasi"/>
    <x:tableColumn id="10" name="Component 1"/>
    <x:tableColumn id="11" name="Component 2"/>
    <x:tableColumn id="12" name="C1 Type/Mfg"/>
    <x:tableColumn id="13" name="C1 Speed"/>
    <x:tableColumn id="14" name="C1 Power"/>
    <x:tableColumn id="15" name="C1 Bearing Type"/>
    <x:tableColumn id="16" name="C1 Inboard Bearing"/>
    <x:tableColumn id="17" name="C1 Outboard Bearing"/>
    <x:tableColumn id="18" name="C1 Rotor Bar"/>
    <x:tableColumn id="19" name="C1 Foundation"/>
    <x:tableColumn id="20" name="C1 House Power"/>
    <x:tableColumn id="21" name="C1 Brake Horse Power"/>
    <x:tableColumn id="22" name="C1 Current"/>
    <x:tableColumn id="23" name="C1 Rated Capacity"/>
    <x:tableColumn id="24" name="C1 Rated Active Power"/>
    <x:tableColumn id="25" name="C1 Rated Stator Voltage"/>
    <x:tableColumn id="26" name="C1 Rated Stator Current"/>
    <x:tableColumn id="27" name="C1 Rated Speed"/>
    <x:tableColumn id="28" name="C1 Rated Frequency"/>
    <x:tableColumn id="29" name="C2 Type/Mfg"/>
    <x:tableColumn id="30" name="C2 Manufacturer"/>
    <x:tableColumn id="31" name="C2 Speed"/>
    <x:tableColumn id="32" name="C2 Power"/>
    <x:tableColumn id="33" name="C2 Capacity"/>
    <x:tableColumn id="34" name="C2 Pressure"/>
    <x:tableColumn id="35" name="C2 Flow Rate"/>
    <x:tableColumn id="36" name="C2 Bearing Type"/>
    <x:tableColumn id="37" name="C2 Inboard Bearing"/>
    <x:tableColumn id="38" name="C2 Onboard Bearing"/>
    <x:tableColumn id="39" name="C2 Total Blade"/>
    <x:tableColumn id="40" name="C2 NCR"/>
    <x:tableColumn id="41" name="C2 Ekstraction"/>
    <x:tableColumn id="42" name="C2 Stages"/>
    <x:tableColumn id="43" name="C2 Governoor Type"/>
    <x:tableColumn id="44" name="Source Pages"/>
    <x:tableColumn id="45" name="Data Quality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portRecordsTable" displayName="ReportRecordsTable" ref="A1:AU70" headerRowCount="1" totalsRowCount="0" totalsRowShown="0">
  <x:tableColumns count="47">
    <x:tableColumn id="1" name="Record ID"/>
    <x:tableColumn id="2" name="Asset ID"/>
    <x:tableColumn id="3" name="Equipment"/>
    <x:tableColumn id="4" name="KKS"/>
    <x:tableColumn id="5" name="Equipment Class (Source)"/>
    <x:tableColumn id="6" name="Equipment Class (Normalized)"/>
    <x:tableColumn id="7" name="PM Week"/>
    <x:tableColumn id="8" name="Measurement Date"/>
    <x:tableColumn id="9" name="Status Vibrasi"/>
    <x:tableColumn id="10" name="Component 1"/>
    <x:tableColumn id="11" name="Component 2"/>
    <x:tableColumn id="12" name="C1 Type/Mfg"/>
    <x:tableColumn id="13" name="C1 Speed"/>
    <x:tableColumn id="14" name="C1 Power"/>
    <x:tableColumn id="15" name="C1 Bearing Type"/>
    <x:tableColumn id="16" name="C1 Inboard Bearing"/>
    <x:tableColumn id="17" name="C1 Outboard Bearing"/>
    <x:tableColumn id="18" name="C1 Rotor Bar"/>
    <x:tableColumn id="19" name="C1 Foundation"/>
    <x:tableColumn id="20" name="C1 House Power"/>
    <x:tableColumn id="21" name="C1 Brake Horse Power"/>
    <x:tableColumn id="22" name="C1 Current"/>
    <x:tableColumn id="23" name="C1 Rated Capacity"/>
    <x:tableColumn id="24" name="C1 Rated Active Power"/>
    <x:tableColumn id="25" name="C1 Rated Stator Voltage"/>
    <x:tableColumn id="26" name="C1 Rated Stator Current"/>
    <x:tableColumn id="27" name="C1 Rated Speed"/>
    <x:tableColumn id="28" name="C1 Rated Frequency"/>
    <x:tableColumn id="29" name="C2 Type/Mfg"/>
    <x:tableColumn id="30" name="C2 Manufacturer"/>
    <x:tableColumn id="31" name="C2 Speed"/>
    <x:tableColumn id="32" name="C2 Power"/>
    <x:tableColumn id="33" name="C2 Capacity"/>
    <x:tableColumn id="34" name="C2 Pressure"/>
    <x:tableColumn id="35" name="C2 Flow Rate"/>
    <x:tableColumn id="36" name="C2 Bearing Type"/>
    <x:tableColumn id="37" name="C2 Inboard Bearing"/>
    <x:tableColumn id="38" name="C2 Onboard Bearing"/>
    <x:tableColumn id="39" name="C2 Total Blade"/>
    <x:tableColumn id="40" name="C2 NCR"/>
    <x:tableColumn id="41" name="C2 Ekstraction"/>
    <x:tableColumn id="42" name="C2 Stages"/>
    <x:tableColumn id="43" name="C2 Governoor Type"/>
    <x:tableColumn id="44" name="Asset Category (Derived)"/>
    <x:tableColumn id="45" name="Source Page"/>
    <x:tableColumn id="46" name="Data Quality Note"/>
    <x:tableColumn id="47" name="Raw Specs (Audit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QualityTable" displayName="DataQualityTable" ref="A1:F15" headerRowCount="1" totalsRowCount="0" totalsRowShown="0">
  <x:tableColumns count="6">
    <x:tableColumn id="1" name="Issue"/>
    <x:tableColumn id="2" name="Record/Asset"/>
    <x:tableColumn id="3" name="Equipment / Source Value"/>
    <x:tableColumn id="4" name="KKS"/>
    <x:tableColumn id="5" name="Source Page(s)"/>
    <x:tableColumn id="6" name="Keteranga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UNIT1AssetsTable" displayName="UNIT1AssetsTable" ref="A1:W19" headerRowCount="1" totalsRowCount="0" totalsRowShown="0">
  <x:tableColumns count="23">
    <x:tableColumn id="1" name="Unit Group"/>
    <x:tableColumn id="2" name="Asset ID"/>
    <x:tableColumn id="3" name="Equipment"/>
    <x:tableColumn id="4" name="KKS"/>
    <x:tableColumn id="5" name="Asset Category"/>
    <x:tableColumn id="6" name="Equipment Class"/>
    <x:tableColumn id="7" name="PM Week"/>
    <x:tableColumn id="8" name="Measurement Date"/>
    <x:tableColumn id="9" name="Status Vibrasi"/>
    <x:tableColumn id="10" name="Component 1"/>
    <x:tableColumn id="11" name="C1 Type/Mfg"/>
    <x:tableColumn id="12" name="C1 Speed"/>
    <x:tableColumn id="13" name="C1 Power"/>
    <x:tableColumn id="14" name="C1 Bearing Type"/>
    <x:tableColumn id="15" name="C1 Inboard Bearing"/>
    <x:tableColumn id="16" name="C1 Outboard Bearing"/>
    <x:tableColumn id="17" name="C1 Foundation"/>
    <x:tableColumn id="18" name="Component 2"/>
    <x:tableColumn id="19" name="C2 Type/Mfg"/>
    <x:tableColumn id="20" name="C2 Speed"/>
    <x:tableColumn id="21" name="C2 Power"/>
    <x:tableColumn id="22" name="C2 Capacity"/>
    <x:tableColumn id="23" name="Source Pag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UNIT2AssetsTable" displayName="UNIT2AssetsTable" ref="A1:W17" headerRowCount="1" totalsRowCount="0" totalsRowShown="0">
  <x:tableColumns count="23">
    <x:tableColumn id="1" name="Unit Group"/>
    <x:tableColumn id="2" name="Asset ID"/>
    <x:tableColumn id="3" name="Equipment"/>
    <x:tableColumn id="4" name="KKS"/>
    <x:tableColumn id="5" name="Asset Category"/>
    <x:tableColumn id="6" name="Equipment Class"/>
    <x:tableColumn id="7" name="PM Week"/>
    <x:tableColumn id="8" name="Measurement Date"/>
    <x:tableColumn id="9" name="Status Vibrasi"/>
    <x:tableColumn id="10" name="Component 1"/>
    <x:tableColumn id="11" name="C1 Type/Mfg"/>
    <x:tableColumn id="12" name="C1 Speed"/>
    <x:tableColumn id="13" name="C1 Power"/>
    <x:tableColumn id="14" name="C1 Bearing Type"/>
    <x:tableColumn id="15" name="C1 Inboard Bearing"/>
    <x:tableColumn id="16" name="C1 Outboard Bearing"/>
    <x:tableColumn id="17" name="C1 Foundation"/>
    <x:tableColumn id="18" name="Component 2"/>
    <x:tableColumn id="19" name="C2 Type/Mfg"/>
    <x:tableColumn id="20" name="C2 Speed"/>
    <x:tableColumn id="21" name="C2 Power"/>
    <x:tableColumn id="22" name="C2 Capacity"/>
    <x:tableColumn id="23" name="Source Pag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UNIT3AssetsTable" displayName="UNIT3AssetsTable" ref="A1:W21" headerRowCount="1" totalsRowCount="0" totalsRowShown="0">
  <x:tableColumns count="23">
    <x:tableColumn id="1" name="Unit Group"/>
    <x:tableColumn id="2" name="Asset ID"/>
    <x:tableColumn id="3" name="Equipment"/>
    <x:tableColumn id="4" name="KKS"/>
    <x:tableColumn id="5" name="Asset Category"/>
    <x:tableColumn id="6" name="Equipment Class"/>
    <x:tableColumn id="7" name="PM Week"/>
    <x:tableColumn id="8" name="Measurement Date"/>
    <x:tableColumn id="9" name="Status Vibrasi"/>
    <x:tableColumn id="10" name="Component 1"/>
    <x:tableColumn id="11" name="C1 Type/Mfg"/>
    <x:tableColumn id="12" name="C1 Speed"/>
    <x:tableColumn id="13" name="C1 Power"/>
    <x:tableColumn id="14" name="C1 Bearing Type"/>
    <x:tableColumn id="15" name="C1 Inboard Bearing"/>
    <x:tableColumn id="16" name="C1 Outboard Bearing"/>
    <x:tableColumn id="17" name="C1 Foundation"/>
    <x:tableColumn id="18" name="Component 2"/>
    <x:tableColumn id="19" name="C2 Type/Mfg"/>
    <x:tableColumn id="20" name="C2 Speed"/>
    <x:tableColumn id="21" name="C2 Power"/>
    <x:tableColumn id="22" name="C2 Capacity"/>
    <x:tableColumn id="23" name="Source Pag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OMMONAssetsTable" displayName="COMMONAssetsTable" ref="A1:W15" headerRowCount="1" totalsRowCount="0" totalsRowShown="0">
  <x:tableColumns count="23">
    <x:tableColumn id="1" name="Unit Group"/>
    <x:tableColumn id="2" name="Asset ID"/>
    <x:tableColumn id="3" name="Equipment"/>
    <x:tableColumn id="4" name="KKS"/>
    <x:tableColumn id="5" name="Asset Category"/>
    <x:tableColumn id="6" name="Equipment Class"/>
    <x:tableColumn id="7" name="PM Week"/>
    <x:tableColumn id="8" name="Measurement Date"/>
    <x:tableColumn id="9" name="Status Vibrasi"/>
    <x:tableColumn id="10" name="Component 1"/>
    <x:tableColumn id="11" name="C1 Type/Mfg"/>
    <x:tableColumn id="12" name="C1 Speed"/>
    <x:tableColumn id="13" name="C1 Power"/>
    <x:tableColumn id="14" name="C1 Bearing Type"/>
    <x:tableColumn id="15" name="C1 Inboard Bearing"/>
    <x:tableColumn id="16" name="C1 Outboard Bearing"/>
    <x:tableColumn id="17" name="C1 Foundation"/>
    <x:tableColumn id="18" name="Component 2"/>
    <x:tableColumn id="19" name="C2 Type/Mfg"/>
    <x:tableColumn id="20" name="C2 Speed"/>
    <x:tableColumn id="21" name="C2 Power"/>
    <x:tableColumn id="22" name="C2 Capacity"/>
    <x:tableColumn id="23" name="Source Pag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57da082edb42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0a2c52e5dac4cf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455bd67f8884a3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5605d3e0d6e43e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aebb24cdc497479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967093e46d3d4c6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b1a336a3805f4951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</x:cols>
  <x:sheetData>
    <x:row r="1">
      <x:c r="A1" s="5" t="str">
        <x:v>DATABASE ASET VIBRASI — PLTU JERANJANG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11" t="str">
        <x:v>KPI</x:v>
      </x:c>
      <x:c r="B4" s="11" t="str">
        <x:v>Nilai</x:v>
      </x:c>
      <x:c r="D4" s="11" t="str">
        <x:v>Status</x:v>
      </x:c>
      <x:c r="E4" s="11" t="str">
        <x:v>Jumlah</x:v>
      </x:c>
      <x:c r="G4" s="39" t="str">
        <x:v>Unit / Area</x:v>
      </x:c>
      <x:c r="H4" s="39" t="str">
        <x:v>Jumlah Aset</x:v>
      </x:c>
    </x:row>
    <x:row r="5">
      <x:c r="A5" t="str">
        <x:v>Total report record</x:v>
      </x:c>
      <x:c r="B5" t="n">
        <x:f>COUNTA(Report_Records!A2:A500)</x:f>
        <x:v>69</x:v>
      </x:c>
      <x:c r="D5" t="str">
        <x:v>NORMAL</x:v>
      </x:c>
      <x:c r="E5" t="n">
        <x:f>COUNTIF(Report_Records!I2:I500,"NORMAL")</x:f>
        <x:v>28</x:v>
      </x:c>
      <x:c r="G5" t="str">
        <x:v>UNIT 1</x:v>
      </x:c>
      <x:c r="H5" t="n">
        <x:f>COUNTIF(Asset_Master!AT2:AT69,"UNIT 1")</x:f>
        <x:v>18</x:v>
      </x:c>
    </x:row>
    <x:row r="6">
      <x:c r="A6" t="str">
        <x:v>Aset logis unik</x:v>
      </x:c>
      <x:c r="B6" t="n">
        <x:f>COUNTA(Asset_Master!A2:A500)</x:f>
        <x:v>68</x:v>
      </x:c>
      <x:c r="D6" t="str">
        <x:v>PREWARNING</x:v>
      </x:c>
      <x:c r="E6" t="n">
        <x:f>COUNTIF(Report_Records!I2:I500,"PREWARNING")</x:f>
        <x:v>39</x:v>
      </x:c>
      <x:c r="G6" t="str">
        <x:v>UNIT 2</x:v>
      </x:c>
      <x:c r="H6" t="n">
        <x:f>COUNTIF(Asset_Master!AT2:AT69,"UNIT 2")</x:f>
        <x:v>16</x:v>
      </x:c>
    </x:row>
    <x:row r="7">
      <x:c r="A7" t="str">
        <x:v>KKS kosong (record)</x:v>
      </x:c>
      <x:c r="B7" t="n">
        <x:f>COUNTBLANK(Report_Records!D2:D70)</x:f>
        <x:v>9</x:v>
      </x:c>
      <x:c r="D7" t="str">
        <x:v>WARNING</x:v>
      </x:c>
      <x:c r="E7" t="n">
        <x:f>COUNTIF(Report_Records!I2:I500,"WARNING")</x:f>
        <x:v>1</x:v>
      </x:c>
      <x:c r="G7" t="str">
        <x:v>UNIT 3</x:v>
      </x:c>
      <x:c r="H7" t="n">
        <x:f>COUNTIF(Asset_Master!AT2:AT69,"UNIT 3")</x:f>
        <x:v>20</x:v>
      </x:c>
    </x:row>
    <x:row r="8">
      <x:c r="A8" t="str">
        <x:v>Status NORMAL</x:v>
      </x:c>
      <x:c r="B8" t="n">
        <x:f>COUNTIF(Report_Records!I2:I500,"NORMAL")</x:f>
        <x:v>28</x:v>
      </x:c>
      <x:c r="D8" t="str">
        <x:v>ALARM</x:v>
      </x:c>
      <x:c r="E8" t="n">
        <x:f>COUNTIF(Report_Records!I2:I500,"ALARM")</x:f>
        <x:v>1</x:v>
      </x:c>
      <x:c r="G8" t="str">
        <x:v>COMMON</x:v>
      </x:c>
      <x:c r="H8" t="n">
        <x:f>COUNTIF(Asset_Master!AT2:AT69,"COMMON")</x:f>
        <x:v>14</x:v>
      </x:c>
    </x:row>
    <x:row r="9">
      <x:c r="A9" t="str">
        <x:v>Status non-NORMAL</x:v>
      </x:c>
      <x:c r="B9" t="n">
        <x:f>COUNTIF(Report_Records!I2:I500,"PREWARNING")+COUNTIF(Report_Records!I2:I500,"WARNING")+COUNTIF(Report_Records!I2:I500,"ALARM")</x:f>
        <x:v>41</x:v>
      </x:c>
      <x:c r="D9" t="str">
        <x:v>TOTAL</x:v>
      </x:c>
      <x:c r="E9" t="n">
        <x:f>SUM(E5:E8)</x:f>
        <x:v>69</x:v>
      </x:c>
      <x:c r="G9" t="str">
        <x:v>TOTAL</x:v>
      </x:c>
      <x:c r="H9" t="n">
        <x:f>SUM(H5:H8)</x:f>
        <x:v>68</x:v>
      </x:c>
    </x:row>
    <x:row r="12">
      <x:c r="A12" s="18" t="str">
        <x:v>Catatan Ekstraksi</x:v>
      </x:c>
      <x:c r="B12" s="18" t="str"/>
      <x:c r="C12" s="18" t="str"/>
      <x:c r="D12" s="18" t="str"/>
      <x:c r="E12" s="18" t="str"/>
      <x:c r="F12" s="18" t="str"/>
      <x:c r="G12" s="18" t="str"/>
      <x:c r="H12" s="18" t="str"/>
    </x:row>
    <x:row r="13">
      <x:c r="A13" s="19" t="str">
        <x:v>Sumber</x:v>
      </x:c>
      <x:c r="B13" s="19" t="str">
        <x:v>VIbrasi dataset.pdf — 139 halaman</x:v>
      </x:c>
      <x:c r="C13" s="19" t="str"/>
      <x:c r="D13" s="19" t="str"/>
      <x:c r="E13" s="19" t="str"/>
      <x:c r="F13" s="19" t="str"/>
      <x:c r="G13" s="19" t="str"/>
      <x:c r="H13" s="19" t="str"/>
    </x:row>
    <x:row r="14">
      <x:c r="A14" s="19" t="str">
        <x:v>Cakupan</x:v>
      </x:c>
      <x:c r="B14" s="19" t="str">
        <x:v>69 detail report record; 68 identitas aset logis</x:v>
      </x:c>
      <x:c r="C14" s="19" t="str"/>
      <x:c r="D14" s="19" t="str"/>
      <x:c r="E14" s="19" t="str"/>
      <x:c r="F14" s="19" t="str"/>
      <x:c r="G14" s="19" t="str"/>
      <x:c r="H14" s="19" t="str"/>
    </x:row>
    <x:row r="15">
      <x:c r="A15" s="19" t="str">
        <x:v>Prinsip</x:v>
      </x:c>
      <x:c r="B15" s="19" t="str">
        <x:v>Nilai sumber dipertahankan. Typo/spelling class tidak diubah; versi normalized disimpan pada kolom terpisah.</x:v>
      </x:c>
      <x:c r="C15" s="19" t="str"/>
      <x:c r="D15" s="19" t="str"/>
      <x:c r="E15" s="19" t="str"/>
      <x:c r="F15" s="19" t="str"/>
      <x:c r="G15" s="19" t="str"/>
      <x:c r="H15" s="19" t="str"/>
    </x:row>
    <x:row r="16">
      <x:c r="A16" s="19" t="str">
        <x:v>Kualitas</x:v>
      </x:c>
      <x:c r="B16" s="19" t="str">
        <x:v>Nilai kosong pada PDF tetap kosong. Metadata aset berulang tetap dipertahankan di Report_Records.</x:v>
      </x:c>
      <x:c r="C16" s="19" t="str"/>
      <x:c r="D16" s="19" t="str"/>
      <x:c r="E16" s="19" t="str"/>
      <x:c r="F16" s="19" t="str"/>
      <x:c r="G16" s="19" t="str"/>
      <x:c r="H16" s="19" t="str"/>
    </x:row>
  </x:sheetData>
  <x:mergeCells>
    <x:mergeCell ref="A1:H2"/>
    <x:mergeCell ref="A12:H12"/>
    <x:mergeCell ref="B13:H13"/>
    <x:mergeCell ref="B14:H14"/>
    <x:mergeCell ref="B15:H15"/>
    <x:mergeCell ref="B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30" hidden="0" customWidth="1"/>
    <x:col min="4" max="4" width="24" hidden="0" customWidth="1"/>
    <x:col min="5" max="5" width="30" hidden="0" customWidth="1"/>
    <x:col min="6" max="6" width="30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34" hidden="0" customWidth="1"/>
    <x:col min="45" max="45" width="34" hidden="0" customWidth="1"/>
    <x:col min="46" max="46" width="18" hidden="0" customWidth="1"/>
  </x:cols>
  <x:sheetData>
    <x:row r="1">
      <x:c r="A1" s="25" t="str">
        <x:v>Asset ID</x:v>
      </x:c>
      <x:c r="B1" s="25" t="str">
        <x:v>Equipment</x:v>
      </x:c>
      <x:c r="C1" s="25" t="str">
        <x:v>KKS</x:v>
      </x:c>
      <x:c r="D1" s="25" t="str">
        <x:v>Equipment Class (Source)</x:v>
      </x:c>
      <x:c r="E1" s="25" t="str">
        <x:v>Equipment Class (Normalized)</x:v>
      </x:c>
      <x:c r="F1" s="25" t="str">
        <x:v>Asset Category (Derived)</x:v>
      </x:c>
      <x:c r="G1" s="25" t="str">
        <x:v>PM Week</x:v>
      </x:c>
      <x:c r="H1" s="25" t="str">
        <x:v>Measurement Date</x:v>
      </x:c>
      <x:c r="I1" s="25" t="str">
        <x:v>Status Vibrasi</x:v>
      </x:c>
      <x:c r="J1" s="25" t="str">
        <x:v>Component 1</x:v>
      </x:c>
      <x:c r="K1" s="25" t="str">
        <x:v>Component 2</x:v>
      </x:c>
      <x:c r="L1" s="25" t="str">
        <x:v>C1 Type/Mfg</x:v>
      </x:c>
      <x:c r="M1" s="25" t="str">
        <x:v>C1 Speed</x:v>
      </x:c>
      <x:c r="N1" s="25" t="str">
        <x:v>C1 Power</x:v>
      </x:c>
      <x:c r="O1" s="25" t="str">
        <x:v>C1 Bearing Type</x:v>
      </x:c>
      <x:c r="P1" s="25" t="str">
        <x:v>C1 Inboard Bearing</x:v>
      </x:c>
      <x:c r="Q1" s="25" t="str">
        <x:v>C1 Outboard Bearing</x:v>
      </x:c>
      <x:c r="R1" s="25" t="str">
        <x:v>C1 Rotor Bar</x:v>
      </x:c>
      <x:c r="S1" s="25" t="str">
        <x:v>C1 Foundation</x:v>
      </x:c>
      <x:c r="T1" s="25" t="str">
        <x:v>C1 House Power</x:v>
      </x:c>
      <x:c r="U1" s="25" t="str">
        <x:v>C1 Brake Horse Power</x:v>
      </x:c>
      <x:c r="V1" s="25" t="str">
        <x:v>C1 Current</x:v>
      </x:c>
      <x:c r="W1" s="25" t="str">
        <x:v>C1 Rated Capacity</x:v>
      </x:c>
      <x:c r="X1" s="25" t="str">
        <x:v>C1 Rated Active Power</x:v>
      </x:c>
      <x:c r="Y1" s="25" t="str">
        <x:v>C1 Rated Stator Voltage</x:v>
      </x:c>
      <x:c r="Z1" s="25" t="str">
        <x:v>C1 Rated Stator Current</x:v>
      </x:c>
      <x:c r="AA1" s="25" t="str">
        <x:v>C1 Rated Speed</x:v>
      </x:c>
      <x:c r="AB1" s="25" t="str">
        <x:v>C1 Rated Frequency</x:v>
      </x:c>
      <x:c r="AC1" s="25" t="str">
        <x:v>C2 Type/Mfg</x:v>
      </x:c>
      <x:c r="AD1" s="25" t="str">
        <x:v>C2 Manufacturer</x:v>
      </x:c>
      <x:c r="AE1" s="25" t="str">
        <x:v>C2 Speed</x:v>
      </x:c>
      <x:c r="AF1" s="25" t="str">
        <x:v>C2 Power</x:v>
      </x:c>
      <x:c r="AG1" s="25" t="str">
        <x:v>C2 Capacity</x:v>
      </x:c>
      <x:c r="AH1" s="25" t="str">
        <x:v>C2 Pressure</x:v>
      </x:c>
      <x:c r="AI1" s="25" t="str">
        <x:v>C2 Flow Rate</x:v>
      </x:c>
      <x:c r="AJ1" s="25" t="str">
        <x:v>C2 Bearing Type</x:v>
      </x:c>
      <x:c r="AK1" s="25" t="str">
        <x:v>C2 Inboard Bearing</x:v>
      </x:c>
      <x:c r="AL1" s="25" t="str">
        <x:v>C2 Onboard Bearing</x:v>
      </x:c>
      <x:c r="AM1" s="25" t="str">
        <x:v>C2 Total Blade</x:v>
      </x:c>
      <x:c r="AN1" s="25" t="str">
        <x:v>C2 NCR</x:v>
      </x:c>
      <x:c r="AO1" s="25" t="str">
        <x:v>C2 Ekstraction</x:v>
      </x:c>
      <x:c r="AP1" s="25" t="str">
        <x:v>C2 Stages</x:v>
      </x:c>
      <x:c r="AQ1" s="25" t="str">
        <x:v>C2 Governoor Type</x:v>
      </x:c>
      <x:c r="AR1" s="25" t="str">
        <x:v>Source Pages</x:v>
      </x:c>
      <x:c r="AS1" s="25" t="str">
        <x:v>Data Quality Note</x:v>
      </x:c>
      <x:c r="AT1" s="37" t="str">
        <x:v>Unit Group (Derived)</x:v>
      </x:c>
    </x:row>
    <x:row r="2">
      <x:c r="A2" s="19" t="str">
        <x:v>AST-001</x:v>
      </x:c>
      <x:c r="B2" s="19" t="str">
        <x:v>Motor ID Fan 1#1</x:v>
      </x:c>
      <x:c r="C2" s="19" t="str">
        <x:v>LJ10HNC10AN001-001</x:v>
      </x:c>
      <x:c r="D2" s="19" t="str">
        <x:v>ISO 10816-3 (GROUP 1 RIGID)</x:v>
      </x:c>
      <x:c r="E2" s="19" t="str">
        <x:v>ISO 10816-3 (GROUP 1 RIGID)</x:v>
      </x:c>
      <x:c r="F2" s="19" t="str">
        <x:v>Fan</x:v>
      </x:c>
      <x:c r="G2" s="19" t="str">
        <x:v>W37</x:v>
      </x:c>
      <x:c r="H2" s="30" t="n">
        <x:v>45544</x:v>
      </x:c>
      <x:c r="I2" s="19" t="str">
        <x:v>NORMAL</x:v>
      </x:c>
      <x:c r="J2" s="19" t="str">
        <x:v>MOTOR</x:v>
      </x:c>
      <x:c r="K2" s="19" t="str">
        <x:v>FAN</x:v>
      </x:c>
      <x:c r="L2" s="19" t="str">
        <x:v>YKK4003-4</x:v>
      </x:c>
      <x:c r="M2" s="19" t="str">
        <x:v>985</x:v>
      </x:c>
      <x:c r="N2" s="19" t="str">
        <x:v>355 Kw</x:v>
      </x:c>
      <x:c r="O2" s="19" t="str"/>
      <x:c r="P2" s="19" t="str">
        <x:v>NU324</x:v>
      </x:c>
      <x:c r="Q2" s="19" t="str">
        <x:v>6324</x:v>
      </x:c>
      <x:c r="R2" s="19" t="str">
        <x:v>-</x:v>
      </x:c>
      <x:c r="S2" s="19" t="str">
        <x:v>Rigid</x:v>
      </x:c>
      <x:c r="T2" s="19" t="str"/>
      <x:c r="U2" s="19" t="str"/>
      <x:c r="V2" s="19" t="str"/>
      <x:c r="W2" s="19" t="str"/>
      <x:c r="X2" s="19" t="str"/>
      <x:c r="Y2" s="19" t="str"/>
      <x:c r="Z2" s="19" t="str"/>
      <x:c r="AA2" s="19" t="str"/>
      <x:c r="AB2" s="19" t="str"/>
      <x:c r="AC2" s="19" t="str"/>
      <x:c r="AD2" s="19" t="str"/>
      <x:c r="AE2" s="19" t="str"/>
      <x:c r="AF2" s="19" t="str"/>
      <x:c r="AG2" s="19" t="str"/>
      <x:c r="AH2" s="19" t="str"/>
      <x:c r="AI2" s="19" t="str"/>
      <x:c r="AJ2" s="19" t="str"/>
      <x:c r="AK2" s="19" t="str">
        <x:v>-</x:v>
      </x:c>
      <x:c r="AL2" s="19" t="str">
        <x:v>-</x:v>
      </x:c>
      <x:c r="AM2" s="19" t="str"/>
      <x:c r="AN2" s="19" t="str"/>
      <x:c r="AO2" s="19" t="str"/>
      <x:c r="AP2" s="19" t="str"/>
      <x:c r="AQ2" s="19" t="str"/>
      <x:c r="AR2" s="19" t="str">
        <x:v>1</x:v>
      </x:c>
      <x:c r="AS2" s="19" t="str"/>
      <x:c r="AT2" t="str">
        <x:f>IF(VALUE(LEFT(AR2,FIND(",",AR2&amp;",")-1))&lt;=36,"UNIT 1",IF(VALUE(LEFT(AR2,FIND(",",AR2&amp;",")-1))&lt;=70,"UNIT 2",IF(VALUE(LEFT(AR2,FIND(",",AR2&amp;",")-1))&lt;=110,"UNIT 3","COMMON")))</x:f>
        <x:v>UNIT 1</x:v>
      </x:c>
    </x:row>
    <x:row r="3">
      <x:c r="A3" s="19" t="str">
        <x:v>AST-002</x:v>
      </x:c>
      <x:c r="B3" s="19" t="str">
        <x:v>Motor ID Fan 2#1</x:v>
      </x:c>
      <x:c r="C3" s="19" t="str">
        <x:v>LJ10HNC10AN002-001</x:v>
      </x:c>
      <x:c r="D3" s="19" t="str">
        <x:v>ISO 10816-3 (GROUP 1 RIGID)</x:v>
      </x:c>
      <x:c r="E3" s="19" t="str">
        <x:v>ISO 10816-3 (GROUP 1 RIGID)</x:v>
      </x:c>
      <x:c r="F3" s="19" t="str">
        <x:v>Fan</x:v>
      </x:c>
      <x:c r="G3" s="19" t="str">
        <x:v>W39</x:v>
      </x:c>
      <x:c r="H3" s="30" t="n">
        <x:v>45558</x:v>
      </x:c>
      <x:c r="I3" s="19" t="str">
        <x:v>PREWARNING</x:v>
      </x:c>
      <x:c r="J3" s="19" t="str">
        <x:v>MOTOR</x:v>
      </x:c>
      <x:c r="K3" s="19" t="str">
        <x:v>FAN</x:v>
      </x:c>
      <x:c r="L3" s="19" t="str">
        <x:v>YKK4003-4</x:v>
      </x:c>
      <x:c r="M3" s="19" t="str">
        <x:v>985</x:v>
      </x:c>
      <x:c r="N3" s="19" t="str">
        <x:v>355 Kw</x:v>
      </x:c>
      <x:c r="O3" s="19" t="str"/>
      <x:c r="P3" s="19" t="str">
        <x:v>NU324</x:v>
      </x:c>
      <x:c r="Q3" s="19" t="str">
        <x:v>6324</x:v>
      </x:c>
      <x:c r="R3" s="19" t="str">
        <x:v>-</x:v>
      </x:c>
      <x:c r="S3" s="19" t="str">
        <x:v>Rigid</x:v>
      </x:c>
      <x:c r="T3" s="19" t="str"/>
      <x:c r="U3" s="19" t="str"/>
      <x:c r="V3" s="19" t="str"/>
      <x:c r="W3" s="19" t="str"/>
      <x:c r="X3" s="19" t="str"/>
      <x:c r="Y3" s="19" t="str"/>
      <x:c r="Z3" s="19" t="str"/>
      <x:c r="AA3" s="19" t="str"/>
      <x:c r="AB3" s="19" t="str"/>
      <x:c r="AC3" s="19" t="str"/>
      <x:c r="AD3" s="19" t="str"/>
      <x:c r="AE3" s="19" t="str"/>
      <x:c r="AF3" s="19" t="str"/>
      <x:c r="AG3" s="19" t="str"/>
      <x:c r="AH3" s="19" t="str"/>
      <x:c r="AI3" s="19" t="str"/>
      <x:c r="AJ3" s="19" t="str"/>
      <x:c r="AK3" s="19" t="str">
        <x:v>-</x:v>
      </x:c>
      <x:c r="AL3" s="19" t="str">
        <x:v>-</x:v>
      </x:c>
      <x:c r="AM3" s="19" t="str"/>
      <x:c r="AN3" s="19" t="str"/>
      <x:c r="AO3" s="19" t="str"/>
      <x:c r="AP3" s="19" t="str"/>
      <x:c r="AQ3" s="19" t="str"/>
      <x:c r="AR3" s="19" t="str">
        <x:v>3</x:v>
      </x:c>
      <x:c r="AS3" s="19" t="str"/>
      <x:c r="AT3" t="str">
        <x:f>IF(VALUE(LEFT(AR3,FIND(",",AR3&amp;",")-1))&lt;=36,"UNIT 1",IF(VALUE(LEFT(AR3,FIND(",",AR3&amp;",")-1))&lt;=70,"UNIT 2",IF(VALUE(LEFT(AR3,FIND(",",AR3&amp;",")-1))&lt;=110,"UNIT 3","COMMON")))</x:f>
        <x:v>UNIT 1</x:v>
      </x:c>
    </x:row>
    <x:row r="4">
      <x:c r="A4" s="19" t="str">
        <x:v>AST-003</x:v>
      </x:c>
      <x:c r="B4" s="19" t="str">
        <x:v>Motor Primary Air Fan 1#1</x:v>
      </x:c>
      <x:c r="C4" s="19" t="str">
        <x:v>LJ10HLB10AN001-001</x:v>
      </x:c>
      <x:c r="D4" s="19" t="str">
        <x:v>ISO 10816-3 (GROUP 1 RIGID)</x:v>
      </x:c>
      <x:c r="E4" s="19" t="str">
        <x:v>ISO 10816-3 (GROUP 1 RIGID)</x:v>
      </x:c>
      <x:c r="F4" s="19" t="str">
        <x:v>Fan</x:v>
      </x:c>
      <x:c r="G4" s="19" t="str">
        <x:v>W37</x:v>
      </x:c>
      <x:c r="H4" s="30" t="n">
        <x:v>45544</x:v>
      </x:c>
      <x:c r="I4" s="19" t="str">
        <x:v>NORMAL</x:v>
      </x:c>
      <x:c r="J4" s="19" t="str">
        <x:v>MOTOR</x:v>
      </x:c>
      <x:c r="K4" s="19" t="str">
        <x:v>FAN</x:v>
      </x:c>
      <x:c r="L4" s="19" t="str">
        <x:v>YKK 4001-4</x:v>
      </x:c>
      <x:c r="M4" s="19" t="str">
        <x:v>1480 r/min</x:v>
      </x:c>
      <x:c r="N4" s="19" t="str">
        <x:v>280 kW</x:v>
      </x:c>
      <x:c r="O4" s="19" t="str">
        <x:v>Roller Bearing</x:v>
      </x:c>
      <x:c r="P4" s="19" t="str">
        <x:v>NU324</x:v>
      </x:c>
      <x:c r="Q4" s="19" t="str">
        <x:v>6224</x:v>
      </x:c>
      <x:c r="R4" s="19" t="str">
        <x:v>-</x:v>
      </x:c>
      <x:c r="S4" s="19" t="str">
        <x:v>Rigid</x:v>
      </x:c>
      <x:c r="T4" s="19" t="str"/>
      <x:c r="U4" s="19" t="str"/>
      <x:c r="V4" s="19" t="str"/>
      <x:c r="W4" s="19" t="str"/>
      <x:c r="X4" s="19" t="str"/>
      <x:c r="Y4" s="19" t="str"/>
      <x:c r="Z4" s="19" t="str"/>
      <x:c r="AA4" s="19" t="str"/>
      <x:c r="AB4" s="19" t="str"/>
      <x:c r="AC4" s="19" t="str">
        <x:v>QALG-217D</x:v>
      </x:c>
      <x:c r="AD4" s="19" t="str"/>
      <x:c r="AE4" s="19" t="str">
        <x:v>1450 r/min</x:v>
      </x:c>
      <x:c r="AF4" s="19" t="str"/>
      <x:c r="AG4" s="19" t="str"/>
      <x:c r="AH4" s="19" t="str">
        <x:v>13500 Pa</x:v>
      </x:c>
      <x:c r="AI4" s="19" t="str">
        <x:v>50000 m2/h</x:v>
      </x:c>
      <x:c r="AJ4" s="19" t="str">
        <x:v>-</x:v>
      </x:c>
      <x:c r="AK4" s="19" t="str">
        <x:v>-</x:v>
      </x:c>
      <x:c r="AL4" s="19" t="str">
        <x:v>-</x:v>
      </x:c>
      <x:c r="AM4" s="19" t="str">
        <x:v>-</x:v>
      </x:c>
      <x:c r="AN4" s="19" t="str"/>
      <x:c r="AO4" s="19" t="str"/>
      <x:c r="AP4" s="19" t="str"/>
      <x:c r="AQ4" s="19" t="str"/>
      <x:c r="AR4" s="19" t="str">
        <x:v>5</x:v>
      </x:c>
      <x:c r="AS4" s="19" t="str"/>
      <x:c r="AT4" t="str">
        <x:f>IF(VALUE(LEFT(AR4,FIND(",",AR4&amp;",")-1))&lt;=36,"UNIT 1",IF(VALUE(LEFT(AR4,FIND(",",AR4&amp;",")-1))&lt;=70,"UNIT 2",IF(VALUE(LEFT(AR4,FIND(",",AR4&amp;",")-1))&lt;=110,"UNIT 3","COMMON")))</x:f>
        <x:v>UNIT 1</x:v>
      </x:c>
    </x:row>
    <x:row r="5">
      <x:c r="A5" s="19" t="str">
        <x:v>AST-004</x:v>
      </x:c>
      <x:c r="B5" s="19" t="str">
        <x:v>Motor Primary Air Fan 2#1</x:v>
      </x:c>
      <x:c r="C5" s="19" t="str">
        <x:v>LJ10HLB10AN002-001</x:v>
      </x:c>
      <x:c r="D5" s="19" t="str">
        <x:v>ISO 10816-3 (GROUP 1 RIGID)</x:v>
      </x:c>
      <x:c r="E5" s="19" t="str">
        <x:v>ISO 10816-3 (GROUP 1 RIGID)</x:v>
      </x:c>
      <x:c r="F5" s="19" t="str">
        <x:v>Fan</x:v>
      </x:c>
      <x:c r="G5" s="19" t="str">
        <x:v>W39</x:v>
      </x:c>
      <x:c r="H5" s="30" t="n">
        <x:v>45558</x:v>
      </x:c>
      <x:c r="I5" s="19" t="str">
        <x:v>NORMAL</x:v>
      </x:c>
      <x:c r="J5" s="19" t="str">
        <x:v>MOTOR</x:v>
      </x:c>
      <x:c r="K5" s="19" t="str">
        <x:v>FAN</x:v>
      </x:c>
      <x:c r="L5" s="19" t="str">
        <x:v>YKK 4001-4</x:v>
      </x:c>
      <x:c r="M5" s="19" t="str">
        <x:v>1480 r/min</x:v>
      </x:c>
      <x:c r="N5" s="19" t="str">
        <x:v>280 kW</x:v>
      </x:c>
      <x:c r="O5" s="19" t="str">
        <x:v>Roller Bearing</x:v>
      </x:c>
      <x:c r="P5" s="19" t="str">
        <x:v>NU324</x:v>
      </x:c>
      <x:c r="Q5" s="19" t="str">
        <x:v>6224</x:v>
      </x:c>
      <x:c r="R5" s="19" t="str">
        <x:v>-</x:v>
      </x:c>
      <x:c r="S5" s="19" t="str">
        <x:v>Rigid</x:v>
      </x:c>
      <x:c r="T5" s="19" t="str"/>
      <x:c r="U5" s="19" t="str"/>
      <x:c r="V5" s="19" t="str"/>
      <x:c r="W5" s="19" t="str"/>
      <x:c r="X5" s="19" t="str"/>
      <x:c r="Y5" s="19" t="str"/>
      <x:c r="Z5" s="19" t="str"/>
      <x:c r="AA5" s="19" t="str"/>
      <x:c r="AB5" s="19" t="str"/>
      <x:c r="AC5" s="19" t="str">
        <x:v>QALG-217D</x:v>
      </x:c>
      <x:c r="AD5" s="19" t="str"/>
      <x:c r="AE5" s="19" t="str">
        <x:v>1450 r/min</x:v>
      </x:c>
      <x:c r="AF5" s="19" t="str"/>
      <x:c r="AG5" s="19" t="str"/>
      <x:c r="AH5" s="19" t="str">
        <x:v>13500 Pa</x:v>
      </x:c>
      <x:c r="AI5" s="19" t="str">
        <x:v>50000 m2/h</x:v>
      </x:c>
      <x:c r="AJ5" s="19" t="str">
        <x:v>-</x:v>
      </x:c>
      <x:c r="AK5" s="19" t="str">
        <x:v>-</x:v>
      </x:c>
      <x:c r="AL5" s="19" t="str">
        <x:v>-</x:v>
      </x:c>
      <x:c r="AM5" s="19" t="str">
        <x:v>-</x:v>
      </x:c>
      <x:c r="AN5" s="19" t="str"/>
      <x:c r="AO5" s="19" t="str"/>
      <x:c r="AP5" s="19" t="str"/>
      <x:c r="AQ5" s="19" t="str"/>
      <x:c r="AR5" s="19" t="str">
        <x:v>7</x:v>
      </x:c>
      <x:c r="AS5" s="19" t="str"/>
      <x:c r="AT5" t="str">
        <x:f>IF(VALUE(LEFT(AR5,FIND(",",AR5&amp;",")-1))&lt;=36,"UNIT 1",IF(VALUE(LEFT(AR5,FIND(",",AR5&amp;",")-1))&lt;=70,"UNIT 2",IF(VALUE(LEFT(AR5,FIND(",",AR5&amp;",")-1))&lt;=110,"UNIT 3","COMMON")))</x:f>
        <x:v>UNIT 1</x:v>
      </x:c>
    </x:row>
    <x:row r="6">
      <x:c r="A6" s="19" t="str">
        <x:v>AST-005</x:v>
      </x:c>
      <x:c r="B6" s="19" t="str">
        <x:v>Motor Secondary Air Fan 1#1</x:v>
      </x:c>
      <x:c r="C6" s="19" t="str">
        <x:v>LJ10HLB10AN003-001</x:v>
      </x:c>
      <x:c r="D6" s="19" t="str">
        <x:v>ISO 10816-3 (GROUP 1 RIGID)</x:v>
      </x:c>
      <x:c r="E6" s="19" t="str">
        <x:v>ISO 10816-3 (GROUP 1 RIGID)</x:v>
      </x:c>
      <x:c r="F6" s="19" t="str">
        <x:v>Fan</x:v>
      </x:c>
      <x:c r="G6" s="19" t="str">
        <x:v>W37</x:v>
      </x:c>
      <x:c r="H6" s="30" t="n">
        <x:v>45544</x:v>
      </x:c>
      <x:c r="I6" s="19" t="str">
        <x:v>NORMAL</x:v>
      </x:c>
      <x:c r="J6" s="19" t="str">
        <x:v>MOTOR</x:v>
      </x:c>
      <x:c r="K6" s="19" t="str">
        <x:v>FAN</x:v>
      </x:c>
      <x:c r="L6" s="19" t="str">
        <x:v>YKK 4001-4</x:v>
      </x:c>
      <x:c r="M6" s="19" t="str">
        <x:v>1480 r/min</x:v>
      </x:c>
      <x:c r="N6" s="19" t="str">
        <x:v>280 kW</x:v>
      </x:c>
      <x:c r="O6" s="19" t="str">
        <x:v>Roller Bearing</x:v>
      </x:c>
      <x:c r="P6" s="19" t="str">
        <x:v>NU324</x:v>
      </x:c>
      <x:c r="Q6" s="19" t="str">
        <x:v>6224</x:v>
      </x:c>
      <x:c r="R6" s="19" t="str">
        <x:v>-</x:v>
      </x:c>
      <x:c r="S6" s="19" t="str">
        <x:v>Rigid</x:v>
      </x:c>
      <x:c r="T6" s="19" t="str"/>
      <x:c r="U6" s="19" t="str"/>
      <x:c r="V6" s="19" t="str"/>
      <x:c r="W6" s="19" t="str"/>
      <x:c r="X6" s="19" t="str"/>
      <x:c r="Y6" s="19" t="str"/>
      <x:c r="Z6" s="19" t="str"/>
      <x:c r="AA6" s="19" t="str"/>
      <x:c r="AB6" s="19" t="str"/>
      <x:c r="AC6" s="19" t="str">
        <x:v>QALG-217D</x:v>
      </x:c>
      <x:c r="AD6" s="19" t="str"/>
      <x:c r="AE6" s="19" t="str">
        <x:v>1450 r/min</x:v>
      </x:c>
      <x:c r="AF6" s="19" t="str"/>
      <x:c r="AG6" s="19" t="str"/>
      <x:c r="AH6" s="19" t="str">
        <x:v>13500 Pa</x:v>
      </x:c>
      <x:c r="AI6" s="19" t="str">
        <x:v>50000 m2/h</x:v>
      </x:c>
      <x:c r="AJ6" s="19" t="str">
        <x:v>-</x:v>
      </x:c>
      <x:c r="AK6" s="19" t="str">
        <x:v>-</x:v>
      </x:c>
      <x:c r="AL6" s="19" t="str">
        <x:v>-</x:v>
      </x:c>
      <x:c r="AM6" s="19" t="str">
        <x:v>-</x:v>
      </x:c>
      <x:c r="AN6" s="19" t="str"/>
      <x:c r="AO6" s="19" t="str"/>
      <x:c r="AP6" s="19" t="str"/>
      <x:c r="AQ6" s="19" t="str"/>
      <x:c r="AR6" s="19" t="str">
        <x:v>9</x:v>
      </x:c>
      <x:c r="AS6" s="19" t="str"/>
      <x:c r="AT6" t="str">
        <x:f>IF(VALUE(LEFT(AR6,FIND(",",AR6&amp;",")-1))&lt;=36,"UNIT 1",IF(VALUE(LEFT(AR6,FIND(",",AR6&amp;",")-1))&lt;=70,"UNIT 2",IF(VALUE(LEFT(AR6,FIND(",",AR6&amp;",")-1))&lt;=110,"UNIT 3","COMMON")))</x:f>
        <x:v>UNIT 1</x:v>
      </x:c>
    </x:row>
    <x:row r="7">
      <x:c r="A7" s="19" t="str">
        <x:v>AST-006</x:v>
      </x:c>
      <x:c r="B7" s="19" t="str">
        <x:v>Motor Secondary Air Fan 2#1</x:v>
      </x:c>
      <x:c r="C7" s="19" t="str">
        <x:v>LJ10HLB10AN004-001</x:v>
      </x:c>
      <x:c r="D7" s="19" t="str">
        <x:v>ISO 10816-3 (GROUP 1 RIGID)</x:v>
      </x:c>
      <x:c r="E7" s="19" t="str">
        <x:v>ISO 10816-3 (GROUP 1 RIGID)</x:v>
      </x:c>
      <x:c r="F7" s="19" t="str">
        <x:v>Fan</x:v>
      </x:c>
      <x:c r="G7" s="19" t="str">
        <x:v>W39</x:v>
      </x:c>
      <x:c r="H7" s="30" t="n">
        <x:v>45558</x:v>
      </x:c>
      <x:c r="I7" s="19" t="str">
        <x:v>PREWARNING</x:v>
      </x:c>
      <x:c r="J7" s="19" t="str">
        <x:v>MOTOR</x:v>
      </x:c>
      <x:c r="K7" s="19" t="str">
        <x:v>FAN</x:v>
      </x:c>
      <x:c r="L7" s="19" t="str">
        <x:v>YKK 4001-4</x:v>
      </x:c>
      <x:c r="M7" s="19" t="str">
        <x:v>1480 r/min</x:v>
      </x:c>
      <x:c r="N7" s="19" t="str">
        <x:v>280 kW</x:v>
      </x:c>
      <x:c r="O7" s="19" t="str">
        <x:v>Roller Bearing</x:v>
      </x:c>
      <x:c r="P7" s="19" t="str">
        <x:v>NU324</x:v>
      </x:c>
      <x:c r="Q7" s="19" t="str">
        <x:v>6224</x:v>
      </x:c>
      <x:c r="R7" s="19" t="str">
        <x:v>-</x:v>
      </x:c>
      <x:c r="S7" s="19" t="str">
        <x:v>Rigid</x:v>
      </x:c>
      <x:c r="T7" s="19" t="str"/>
      <x:c r="U7" s="19" t="str"/>
      <x:c r="V7" s="19" t="str"/>
      <x:c r="W7" s="19" t="str"/>
      <x:c r="X7" s="19" t="str"/>
      <x:c r="Y7" s="19" t="str"/>
      <x:c r="Z7" s="19" t="str"/>
      <x:c r="AA7" s="19" t="str"/>
      <x:c r="AB7" s="19" t="str"/>
      <x:c r="AC7" s="19" t="str">
        <x:v>QALG-217D</x:v>
      </x:c>
      <x:c r="AD7" s="19" t="str"/>
      <x:c r="AE7" s="19" t="str">
        <x:v>1450 r/min</x:v>
      </x:c>
      <x:c r="AF7" s="19" t="str"/>
      <x:c r="AG7" s="19" t="str"/>
      <x:c r="AH7" s="19" t="str">
        <x:v>13500 Pa</x:v>
      </x:c>
      <x:c r="AI7" s="19" t="str">
        <x:v>50000 m2/h</x:v>
      </x:c>
      <x:c r="AJ7" s="19" t="str">
        <x:v>-</x:v>
      </x:c>
      <x:c r="AK7" s="19" t="str">
        <x:v>-</x:v>
      </x:c>
      <x:c r="AL7" s="19" t="str">
        <x:v>-</x:v>
      </x:c>
      <x:c r="AM7" s="19" t="str">
        <x:v>-</x:v>
      </x:c>
      <x:c r="AN7" s="19" t="str"/>
      <x:c r="AO7" s="19" t="str"/>
      <x:c r="AP7" s="19" t="str"/>
      <x:c r="AQ7" s="19" t="str"/>
      <x:c r="AR7" s="19" t="str">
        <x:v>11</x:v>
      </x:c>
      <x:c r="AS7" s="19" t="str"/>
      <x:c r="AT7" t="str">
        <x:f>IF(VALUE(LEFT(AR7,FIND(",",AR7&amp;",")-1))&lt;=36,"UNIT 1",IF(VALUE(LEFT(AR7,FIND(",",AR7&amp;",")-1))&lt;=70,"UNIT 2",IF(VALUE(LEFT(AR7,FIND(",",AR7&amp;",")-1))&lt;=110,"UNIT 3","COMMON")))</x:f>
        <x:v>UNIT 1</x:v>
      </x:c>
    </x:row>
    <x:row r="8">
      <x:c r="A8" s="19" t="str">
        <x:v>AST-007</x:v>
      </x:c>
      <x:c r="B8" s="19" t="str">
        <x:v>Turbin-Generator#1</x:v>
      </x:c>
      <x:c r="C8" s="19" t="str">
        <x:v>LJ10MAA10HB010-001</x:v>
      </x:c>
      <x:c r="D8" s="19" t="str">
        <x:v>ISO 10816-2</x:v>
      </x:c>
      <x:c r="E8" s="19" t="str">
        <x:v>ISO 10816-2</x:v>
      </x:c>
      <x:c r="F8" s="19" t="str">
        <x:v>Turbine-Generator</x:v>
      </x:c>
      <x:c r="G8" s="19" t="str">
        <x:v>W37</x:v>
      </x:c>
      <x:c r="H8" s="30" t="n">
        <x:v>45544</x:v>
      </x:c>
      <x:c r="I8" s="19" t="str">
        <x:v>NORMAL</x:v>
      </x:c>
      <x:c r="J8" s="19" t="str">
        <x:v>GENERATOR</x:v>
      </x:c>
      <x:c r="K8" s="19" t="str">
        <x:v>TURBINE</x:v>
      </x:c>
      <x:c r="L8" s="19" t="str">
        <x:v>China Changjiang Energy Corp.</x:v>
      </x:c>
      <x:c r="M8" s="19" t="str"/>
      <x:c r="N8" s="19" t="str"/>
      <x:c r="O8" s="19" t="str"/>
      <x:c r="P8" s="19" t="str"/>
      <x:c r="Q8" s="19" t="str"/>
      <x:c r="R8" s="19" t="str"/>
      <x:c r="S8" s="19" t="str"/>
      <x:c r="T8" s="19" t="str"/>
      <x:c r="U8" s="19" t="str"/>
      <x:c r="V8" s="19" t="str"/>
      <x:c r="W8" s="19" t="str">
        <x:v>37.5 MVA</x:v>
      </x:c>
      <x:c r="X8" s="19" t="str">
        <x:v>30 MW</x:v>
      </x:c>
      <x:c r="Y8" s="19" t="str">
        <x:v>6.3 kV Phase 3 Wire</x:v>
      </x:c>
      <x:c r="Z8" s="19" t="str"/>
      <x:c r="AA8" s="19" t="str">
        <x:v>3000 r/min</x:v>
      </x:c>
      <x:c r="AB8" s="19" t="str">
        <x:v>50 Hz</x:v>
      </x:c>
      <x:c r="AC8" s="19" t="str"/>
      <x:c r="AD8" s="19" t="str">
        <x:v>China Changjiang Energy Corp.</x:v>
      </x:c>
      <x:c r="AE8" s="19" t="str">
        <x:v>3000 r/min</x:v>
      </x:c>
      <x:c r="AF8" s="19" t="str"/>
      <x:c r="AG8" s="19" t="str"/>
      <x:c r="AH8" s="19" t="str"/>
      <x:c r="AI8" s="19" t="str"/>
      <x:c r="AJ8" s="19" t="str"/>
      <x:c r="AK8" s="19" t="str"/>
      <x:c r="AL8" s="19" t="str"/>
      <x:c r="AM8" s="19" t="str"/>
      <x:c r="AN8" s="19" t="str">
        <x:v>30 MW</x:v>
      </x:c>
      <x:c r="AO8" s="19" t="str">
        <x:v>6</x:v>
      </x:c>
      <x:c r="AP8" s="19" t="str">
        <x:v>19</x:v>
      </x:c>
      <x:c r="AQ8" s="19" t="str">
        <x:v>Digital Electric Hidroulic (Woodard 505)</x:v>
      </x:c>
      <x:c r="AR8" s="19" t="str">
        <x:v>13</x:v>
      </x:c>
      <x:c r="AS8" s="19" t="str"/>
      <x:c r="AT8" t="str">
        <x:f>IF(VALUE(LEFT(AR8,FIND(",",AR8&amp;",")-1))&lt;=36,"UNIT 1",IF(VALUE(LEFT(AR8,FIND(",",AR8&amp;",")-1))&lt;=70,"UNIT 2",IF(VALUE(LEFT(AR8,FIND(",",AR8&amp;",")-1))&lt;=110,"UNIT 3","COMMON")))</x:f>
        <x:v>UNIT 1</x:v>
      </x:c>
    </x:row>
    <x:row r="9">
      <x:c r="A9" s="19" t="str">
        <x:v>AST-008</x:v>
      </x:c>
      <x:c r="B9" s="19" t="str">
        <x:v>Motor Condensat Pump 2#1</x:v>
      </x:c>
      <x:c r="C9" s="19" t="str">
        <x:v>LJ10LCB10AP020-001</x:v>
      </x:c>
      <x:c r="D9" s="19" t="str">
        <x:v>ISO 10816-3 (GROUP 2 RIGID)</x:v>
      </x:c>
      <x:c r="E9" s="19" t="str">
        <x:v>ISO 10816-3 (GROUP 2 RIGID)</x:v>
      </x:c>
      <x:c r="F9" s="19" t="str">
        <x:v>Pump</x:v>
      </x:c>
      <x:c r="G9" s="19" t="str">
        <x:v>W36</x:v>
      </x:c>
      <x:c r="H9" s="30" t="n">
        <x:v>45537</x:v>
      </x:c>
      <x:c r="I9" s="19" t="str">
        <x:v>PREWARNING</x:v>
      </x:c>
      <x:c r="J9" s="19" t="str">
        <x:v>MOTOR</x:v>
      </x:c>
      <x:c r="K9" s="19" t="str">
        <x:v>POMPA</x:v>
      </x:c>
      <x:c r="L9" s="19" t="str">
        <x:v>YLB 250-2-4</x:v>
      </x:c>
      <x:c r="M9" s="19" t="str">
        <x:v>1430 rpm</x:v>
      </x:c>
      <x:c r="N9" s="19" t="str">
        <x:v>75 kW</x:v>
      </x:c>
      <x:c r="O9" s="19" t="str">
        <x:v>-</x:v>
      </x:c>
      <x:c r="P9" s="19" t="str">
        <x:v>-</x:v>
      </x:c>
      <x:c r="Q9" s="19" t="str">
        <x:v>-</x:v>
      </x:c>
      <x:c r="R9" s="19" t="str">
        <x:v>-</x:v>
      </x:c>
      <x:c r="S9" s="19" t="str">
        <x:v>Rigid</x:v>
      </x:c>
      <x:c r="T9" s="19" t="str"/>
      <x:c r="U9" s="19" t="str"/>
      <x:c r="V9" s="19" t="str"/>
      <x:c r="W9" s="19" t="str"/>
      <x:c r="X9" s="19" t="str"/>
      <x:c r="Y9" s="19" t="str"/>
      <x:c r="Z9" s="19" t="str"/>
      <x:c r="AA9" s="19" t="str"/>
      <x:c r="AB9" s="19" t="str"/>
      <x:c r="AC9" s="19" t="str">
        <x:v>5LDIN</x:v>
      </x:c>
      <x:c r="AD9" s="19" t="str"/>
      <x:c r="AE9" s="19" t="str">
        <x:v>1480 rpm</x:v>
      </x:c>
      <x:c r="AF9" s="19" t="str">
        <x:v>53 kW</x:v>
      </x:c>
      <x:c r="AG9" s="19" t="str">
        <x:v>120 m3/h</x:v>
      </x:c>
      <x:c r="AH9" s="19" t="str"/>
      <x:c r="AI9" s="19" t="str"/>
      <x:c r="AJ9" s="19" t="str"/>
      <x:c r="AK9" s="19" t="str">
        <x:v>-</x:v>
      </x:c>
      <x:c r="AL9" s="19" t="str">
        <x:v>-</x:v>
      </x:c>
      <x:c r="AM9" s="19" t="str"/>
      <x:c r="AN9" s="19" t="str"/>
      <x:c r="AO9" s="19" t="str"/>
      <x:c r="AP9" s="19" t="str"/>
      <x:c r="AQ9" s="19" t="str"/>
      <x:c r="AR9" s="19" t="str">
        <x:v>15</x:v>
      </x:c>
      <x:c r="AS9" s="19" t="str"/>
      <x:c r="AT9" t="str">
        <x:f>IF(VALUE(LEFT(AR9,FIND(",",AR9&amp;",")-1))&lt;=36,"UNIT 1",IF(VALUE(LEFT(AR9,FIND(",",AR9&amp;",")-1))&lt;=70,"UNIT 2",IF(VALUE(LEFT(AR9,FIND(",",AR9&amp;",")-1))&lt;=110,"UNIT 3","COMMON")))</x:f>
        <x:v>UNIT 1</x:v>
      </x:c>
    </x:row>
    <x:row r="10">
      <x:c r="A10" s="19" t="str">
        <x:v>AST-009</x:v>
      </x:c>
      <x:c r="B10" s="19" t="str">
        <x:v>Motor Vacuum Pump 1#1</x:v>
      </x:c>
      <x:c r="C10" s="19" t="str">
        <x:v>LJ10MAG10AP011-001</x:v>
      </x:c>
      <x:c r="D10" s="19" t="str">
        <x:v>ISO 10816-3 (GROUP 2 RIGID)</x:v>
      </x:c>
      <x:c r="E10" s="19" t="str">
        <x:v>ISO 10816-3 (GROUP 2 RIGID)</x:v>
      </x:c>
      <x:c r="F10" s="19" t="str">
        <x:v>Pump</x:v>
      </x:c>
      <x:c r="G10" s="19" t="str">
        <x:v>W39</x:v>
      </x:c>
      <x:c r="H10" s="30" t="n">
        <x:v>45558</x:v>
      </x:c>
      <x:c r="I10" s="19" t="str">
        <x:v>NORMAL</x:v>
      </x:c>
      <x:c r="J10" s="19" t="str">
        <x:v>MOTOR</x:v>
      </x:c>
      <x:c r="K10" s="19" t="str">
        <x:v>POMPA</x:v>
      </x:c>
      <x:c r="L10" s="19" t="str">
        <x:v>Y2 - 250-6</x:v>
      </x:c>
      <x:c r="M10" s="19" t="str">
        <x:v>980 rpm</x:v>
      </x:c>
      <x:c r="N10" s="19" t="str">
        <x:v>37 kW</x:v>
      </x:c>
      <x:c r="O10" s="19" t="str"/>
      <x:c r="P10" s="19" t="str"/>
      <x:c r="Q10" s="19" t="str"/>
      <x:c r="R10" s="19" t="str">
        <x:v>-</x:v>
      </x:c>
      <x:c r="S10" s="19" t="str">
        <x:v>Rigid</x:v>
      </x:c>
      <x:c r="T10" s="19" t="str"/>
      <x:c r="U10" s="19" t="str"/>
      <x:c r="V10" s="19" t="str"/>
      <x:c r="W10" s="19" t="str"/>
      <x:c r="X10" s="19" t="str"/>
      <x:c r="Y10" s="19" t="str"/>
      <x:c r="Z10" s="19" t="str"/>
      <x:c r="AA10" s="19" t="str"/>
      <x:c r="AB10" s="19" t="str"/>
      <x:c r="AC10" s="19" t="str"/>
      <x:c r="AD10" s="19" t="str"/>
      <x:c r="AE10" s="19" t="str"/>
      <x:c r="AF10" s="19" t="str"/>
      <x:c r="AG10" s="19" t="str"/>
      <x:c r="AH10" s="19" t="str"/>
      <x:c r="AI10" s="19" t="str"/>
      <x:c r="AJ10" s="19" t="str"/>
      <x:c r="AK10" s="19" t="str">
        <x:v>-</x:v>
      </x:c>
      <x:c r="AL10" s="19" t="str">
        <x:v>-</x:v>
      </x:c>
      <x:c r="AM10" s="19" t="str"/>
      <x:c r="AN10" s="19" t="str"/>
      <x:c r="AO10" s="19" t="str"/>
      <x:c r="AP10" s="19" t="str"/>
      <x:c r="AQ10" s="19" t="str"/>
      <x:c r="AR10" s="19" t="str">
        <x:v>17</x:v>
      </x:c>
      <x:c r="AS10" s="19" t="str"/>
      <x:c r="AT10" t="str">
        <x:f>IF(VALUE(LEFT(AR10,FIND(",",AR10&amp;",")-1))&lt;=36,"UNIT 1",IF(VALUE(LEFT(AR10,FIND(",",AR10&amp;",")-1))&lt;=70,"UNIT 2",IF(VALUE(LEFT(AR10,FIND(",",AR10&amp;",")-1))&lt;=110,"UNIT 3","COMMON")))</x:f>
        <x:v>UNIT 1</x:v>
      </x:c>
    </x:row>
    <x:row r="11">
      <x:c r="A11" s="19" t="str">
        <x:v>AST-010</x:v>
      </x:c>
      <x:c r="B11" s="19" t="str">
        <x:v>Motor Vacuum Pump 2#1</x:v>
      </x:c>
      <x:c r="C11" s="19" t="str">
        <x:v>LJ10MAG10AP012-001</x:v>
      </x:c>
      <x:c r="D11" s="19" t="str">
        <x:v>ISO 10816-3 (GROUP 2 RIGID)</x:v>
      </x:c>
      <x:c r="E11" s="19" t="str">
        <x:v>ISO 10816-3 (GROUP 2 RIGID)</x:v>
      </x:c>
      <x:c r="F11" s="19" t="str">
        <x:v>Pump</x:v>
      </x:c>
      <x:c r="G11" s="19" t="str">
        <x:v>W39</x:v>
      </x:c>
      <x:c r="H11" s="30" t="n">
        <x:v>45558</x:v>
      </x:c>
      <x:c r="I11" s="19" t="str">
        <x:v>NORMAL</x:v>
      </x:c>
      <x:c r="J11" s="19" t="str">
        <x:v>MOTOR</x:v>
      </x:c>
      <x:c r="K11" s="19" t="str">
        <x:v>POMPA</x:v>
      </x:c>
      <x:c r="L11" s="19" t="str">
        <x:v>Y2 - 250-6</x:v>
      </x:c>
      <x:c r="M11" s="19" t="str">
        <x:v>980 rpm</x:v>
      </x:c>
      <x:c r="N11" s="19" t="str">
        <x:v>37 kW</x:v>
      </x:c>
      <x:c r="O11" s="19" t="str"/>
      <x:c r="P11" s="19" t="str"/>
      <x:c r="Q11" s="19" t="str"/>
      <x:c r="R11" s="19" t="str">
        <x:v>-</x:v>
      </x:c>
      <x:c r="S11" s="19" t="str">
        <x:v>Rigid</x:v>
      </x:c>
      <x:c r="T11" s="19" t="str"/>
      <x:c r="U11" s="19" t="str"/>
      <x:c r="V11" s="19" t="str"/>
      <x:c r="W11" s="19" t="str"/>
      <x:c r="X11" s="19" t="str"/>
      <x:c r="Y11" s="19" t="str"/>
      <x:c r="Z11" s="19" t="str"/>
      <x:c r="AA11" s="19" t="str"/>
      <x:c r="AB11" s="19" t="str"/>
      <x:c r="AC11" s="19" t="str"/>
      <x:c r="AD11" s="19" t="str"/>
      <x:c r="AE11" s="19" t="str"/>
      <x:c r="AF11" s="19" t="str"/>
      <x:c r="AG11" s="19" t="str"/>
      <x:c r="AH11" s="19" t="str"/>
      <x:c r="AI11" s="19" t="str"/>
      <x:c r="AJ11" s="19" t="str"/>
      <x:c r="AK11" s="19" t="str">
        <x:v>-</x:v>
      </x:c>
      <x:c r="AL11" s="19" t="str">
        <x:v>-</x:v>
      </x:c>
      <x:c r="AM11" s="19" t="str"/>
      <x:c r="AN11" s="19" t="str"/>
      <x:c r="AO11" s="19" t="str"/>
      <x:c r="AP11" s="19" t="str"/>
      <x:c r="AQ11" s="19" t="str"/>
      <x:c r="AR11" s="19" t="str">
        <x:v>19</x:v>
      </x:c>
      <x:c r="AS11" s="19" t="str"/>
      <x:c r="AT11" t="str">
        <x:f>IF(VALUE(LEFT(AR11,FIND(",",AR11&amp;",")-1))&lt;=36,"UNIT 1",IF(VALUE(LEFT(AR11,FIND(",",AR11&amp;",")-1))&lt;=70,"UNIT 2",IF(VALUE(LEFT(AR11,FIND(",",AR11&amp;",")-1))&lt;=110,"UNIT 3","COMMON")))</x:f>
        <x:v>UNIT 1</x:v>
      </x:c>
    </x:row>
    <x:row r="12">
      <x:c r="A12" s="19" t="str">
        <x:v>AST-011</x:v>
      </x:c>
      <x:c r="B12" s="19" t="str">
        <x:v>Motor Boiler Feed Pump 1#1</x:v>
      </x:c>
      <x:c r="C12" s="19" t="str">
        <x:v>LJ10LAC10AP001-001</x:v>
      </x:c>
      <x:c r="D12" s="19" t="str">
        <x:v>ISO 10816-3 (GROUP 1 RIGID)</x:v>
      </x:c>
      <x:c r="E12" s="19" t="str">
        <x:v>ISO 10816-3 (GROUP 1 RIGID)</x:v>
      </x:c>
      <x:c r="F12" s="19" t="str">
        <x:v>Pump</x:v>
      </x:c>
      <x:c r="G12" s="19" t="str">
        <x:v>W36</x:v>
      </x:c>
      <x:c r="H12" s="30" t="n">
        <x:v>45537</x:v>
      </x:c>
      <x:c r="I12" s="19" t="str">
        <x:v>NORMAL</x:v>
      </x:c>
      <x:c r="J12" s="19" t="str">
        <x:v>MOTOR</x:v>
      </x:c>
      <x:c r="K12" s="19" t="str">
        <x:v>POMPA</x:v>
      </x:c>
      <x:c r="L12" s="19" t="str">
        <x:v>SY23372-1028, QINGJIANG</x:v>
      </x:c>
      <x:c r="M12" s="19" t="str">
        <x:v>2980 rpm</x:v>
      </x:c>
      <x:c r="N12" s="19" t="str">
        <x:v>1000</x:v>
      </x:c>
      <x:c r="O12" s="19" t="str"/>
      <x:c r="P12" s="19" t="str">
        <x:v>NU 224EC</x:v>
      </x:c>
      <x:c r="Q12" s="19" t="str">
        <x:v>6224/C3</x:v>
      </x:c>
      <x:c r="R12" s="19" t="str">
        <x:v>-</x:v>
      </x:c>
      <x:c r="S12" s="19" t="str">
        <x:v>Rigid</x:v>
      </x:c>
      <x:c r="T12" s="19" t="str"/>
      <x:c r="U12" s="19" t="str"/>
      <x:c r="V12" s="19" t="str"/>
      <x:c r="W12" s="19" t="str"/>
      <x:c r="X12" s="19" t="str"/>
      <x:c r="Y12" s="19" t="str"/>
      <x:c r="Z12" s="19" t="str"/>
      <x:c r="AA12" s="19" t="str"/>
      <x:c r="AB12" s="19" t="str"/>
      <x:c r="AC12" s="19" t="str">
        <x:v>SHENYANG AST PUMP MANUFACTURING CO.,LTD</x:v>
      </x:c>
      <x:c r="AD12" s="19" t="str"/>
      <x:c r="AE12" s="19" t="str">
        <x:v>2980 rpm</x:v>
      </x:c>
      <x:c r="AF12" s="19" t="str"/>
      <x:c r="AG12" s="19" t="str">
        <x:v>140</x:v>
      </x:c>
      <x:c r="AH12" s="19" t="str"/>
      <x:c r="AI12" s="19" t="str"/>
      <x:c r="AJ12" s="19" t="str"/>
      <x:c r="AK12" s="19" t="str">
        <x:v>-</x:v>
      </x:c>
      <x:c r="AL12" s="19" t="str">
        <x:v>-</x:v>
      </x:c>
      <x:c r="AM12" s="19" t="str"/>
      <x:c r="AN12" s="19" t="str"/>
      <x:c r="AO12" s="19" t="str"/>
      <x:c r="AP12" s="19" t="str"/>
      <x:c r="AQ12" s="19" t="str"/>
      <x:c r="AR12" s="19" t="str">
        <x:v>21</x:v>
      </x:c>
      <x:c r="AS12" s="19" t="str"/>
      <x:c r="AT12" t="str">
        <x:f>IF(VALUE(LEFT(AR12,FIND(",",AR12&amp;",")-1))&lt;=36,"UNIT 1",IF(VALUE(LEFT(AR12,FIND(",",AR12&amp;",")-1))&lt;=70,"UNIT 2",IF(VALUE(LEFT(AR12,FIND(",",AR12&amp;",")-1))&lt;=110,"UNIT 3","COMMON")))</x:f>
        <x:v>UNIT 1</x:v>
      </x:c>
    </x:row>
    <x:row r="13">
      <x:c r="A13" s="19" t="str">
        <x:v>AST-012</x:v>
      </x:c>
      <x:c r="B13" s="19" t="str">
        <x:v>Motor CCCWP 1#1</x:v>
      </x:c>
      <x:c r="C13" s="19" t="str">
        <x:v>LJ10PGB10AP001-001</x:v>
      </x:c>
      <x:c r="D13" s="19" t="str">
        <x:v>ISO 10816-3 (GROUP 2 RIGID)</x:v>
      </x:c>
      <x:c r="E13" s="19" t="str">
        <x:v>ISO 10816-3 (GROUP 2 RIGID)</x:v>
      </x:c>
      <x:c r="F13" s="19" t="str">
        <x:v>Pump</x:v>
      </x:c>
      <x:c r="G13" s="19" t="str">
        <x:v>W37</x:v>
      </x:c>
      <x:c r="H13" s="30" t="n">
        <x:v>45545</x:v>
      </x:c>
      <x:c r="I13" s="19" t="str">
        <x:v>PREWARNING</x:v>
      </x:c>
      <x:c r="J13" s="19" t="str">
        <x:v>MOTOR</x:v>
      </x:c>
      <x:c r="K13" s="19" t="str">
        <x:v>POMPA</x:v>
      </x:c>
      <x:c r="L13" s="19" t="str">
        <x:v>Y2 - 280-4</x:v>
      </x:c>
      <x:c r="M13" s="19" t="str">
        <x:v>980 rpm</x:v>
      </x:c>
      <x:c r="N13" s="19" t="str">
        <x:v>75 kW</x:v>
      </x:c>
      <x:c r="O13" s="19" t="str">
        <x:v>-</x:v>
      </x:c>
      <x:c r="P13" s="19" t="str">
        <x:v>-</x:v>
      </x:c>
      <x:c r="Q13" s="19" t="str">
        <x:v>-</x:v>
      </x:c>
      <x:c r="R13" s="19" t="str">
        <x:v>-</x:v>
      </x:c>
      <x:c r="S13" s="19" t="str">
        <x:v>Rigid</x:v>
      </x:c>
      <x:c r="T13" s="19" t="str"/>
      <x:c r="U13" s="19" t="str"/>
      <x:c r="V13" s="19" t="str"/>
      <x:c r="W13" s="19" t="str"/>
      <x:c r="X13" s="19" t="str"/>
      <x:c r="Y13" s="19" t="str"/>
      <x:c r="Z13" s="19" t="str"/>
      <x:c r="AA13" s="19" t="str"/>
      <x:c r="AB13" s="19" t="str"/>
      <x:c r="AC13" s="19" t="str"/>
      <x:c r="AD13" s="19" t="str"/>
      <x:c r="AE13" s="19" t="str"/>
      <x:c r="AF13" s="19" t="str"/>
      <x:c r="AG13" s="19" t="str"/>
      <x:c r="AH13" s="19" t="str"/>
      <x:c r="AI13" s="19" t="str"/>
      <x:c r="AJ13" s="19" t="str"/>
      <x:c r="AK13" s="19" t="str">
        <x:v>-</x:v>
      </x:c>
      <x:c r="AL13" s="19" t="str">
        <x:v>-</x:v>
      </x:c>
      <x:c r="AM13" s="19" t="str"/>
      <x:c r="AN13" s="19" t="str"/>
      <x:c r="AO13" s="19" t="str"/>
      <x:c r="AP13" s="19" t="str"/>
      <x:c r="AQ13" s="19" t="str"/>
      <x:c r="AR13" s="19" t="str">
        <x:v>23</x:v>
      </x:c>
      <x:c r="AS13" s="19" t="str"/>
      <x:c r="AT13" t="str">
        <x:f>IF(VALUE(LEFT(AR13,FIND(",",AR13&amp;",")-1))&lt;=36,"UNIT 1",IF(VALUE(LEFT(AR13,FIND(",",AR13&amp;",")-1))&lt;=70,"UNIT 2",IF(VALUE(LEFT(AR13,FIND(",",AR13&amp;",")-1))&lt;=110,"UNIT 3","COMMON")))</x:f>
        <x:v>UNIT 1</x:v>
      </x:c>
    </x:row>
    <x:row r="14">
      <x:c r="A14" s="19" t="str">
        <x:v>AST-013</x:v>
      </x:c>
      <x:c r="B14" s="19" t="str">
        <x:v>Motor CCCWP 2#1</x:v>
      </x:c>
      <x:c r="C14" s="19" t="str">
        <x:v>LJ10PGB10AP002-001</x:v>
      </x:c>
      <x:c r="D14" s="19" t="str">
        <x:v>ISO 10816-3 (GROUP 2 RIGID)</x:v>
      </x:c>
      <x:c r="E14" s="19" t="str">
        <x:v>ISO 10816-3 (GROUP 2 RIGID)</x:v>
      </x:c>
      <x:c r="F14" s="19" t="str">
        <x:v>Pump</x:v>
      </x:c>
      <x:c r="G14" s="19" t="str">
        <x:v>W39</x:v>
      </x:c>
      <x:c r="H14" s="30" t="n">
        <x:v>45559</x:v>
      </x:c>
      <x:c r="I14" s="19" t="str">
        <x:v>NORMAL</x:v>
      </x:c>
      <x:c r="J14" s="19" t="str">
        <x:v>MOTOR</x:v>
      </x:c>
      <x:c r="K14" s="19" t="str">
        <x:v>POMPA</x:v>
      </x:c>
      <x:c r="L14" s="19" t="str">
        <x:v>Y2 - 280-4</x:v>
      </x:c>
      <x:c r="M14" s="19" t="str">
        <x:v>980 rpm</x:v>
      </x:c>
      <x:c r="N14" s="19" t="str">
        <x:v>75 kW</x:v>
      </x:c>
      <x:c r="O14" s="19" t="str"/>
      <x:c r="P14" s="19" t="str"/>
      <x:c r="Q14" s="19" t="str"/>
      <x:c r="R14" s="19" t="str">
        <x:v>-</x:v>
      </x:c>
      <x:c r="S14" s="19" t="str">
        <x:v>Rigid</x:v>
      </x:c>
      <x:c r="T14" s="19" t="str"/>
      <x:c r="U14" s="19" t="str"/>
      <x:c r="V14" s="19" t="str"/>
      <x:c r="W14" s="19" t="str"/>
      <x:c r="X14" s="19" t="str"/>
      <x:c r="Y14" s="19" t="str"/>
      <x:c r="Z14" s="19" t="str"/>
      <x:c r="AA14" s="19" t="str"/>
      <x:c r="AB14" s="19" t="str"/>
      <x:c r="AC14" s="19" t="str"/>
      <x:c r="AD14" s="19" t="str"/>
      <x:c r="AE14" s="19" t="str"/>
      <x:c r="AF14" s="19" t="str"/>
      <x:c r="AG14" s="19" t="str"/>
      <x:c r="AH14" s="19" t="str"/>
      <x:c r="AI14" s="19" t="str"/>
      <x:c r="AJ14" s="19" t="str"/>
      <x:c r="AK14" s="19" t="str">
        <x:v>-</x:v>
      </x:c>
      <x:c r="AL14" s="19" t="str">
        <x:v>-</x:v>
      </x:c>
      <x:c r="AM14" s="19" t="str"/>
      <x:c r="AN14" s="19" t="str"/>
      <x:c r="AO14" s="19" t="str"/>
      <x:c r="AP14" s="19" t="str"/>
      <x:c r="AQ14" s="19" t="str"/>
      <x:c r="AR14" s="19" t="str">
        <x:v>25</x:v>
      </x:c>
      <x:c r="AS14" s="19" t="str"/>
      <x:c r="AT14" t="str">
        <x:f>IF(VALUE(LEFT(AR14,FIND(",",AR14&amp;",")-1))&lt;=36,"UNIT 1",IF(VALUE(LEFT(AR14,FIND(",",AR14&amp;",")-1))&lt;=70,"UNIT 2",IF(VALUE(LEFT(AR14,FIND(",",AR14&amp;",")-1))&lt;=110,"UNIT 3","COMMON")))</x:f>
        <x:v>UNIT 1</x:v>
      </x:c>
    </x:row>
    <x:row r="15">
      <x:c r="A15" s="19" t="str">
        <x:v>AST-014</x:v>
      </x:c>
      <x:c r="B15" s="19" t="str">
        <x:v>Motor CWP 355 Kw 1#1</x:v>
      </x:c>
      <x:c r="C15" s="19" t="str">
        <x:v>LJ10PAC10AP001-001</x:v>
      </x:c>
      <x:c r="D15" s="19" t="str">
        <x:v>ISO 10816-3 (GROUP 1 RIGID))</x:v>
      </x:c>
      <x:c r="E15" s="19" t="str">
        <x:v>ISO 10816-3 (GROUP 1 RIGID)</x:v>
      </x:c>
      <x:c r="F15" s="19" t="str">
        <x:v>Pump</x:v>
      </x:c>
      <x:c r="G15" s="19" t="str">
        <x:v>W39</x:v>
      </x:c>
      <x:c r="H15" s="30" t="n">
        <x:v>45559</x:v>
      </x:c>
      <x:c r="I15" s="19" t="str">
        <x:v>PREWARNING</x:v>
      </x:c>
      <x:c r="J15" s="19" t="str">
        <x:v>MOTOR</x:v>
      </x:c>
      <x:c r="K15" s="19" t="str">
        <x:v>POMPA</x:v>
      </x:c>
      <x:c r="L15" s="19" t="str">
        <x:v>YLKK400-6</x:v>
      </x:c>
      <x:c r="M15" s="19" t="str">
        <x:v>991</x:v>
      </x:c>
      <x:c r="N15" s="19" t="str">
        <x:v>315</x:v>
      </x:c>
      <x:c r="O15" s="19" t="str"/>
      <x:c r="P15" s="19" t="str"/>
      <x:c r="Q15" s="19" t="str"/>
      <x:c r="R15" s="19" t="str">
        <x:v>-</x:v>
      </x:c>
      <x:c r="S15" s="19" t="str">
        <x:v>Rigid</x:v>
      </x:c>
      <x:c r="T15" s="19" t="str"/>
      <x:c r="U15" s="19" t="str"/>
      <x:c r="V15" s="19" t="str"/>
      <x:c r="W15" s="19" t="str"/>
      <x:c r="X15" s="19" t="str"/>
      <x:c r="Y15" s="19" t="str"/>
      <x:c r="Z15" s="19" t="str"/>
      <x:c r="AA15" s="19" t="str"/>
      <x:c r="AB15" s="19" t="str"/>
      <x:c r="AC15" s="19" t="str"/>
      <x:c r="AD15" s="19" t="str"/>
      <x:c r="AE15" s="19" t="str"/>
      <x:c r="AF15" s="19" t="str"/>
      <x:c r="AG15" s="19" t="str"/>
      <x:c r="AH15" s="19" t="str"/>
      <x:c r="AI15" s="19" t="str"/>
      <x:c r="AJ15" s="19" t="str"/>
      <x:c r="AK15" s="19" t="str"/>
      <x:c r="AL15" s="19" t="str"/>
      <x:c r="AM15" s="19" t="str"/>
      <x:c r="AN15" s="19" t="str"/>
      <x:c r="AO15" s="19" t="str"/>
      <x:c r="AP15" s="19" t="str"/>
      <x:c r="AQ15" s="19" t="str"/>
      <x:c r="AR15" s="19" t="str">
        <x:v>27</x:v>
      </x:c>
      <x:c r="AS15" s="19" t="str">
        <x:v>Class dinormalisasi pada kolom terpisah; nilai sumber dipertahankan</x:v>
      </x:c>
      <x:c r="AT15" t="str">
        <x:f>IF(VALUE(LEFT(AR15,FIND(",",AR15&amp;",")-1))&lt;=36,"UNIT 1",IF(VALUE(LEFT(AR15,FIND(",",AR15&amp;",")-1))&lt;=70,"UNIT 2",IF(VALUE(LEFT(AR15,FIND(",",AR15&amp;",")-1))&lt;=110,"UNIT 3","COMMON")))</x:f>
        <x:v>UNIT 1</x:v>
      </x:c>
    </x:row>
    <x:row r="16">
      <x:c r="A16" s="19" t="str">
        <x:v>AST-015</x:v>
      </x:c>
      <x:c r="B16" s="19" t="str">
        <x:v>Motor CWP 355 Kw 2#1</x:v>
      </x:c>
      <x:c r="C16" s="19" t="str">
        <x:v>LJ10PAC10AP002-001</x:v>
      </x:c>
      <x:c r="D16" s="19" t="str">
        <x:v>ISO 10816-3 (GROUP 1 RIGID))</x:v>
      </x:c>
      <x:c r="E16" s="19" t="str">
        <x:v>ISO 10816-3 (GROUP 1 RIGID)</x:v>
      </x:c>
      <x:c r="F16" s="19" t="str">
        <x:v>Pump</x:v>
      </x:c>
      <x:c r="G16" s="19" t="str">
        <x:v>W37</x:v>
      </x:c>
      <x:c r="H16" s="30" t="n">
        <x:v>45545</x:v>
      </x:c>
      <x:c r="I16" s="19" t="str">
        <x:v>NORMAL</x:v>
      </x:c>
      <x:c r="J16" s="19" t="str">
        <x:v>MOTOR</x:v>
      </x:c>
      <x:c r="K16" s="19" t="str">
        <x:v>POMPA</x:v>
      </x:c>
      <x:c r="L16" s="19" t="str">
        <x:v>YLKK400-6</x:v>
      </x:c>
      <x:c r="M16" s="19" t="str">
        <x:v>991</x:v>
      </x:c>
      <x:c r="N16" s="19" t="str">
        <x:v>315</x:v>
      </x:c>
      <x:c r="O16" s="19" t="str"/>
      <x:c r="P16" s="19" t="str"/>
      <x:c r="Q16" s="19" t="str"/>
      <x:c r="R16" s="19" t="str">
        <x:v>-</x:v>
      </x:c>
      <x:c r="S16" s="19" t="str">
        <x:v>Rigid</x:v>
      </x:c>
      <x:c r="T16" s="19" t="str"/>
      <x:c r="U16" s="19" t="str"/>
      <x:c r="V16" s="19" t="str"/>
      <x:c r="W16" s="19" t="str"/>
      <x:c r="X16" s="19" t="str"/>
      <x:c r="Y16" s="19" t="str"/>
      <x:c r="Z16" s="19" t="str"/>
      <x:c r="AA16" s="19" t="str"/>
      <x:c r="AB16" s="19" t="str"/>
      <x:c r="AC16" s="19" t="str"/>
      <x:c r="AD16" s="19" t="str"/>
      <x:c r="AE16" s="19" t="str"/>
      <x:c r="AF16" s="19" t="str"/>
      <x:c r="AG16" s="19" t="str"/>
      <x:c r="AH16" s="19" t="str"/>
      <x:c r="AI16" s="19" t="str"/>
      <x:c r="AJ16" s="19" t="str"/>
      <x:c r="AK16" s="19" t="str"/>
      <x:c r="AL16" s="19" t="str"/>
      <x:c r="AM16" s="19" t="str"/>
      <x:c r="AN16" s="19" t="str"/>
      <x:c r="AO16" s="19" t="str"/>
      <x:c r="AP16" s="19" t="str"/>
      <x:c r="AQ16" s="19" t="str"/>
      <x:c r="AR16" s="19" t="str">
        <x:v>29</x:v>
      </x:c>
      <x:c r="AS16" s="19" t="str">
        <x:v>Class dinormalisasi pada kolom terpisah; nilai sumber dipertahankan</x:v>
      </x:c>
      <x:c r="AT16" t="str">
        <x:f>IF(VALUE(LEFT(AR16,FIND(",",AR16&amp;",")-1))&lt;=36,"UNIT 1",IF(VALUE(LEFT(AR16,FIND(",",AR16&amp;",")-1))&lt;=70,"UNIT 2",IF(VALUE(LEFT(AR16,FIND(",",AR16&amp;",")-1))&lt;=110,"UNIT 3","COMMON")))</x:f>
        <x:v>UNIT 1</x:v>
      </x:c>
    </x:row>
    <x:row r="17">
      <x:c r="A17" s="19" t="str">
        <x:v>AST-016</x:v>
      </x:c>
      <x:c r="B17" s="19" t="str">
        <x:v>Motor BWRO 1#1</x:v>
      </x:c>
      <x:c r="C17" s="19" t="str">
        <x:v>LJ10GCK10AP005-001</x:v>
      </x:c>
      <x:c r="D17" s="19" t="str">
        <x:v>ISO 10816-3 (GROUP 2 RIGID)</x:v>
      </x:c>
      <x:c r="E17" s="19" t="str">
        <x:v>ISO 10816-3 (GROUP 2 RIGID)</x:v>
      </x:c>
      <x:c r="F17" s="19" t="str">
        <x:v>Pump</x:v>
      </x:c>
      <x:c r="G17" s="19" t="str">
        <x:v>W37</x:v>
      </x:c>
      <x:c r="H17" s="30" t="n">
        <x:v>45545</x:v>
      </x:c>
      <x:c r="I17" s="19" t="str">
        <x:v>PREWARNING</x:v>
      </x:c>
      <x:c r="J17" s="19" t="str">
        <x:v>MOTOR</x:v>
      </x:c>
      <x:c r="K17" s="19" t="str">
        <x:v>POMPA</x:v>
      </x:c>
      <x:c r="L17" s="19" t="str">
        <x:v>AEUBKG020015FMBP3</x:v>
      </x:c>
      <x:c r="M17" s="19" t="str">
        <x:v>2920 r/min</x:v>
      </x:c>
      <x:c r="N17" s="19" t="str">
        <x:v>11 kw</x:v>
      </x:c>
      <x:c r="O17" s="19" t="str">
        <x:v>Roller Bearing</x:v>
      </x:c>
      <x:c r="P17" s="19" t="str">
        <x:v>7309B</x:v>
      </x:c>
      <x:c r="Q17" s="19" t="str">
        <x:v>6307C3</x:v>
      </x:c>
      <x:c r="R17" s="19" t="str">
        <x:v>-</x:v>
      </x:c>
      <x:c r="S17" s="19" t="str">
        <x:v>Rigid</x:v>
      </x:c>
      <x:c r="T17" s="19" t="str"/>
      <x:c r="U17" s="19" t="str"/>
      <x:c r="V17" s="19" t="str"/>
      <x:c r="W17" s="19" t="str"/>
      <x:c r="X17" s="19" t="str"/>
      <x:c r="Y17" s="19" t="str"/>
      <x:c r="Z17" s="19" t="str"/>
      <x:c r="AA17" s="19" t="str"/>
      <x:c r="AB17" s="19" t="str"/>
      <x:c r="AC17" s="19" t="str">
        <x:v>A96536974P11003</x:v>
      </x:c>
      <x:c r="AD17" s="19" t="str"/>
      <x:c r="AE17" s="19" t="str">
        <x:v>2920 r/min</x:v>
      </x:c>
      <x:c r="AF17" s="19" t="str">
        <x:v>11 Kw</x:v>
      </x:c>
      <x:c r="AG17" s="19" t="str">
        <x:v>21 m3/h</x:v>
      </x:c>
      <x:c r="AH17" s="19" t="str"/>
      <x:c r="AI17" s="19" t="str"/>
      <x:c r="AJ17" s="19" t="str"/>
      <x:c r="AK17" s="19" t="str">
        <x:v>-</x:v>
      </x:c>
      <x:c r="AL17" s="19" t="str">
        <x:v>-</x:v>
      </x:c>
      <x:c r="AM17" s="19" t="str"/>
      <x:c r="AN17" s="19" t="str"/>
      <x:c r="AO17" s="19" t="str"/>
      <x:c r="AP17" s="19" t="str"/>
      <x:c r="AQ17" s="19" t="str"/>
      <x:c r="AR17" s="19" t="str">
        <x:v>32</x:v>
      </x:c>
      <x:c r="AS17" s="19" t="str"/>
      <x:c r="AT17" t="str">
        <x:f>IF(VALUE(LEFT(AR17,FIND(",",AR17&amp;",")-1))&lt;=36,"UNIT 1",IF(VALUE(LEFT(AR17,FIND(",",AR17&amp;",")-1))&lt;=70,"UNIT 2",IF(VALUE(LEFT(AR17,FIND(",",AR17&amp;",")-1))&lt;=110,"UNIT 3","COMMON")))</x:f>
        <x:v>UNIT 1</x:v>
      </x:c>
    </x:row>
    <x:row r="18">
      <x:c r="A18" s="19" t="str">
        <x:v>AST-017</x:v>
      </x:c>
      <x:c r="B18" s="19" t="str">
        <x:v>Motor SWRO 2#1</x:v>
      </x:c>
      <x:c r="C18" s="19" t="str">
        <x:v>LJ10GCK10AP008-001</x:v>
      </x:c>
      <x:c r="D18" s="19" t="str">
        <x:v>ISO 10816-3 (GROUP 2 RIGID)</x:v>
      </x:c>
      <x:c r="E18" s="19" t="str">
        <x:v>ISO 10816-3 (GROUP 2 RIGID)</x:v>
      </x:c>
      <x:c r="F18" s="19" t="str">
        <x:v>Pump</x:v>
      </x:c>
      <x:c r="G18" s="19" t="str">
        <x:v>W39</x:v>
      </x:c>
      <x:c r="H18" s="30" t="n">
        <x:v>45559</x:v>
      </x:c>
      <x:c r="I18" s="19" t="str">
        <x:v>NORMAL</x:v>
      </x:c>
      <x:c r="J18" s="19" t="str">
        <x:v>MOTOR</x:v>
      </x:c>
      <x:c r="K18" s="19" t="str">
        <x:v>POMPA</x:v>
      </x:c>
      <x:c r="L18" s="19" t="str"/>
      <x:c r="M18" s="19" t="str">
        <x:v>2970 r/min</x:v>
      </x:c>
      <x:c r="N18" s="19" t="str">
        <x:v>75</x:v>
      </x:c>
      <x:c r="O18" s="19" t="str"/>
      <x:c r="P18" s="19" t="str"/>
      <x:c r="Q18" s="19" t="str"/>
      <x:c r="R18" s="19" t="str">
        <x:v>-</x:v>
      </x:c>
      <x:c r="S18" s="19" t="str">
        <x:v>Rigid</x:v>
      </x:c>
      <x:c r="T18" s="19" t="str"/>
      <x:c r="U18" s="19" t="str"/>
      <x:c r="V18" s="19" t="str"/>
      <x:c r="W18" s="19" t="str"/>
      <x:c r="X18" s="19" t="str"/>
      <x:c r="Y18" s="19" t="str"/>
      <x:c r="Z18" s="19" t="str"/>
      <x:c r="AA18" s="19" t="str"/>
      <x:c r="AB18" s="19" t="str"/>
      <x:c r="AC18" s="19" t="str"/>
      <x:c r="AD18" s="19" t="str"/>
      <x:c r="AE18" s="19" t="str"/>
      <x:c r="AF18" s="19" t="str"/>
      <x:c r="AG18" s="19" t="str"/>
      <x:c r="AH18" s="19" t="str"/>
      <x:c r="AI18" s="19" t="str"/>
      <x:c r="AJ18" s="19" t="str"/>
      <x:c r="AK18" s="19" t="str">
        <x:v>-</x:v>
      </x:c>
      <x:c r="AL18" s="19" t="str">
        <x:v>-</x:v>
      </x:c>
      <x:c r="AM18" s="19" t="str"/>
      <x:c r="AN18" s="19" t="str"/>
      <x:c r="AO18" s="19" t="str"/>
      <x:c r="AP18" s="19" t="str"/>
      <x:c r="AQ18" s="19" t="str"/>
      <x:c r="AR18" s="19" t="str">
        <x:v>34</x:v>
      </x:c>
      <x:c r="AS18" s="19" t="str"/>
      <x:c r="AT18" t="str">
        <x:f>IF(VALUE(LEFT(AR18,FIND(",",AR18&amp;",")-1))&lt;=36,"UNIT 1",IF(VALUE(LEFT(AR18,FIND(",",AR18&amp;",")-1))&lt;=70,"UNIT 2",IF(VALUE(LEFT(AR18,FIND(",",AR18&amp;",")-1))&lt;=110,"UNIT 3","COMMON")))</x:f>
        <x:v>UNIT 1</x:v>
      </x:c>
    </x:row>
    <x:row r="19">
      <x:c r="A19" s="19" t="str">
        <x:v>AST-018</x:v>
      </x:c>
      <x:c r="B19" s="19" t="str">
        <x:v>AC OIL PUMP UNIT 1</x:v>
      </x:c>
      <x:c r="C19" s="19" t="str"/>
      <x:c r="D19" s="19" t="str">
        <x:v>ISO 10816-3 (GROUP 2 RIGID)</x:v>
      </x:c>
      <x:c r="E19" s="19" t="str">
        <x:v>ISO 10816-3 (GROUP 2 RIGID)</x:v>
      </x:c>
      <x:c r="F19" s="19" t="str">
        <x:v>Pump</x:v>
      </x:c>
      <x:c r="G19" s="19" t="str">
        <x:v>W38</x:v>
      </x:c>
      <x:c r="H19" s="30" t="n">
        <x:v>45551</x:v>
      </x:c>
      <x:c r="I19" s="19" t="str">
        <x:v>PREWARNING</x:v>
      </x:c>
      <x:c r="J19" s="19" t="str">
        <x:v>MOTOR</x:v>
      </x:c>
      <x:c r="K19" s="19" t="str">
        <x:v>POMPA</x:v>
      </x:c>
      <x:c r="L19" s="19" t="str">
        <x:v>Y2 - 250-6</x:v>
      </x:c>
      <x:c r="M19" s="19" t="str">
        <x:v>980 rpm</x:v>
      </x:c>
      <x:c r="N19" s="19" t="str">
        <x:v>37 kW</x:v>
      </x:c>
      <x:c r="O19" s="19" t="str"/>
      <x:c r="P19" s="19" t="str"/>
      <x:c r="Q19" s="19" t="str"/>
      <x:c r="R19" s="19" t="str">
        <x:v>-</x:v>
      </x:c>
      <x:c r="S19" s="19" t="str">
        <x:v>Rigid</x:v>
      </x:c>
      <x:c r="T19" s="19" t="str"/>
      <x:c r="U19" s="19" t="str"/>
      <x:c r="V19" s="19" t="str"/>
      <x:c r="W19" s="19" t="str"/>
      <x:c r="X19" s="19" t="str"/>
      <x:c r="Y19" s="19" t="str"/>
      <x:c r="Z19" s="19" t="str"/>
      <x:c r="AA19" s="19" t="str"/>
      <x:c r="AB19" s="19" t="str"/>
      <x:c r="AC19" s="19" t="str"/>
      <x:c r="AD19" s="19" t="str"/>
      <x:c r="AE19" s="19" t="str"/>
      <x:c r="AF19" s="19" t="str"/>
      <x:c r="AG19" s="19" t="str"/>
      <x:c r="AH19" s="19" t="str"/>
      <x:c r="AI19" s="19" t="str"/>
      <x:c r="AJ19" s="19" t="str"/>
      <x:c r="AK19" s="19" t="str">
        <x:v>-</x:v>
      </x:c>
      <x:c r="AL19" s="19" t="str">
        <x:v>-</x:v>
      </x:c>
      <x:c r="AM19" s="19" t="str"/>
      <x:c r="AN19" s="19" t="str"/>
      <x:c r="AO19" s="19" t="str"/>
      <x:c r="AP19" s="19" t="str"/>
      <x:c r="AQ19" s="19" t="str"/>
      <x:c r="AR19" s="19" t="str">
        <x:v>36</x:v>
      </x:c>
      <x:c r="AS19" s="19" t="str">
        <x:v>KKS kosong pada sumber PDF</x:v>
      </x:c>
      <x:c r="AT19" t="str">
        <x:f>IF(VALUE(LEFT(AR19,FIND(",",AR19&amp;",")-1))&lt;=36,"UNIT 1",IF(VALUE(LEFT(AR19,FIND(",",AR19&amp;",")-1))&lt;=70,"UNIT 2",IF(VALUE(LEFT(AR19,FIND(",",AR19&amp;",")-1))&lt;=110,"UNIT 3","COMMON")))</x:f>
        <x:v>UNIT 1</x:v>
      </x:c>
    </x:row>
    <x:row r="20">
      <x:c r="A20" s="19" t="str">
        <x:v>AST-019</x:v>
      </x:c>
      <x:c r="B20" s="19" t="str">
        <x:v>Motor ID Fan 1#2</x:v>
      </x:c>
      <x:c r="C20" s="19" t="str">
        <x:v>LJ20HNC10AN001-001</x:v>
      </x:c>
      <x:c r="D20" s="19" t="str">
        <x:v>ISO 10816-3 (GROUP 1 RIGID)</x:v>
      </x:c>
      <x:c r="E20" s="19" t="str">
        <x:v>ISO 10816-3 (GROUP 1 RIGID)</x:v>
      </x:c>
      <x:c r="F20" s="19" t="str">
        <x:v>Fan</x:v>
      </x:c>
      <x:c r="G20" s="19" t="str">
        <x:v>W39</x:v>
      </x:c>
      <x:c r="H20" s="30" t="n">
        <x:v>45559</x:v>
      </x:c>
      <x:c r="I20" s="19" t="str">
        <x:v>NORMAL</x:v>
      </x:c>
      <x:c r="J20" s="19" t="str">
        <x:v>MOTOR</x:v>
      </x:c>
      <x:c r="K20" s="19" t="str">
        <x:v>FAN</x:v>
      </x:c>
      <x:c r="L20" s="19" t="str">
        <x:v>YKK4003-4</x:v>
      </x:c>
      <x:c r="M20" s="19" t="str">
        <x:v>985</x:v>
      </x:c>
      <x:c r="N20" s="19" t="str">
        <x:v>355 Kw</x:v>
      </x:c>
      <x:c r="O20" s="19" t="str"/>
      <x:c r="P20" s="19" t="str">
        <x:v>NU324</x:v>
      </x:c>
      <x:c r="Q20" s="19" t="str">
        <x:v>6324</x:v>
      </x:c>
      <x:c r="R20" s="19" t="str">
        <x:v>-</x:v>
      </x:c>
      <x:c r="S20" s="19" t="str">
        <x:v>Rigid</x:v>
      </x:c>
      <x:c r="T20" s="19" t="str"/>
      <x:c r="U20" s="19" t="str"/>
      <x:c r="V20" s="19" t="str"/>
      <x:c r="W20" s="19" t="str"/>
      <x:c r="X20" s="19" t="str"/>
      <x:c r="Y20" s="19" t="str"/>
      <x:c r="Z20" s="19" t="str"/>
      <x:c r="AA20" s="19" t="str"/>
      <x:c r="AB20" s="19" t="str"/>
      <x:c r="AC20" s="19" t="str"/>
      <x:c r="AD20" s="19" t="str"/>
      <x:c r="AE20" s="19" t="str"/>
      <x:c r="AF20" s="19" t="str"/>
      <x:c r="AG20" s="19" t="str"/>
      <x:c r="AH20" s="19" t="str"/>
      <x:c r="AI20" s="19" t="str"/>
      <x:c r="AJ20" s="19" t="str"/>
      <x:c r="AK20" s="19" t="str">
        <x:v>-</x:v>
      </x:c>
      <x:c r="AL20" s="19" t="str">
        <x:v>-</x:v>
      </x:c>
      <x:c r="AM20" s="19" t="str"/>
      <x:c r="AN20" s="19" t="str"/>
      <x:c r="AO20" s="19" t="str"/>
      <x:c r="AP20" s="19" t="str"/>
      <x:c r="AQ20" s="19" t="str"/>
      <x:c r="AR20" s="19" t="str">
        <x:v>38</x:v>
      </x:c>
      <x:c r="AS20" s="19" t="str"/>
      <x:c r="AT20" t="str">
        <x:f>IF(VALUE(LEFT(AR20,FIND(",",AR20&amp;",")-1))&lt;=36,"UNIT 1",IF(VALUE(LEFT(AR20,FIND(",",AR20&amp;",")-1))&lt;=70,"UNIT 2",IF(VALUE(LEFT(AR20,FIND(",",AR20&amp;",")-1))&lt;=110,"UNIT 3","COMMON")))</x:f>
        <x:v>UNIT 2</x:v>
      </x:c>
    </x:row>
    <x:row r="21">
      <x:c r="A21" s="19" t="str">
        <x:v>AST-020</x:v>
      </x:c>
      <x:c r="B21" s="19" t="str">
        <x:v>Motor ID Fan 2#2</x:v>
      </x:c>
      <x:c r="C21" s="19" t="str">
        <x:v>LJ20HNC10AN002-001</x:v>
      </x:c>
      <x:c r="D21" s="19" t="str">
        <x:v>ISO 10816-3 (GROUP 1 RIGID)</x:v>
      </x:c>
      <x:c r="E21" s="19" t="str">
        <x:v>ISO 10816-3 (GROUP 1 RIGID)</x:v>
      </x:c>
      <x:c r="F21" s="19" t="str">
        <x:v>Fan</x:v>
      </x:c>
      <x:c r="G21" s="19" t="str">
        <x:v>W37</x:v>
      </x:c>
      <x:c r="H21" s="30" t="n">
        <x:v>45545</x:v>
      </x:c>
      <x:c r="I21" s="19" t="str">
        <x:v>PREWARNING</x:v>
      </x:c>
      <x:c r="J21" s="19" t="str">
        <x:v>MOTOR</x:v>
      </x:c>
      <x:c r="K21" s="19" t="str">
        <x:v>FAN</x:v>
      </x:c>
      <x:c r="L21" s="19" t="str">
        <x:v>YKK4003-4</x:v>
      </x:c>
      <x:c r="M21" s="19" t="str">
        <x:v>985</x:v>
      </x:c>
      <x:c r="N21" s="19" t="str">
        <x:v>355 Kw</x:v>
      </x:c>
      <x:c r="O21" s="19" t="str"/>
      <x:c r="P21" s="19" t="str">
        <x:v>NU324</x:v>
      </x:c>
      <x:c r="Q21" s="19" t="str">
        <x:v>6324</x:v>
      </x:c>
      <x:c r="R21" s="19" t="str">
        <x:v>-</x:v>
      </x:c>
      <x:c r="S21" s="19" t="str">
        <x:v>Rigid</x:v>
      </x:c>
      <x:c r="T21" s="19" t="str"/>
      <x:c r="U21" s="19" t="str"/>
      <x:c r="V21" s="19" t="str"/>
      <x:c r="W21" s="19" t="str"/>
      <x:c r="X21" s="19" t="str"/>
      <x:c r="Y21" s="19" t="str"/>
      <x:c r="Z21" s="19" t="str"/>
      <x:c r="AA21" s="19" t="str"/>
      <x:c r="AB21" s="19" t="str"/>
      <x:c r="AC21" s="19" t="str"/>
      <x:c r="AD21" s="19" t="str"/>
      <x:c r="AE21" s="19" t="str"/>
      <x:c r="AF21" s="19" t="str"/>
      <x:c r="AG21" s="19" t="str"/>
      <x:c r="AH21" s="19" t="str"/>
      <x:c r="AI21" s="19" t="str"/>
      <x:c r="AJ21" s="19" t="str"/>
      <x:c r="AK21" s="19" t="str">
        <x:v>-</x:v>
      </x:c>
      <x:c r="AL21" s="19" t="str">
        <x:v>-</x:v>
      </x:c>
      <x:c r="AM21" s="19" t="str"/>
      <x:c r="AN21" s="19" t="str"/>
      <x:c r="AO21" s="19" t="str"/>
      <x:c r="AP21" s="19" t="str"/>
      <x:c r="AQ21" s="19" t="str"/>
      <x:c r="AR21" s="19" t="str">
        <x:v>40</x:v>
      </x:c>
      <x:c r="AS21" s="19" t="str"/>
      <x:c r="AT21" t="str">
        <x:f>IF(VALUE(LEFT(AR21,FIND(",",AR21&amp;",")-1))&lt;=36,"UNIT 1",IF(VALUE(LEFT(AR21,FIND(",",AR21&amp;",")-1))&lt;=70,"UNIT 2",IF(VALUE(LEFT(AR21,FIND(",",AR21&amp;",")-1))&lt;=110,"UNIT 3","COMMON")))</x:f>
        <x:v>UNIT 2</x:v>
      </x:c>
    </x:row>
    <x:row r="22">
      <x:c r="A22" s="19" t="str">
        <x:v>AST-021</x:v>
      </x:c>
      <x:c r="B22" s="19" t="str">
        <x:v>Motor Primary Air Fan 1#2</x:v>
      </x:c>
      <x:c r="C22" s="19" t="str">
        <x:v>LJ20HLB10AN001-001</x:v>
      </x:c>
      <x:c r="D22" s="19" t="str">
        <x:v>ISO 10816-3 (GROUP 1 RIGID)</x:v>
      </x:c>
      <x:c r="E22" s="19" t="str">
        <x:v>ISO 10816-3 (GROUP 1 RIGID)</x:v>
      </x:c>
      <x:c r="F22" s="19" t="str">
        <x:v>Fan</x:v>
      </x:c>
      <x:c r="G22" s="19" t="str">
        <x:v>W39</x:v>
      </x:c>
      <x:c r="H22" s="30" t="n">
        <x:v>45560</x:v>
      </x:c>
      <x:c r="I22" s="19" t="str">
        <x:v>NORMAL</x:v>
      </x:c>
      <x:c r="J22" s="19" t="str">
        <x:v>MOTOR</x:v>
      </x:c>
      <x:c r="K22" s="19" t="str">
        <x:v>FAN</x:v>
      </x:c>
      <x:c r="L22" s="19" t="str">
        <x:v>YKK 4001-4</x:v>
      </x:c>
      <x:c r="M22" s="19" t="str">
        <x:v>1480 r/min</x:v>
      </x:c>
      <x:c r="N22" s="19" t="str">
        <x:v>280 kW</x:v>
      </x:c>
      <x:c r="O22" s="19" t="str">
        <x:v>Roller Bearing</x:v>
      </x:c>
      <x:c r="P22" s="19" t="str">
        <x:v>NU324</x:v>
      </x:c>
      <x:c r="Q22" s="19" t="str">
        <x:v>6224</x:v>
      </x:c>
      <x:c r="R22" s="19" t="str">
        <x:v>-</x:v>
      </x:c>
      <x:c r="S22" s="19" t="str">
        <x:v>Rigid</x:v>
      </x:c>
      <x:c r="T22" s="19" t="str"/>
      <x:c r="U22" s="19" t="str"/>
      <x:c r="V22" s="19" t="str"/>
      <x:c r="W22" s="19" t="str"/>
      <x:c r="X22" s="19" t="str"/>
      <x:c r="Y22" s="19" t="str"/>
      <x:c r="Z22" s="19" t="str"/>
      <x:c r="AA22" s="19" t="str"/>
      <x:c r="AB22" s="19" t="str"/>
      <x:c r="AC22" s="19" t="str">
        <x:v>QALG-217D</x:v>
      </x:c>
      <x:c r="AD22" s="19" t="str"/>
      <x:c r="AE22" s="19" t="str">
        <x:v>1450 r/min</x:v>
      </x:c>
      <x:c r="AF22" s="19" t="str"/>
      <x:c r="AG22" s="19" t="str"/>
      <x:c r="AH22" s="19" t="str">
        <x:v>13500 Pa</x:v>
      </x:c>
      <x:c r="AI22" s="19" t="str">
        <x:v>50000 m2/h</x:v>
      </x:c>
      <x:c r="AJ22" s="19" t="str">
        <x:v>-</x:v>
      </x:c>
      <x:c r="AK22" s="19" t="str">
        <x:v>-</x:v>
      </x:c>
      <x:c r="AL22" s="19" t="str">
        <x:v>-</x:v>
      </x:c>
      <x:c r="AM22" s="19" t="str">
        <x:v>-</x:v>
      </x:c>
      <x:c r="AN22" s="19" t="str"/>
      <x:c r="AO22" s="19" t="str"/>
      <x:c r="AP22" s="19" t="str"/>
      <x:c r="AQ22" s="19" t="str"/>
      <x:c r="AR22" s="19" t="str">
        <x:v>42</x:v>
      </x:c>
      <x:c r="AS22" s="19" t="str"/>
      <x:c r="AT22" t="str">
        <x:f>IF(VALUE(LEFT(AR22,FIND(",",AR22&amp;",")-1))&lt;=36,"UNIT 1",IF(VALUE(LEFT(AR22,FIND(",",AR22&amp;",")-1))&lt;=70,"UNIT 2",IF(VALUE(LEFT(AR22,FIND(",",AR22&amp;",")-1))&lt;=110,"UNIT 3","COMMON")))</x:f>
        <x:v>UNIT 2</x:v>
      </x:c>
    </x:row>
    <x:row r="23">
      <x:c r="A23" s="19" t="str">
        <x:v>AST-022</x:v>
      </x:c>
      <x:c r="B23" s="19" t="str">
        <x:v>Motor Primary Air Fan 2#2</x:v>
      </x:c>
      <x:c r="C23" s="19" t="str">
        <x:v>LJ20HLB10AN002-001</x:v>
      </x:c>
      <x:c r="D23" s="19" t="str">
        <x:v>ISO 10816-3 (GROUP 1 RIGID)</x:v>
      </x:c>
      <x:c r="E23" s="19" t="str">
        <x:v>ISO 10816-3 (GROUP 1 RIGID)</x:v>
      </x:c>
      <x:c r="F23" s="19" t="str">
        <x:v>Fan</x:v>
      </x:c>
      <x:c r="G23" s="19" t="str">
        <x:v>W37</x:v>
      </x:c>
      <x:c r="H23" s="30" t="n">
        <x:v>45546</x:v>
      </x:c>
      <x:c r="I23" s="19" t="str">
        <x:v>NORMAL</x:v>
      </x:c>
      <x:c r="J23" s="19" t="str">
        <x:v>MOTOR</x:v>
      </x:c>
      <x:c r="K23" s="19" t="str">
        <x:v>FAN</x:v>
      </x:c>
      <x:c r="L23" s="19" t="str">
        <x:v>YKK 4001-4</x:v>
      </x:c>
      <x:c r="M23" s="19" t="str">
        <x:v>1480 r/min</x:v>
      </x:c>
      <x:c r="N23" s="19" t="str">
        <x:v>280 kW</x:v>
      </x:c>
      <x:c r="O23" s="19" t="str">
        <x:v>Roller Bearing</x:v>
      </x:c>
      <x:c r="P23" s="19" t="str">
        <x:v>NU324</x:v>
      </x:c>
      <x:c r="Q23" s="19" t="str">
        <x:v>6224</x:v>
      </x:c>
      <x:c r="R23" s="19" t="str">
        <x:v>-</x:v>
      </x:c>
      <x:c r="S23" s="19" t="str">
        <x:v>Rigid</x:v>
      </x:c>
      <x:c r="T23" s="19" t="str"/>
      <x:c r="U23" s="19" t="str"/>
      <x:c r="V23" s="19" t="str"/>
      <x:c r="W23" s="19" t="str"/>
      <x:c r="X23" s="19" t="str"/>
      <x:c r="Y23" s="19" t="str"/>
      <x:c r="Z23" s="19" t="str"/>
      <x:c r="AA23" s="19" t="str"/>
      <x:c r="AB23" s="19" t="str"/>
      <x:c r="AC23" s="19" t="str">
        <x:v>QALG-217D</x:v>
      </x:c>
      <x:c r="AD23" s="19" t="str"/>
      <x:c r="AE23" s="19" t="str">
        <x:v>1450 r/min</x:v>
      </x:c>
      <x:c r="AF23" s="19" t="str"/>
      <x:c r="AG23" s="19" t="str"/>
      <x:c r="AH23" s="19" t="str">
        <x:v>13500 Pa</x:v>
      </x:c>
      <x:c r="AI23" s="19" t="str">
        <x:v>50000 m2/h</x:v>
      </x:c>
      <x:c r="AJ23" s="19" t="str">
        <x:v>-</x:v>
      </x:c>
      <x:c r="AK23" s="19" t="str">
        <x:v>-</x:v>
      </x:c>
      <x:c r="AL23" s="19" t="str">
        <x:v>-</x:v>
      </x:c>
      <x:c r="AM23" s="19" t="str">
        <x:v>-</x:v>
      </x:c>
      <x:c r="AN23" s="19" t="str"/>
      <x:c r="AO23" s="19" t="str"/>
      <x:c r="AP23" s="19" t="str"/>
      <x:c r="AQ23" s="19" t="str"/>
      <x:c r="AR23" s="19" t="str">
        <x:v>44</x:v>
      </x:c>
      <x:c r="AS23" s="19" t="str"/>
      <x:c r="AT23" t="str">
        <x:f>IF(VALUE(LEFT(AR23,FIND(",",AR23&amp;",")-1))&lt;=36,"UNIT 1",IF(VALUE(LEFT(AR23,FIND(",",AR23&amp;",")-1))&lt;=70,"UNIT 2",IF(VALUE(LEFT(AR23,FIND(",",AR23&amp;",")-1))&lt;=110,"UNIT 3","COMMON")))</x:f>
        <x:v>UNIT 2</x:v>
      </x:c>
    </x:row>
    <x:row r="24">
      <x:c r="A24" s="19" t="str">
        <x:v>AST-023</x:v>
      </x:c>
      <x:c r="B24" s="19" t="str">
        <x:v>Motor Secondary Air Fan 1#2</x:v>
      </x:c>
      <x:c r="C24" s="19" t="str">
        <x:v>LJ20HLB10AN003-001</x:v>
      </x:c>
      <x:c r="D24" s="19" t="str">
        <x:v>ISO 10816-3 (GROUP 1 RIGID)</x:v>
      </x:c>
      <x:c r="E24" s="19" t="str">
        <x:v>ISO 10816-3 (GROUP 1 RIGID)</x:v>
      </x:c>
      <x:c r="F24" s="19" t="str">
        <x:v>Fan</x:v>
      </x:c>
      <x:c r="G24" s="19" t="str">
        <x:v>W39</x:v>
      </x:c>
      <x:c r="H24" s="30" t="n">
        <x:v>45560</x:v>
      </x:c>
      <x:c r="I24" s="19" t="str">
        <x:v>PREWARNING</x:v>
      </x:c>
      <x:c r="J24" s="19" t="str">
        <x:v>MOTOR</x:v>
      </x:c>
      <x:c r="K24" s="19" t="str">
        <x:v>FAN</x:v>
      </x:c>
      <x:c r="L24" s="19" t="str">
        <x:v>YKK 4001-4</x:v>
      </x:c>
      <x:c r="M24" s="19" t="str">
        <x:v>1480 r/min</x:v>
      </x:c>
      <x:c r="N24" s="19" t="str">
        <x:v>280 kW</x:v>
      </x:c>
      <x:c r="O24" s="19" t="str">
        <x:v>Roller Bearing</x:v>
      </x:c>
      <x:c r="P24" s="19" t="str">
        <x:v>NU324</x:v>
      </x:c>
      <x:c r="Q24" s="19" t="str">
        <x:v>6224</x:v>
      </x:c>
      <x:c r="R24" s="19" t="str">
        <x:v>-</x:v>
      </x:c>
      <x:c r="S24" s="19" t="str">
        <x:v>Rigid</x:v>
      </x:c>
      <x:c r="T24" s="19" t="str"/>
      <x:c r="U24" s="19" t="str"/>
      <x:c r="V24" s="19" t="str"/>
      <x:c r="W24" s="19" t="str"/>
      <x:c r="X24" s="19" t="str"/>
      <x:c r="Y24" s="19" t="str"/>
      <x:c r="Z24" s="19" t="str"/>
      <x:c r="AA24" s="19" t="str"/>
      <x:c r="AB24" s="19" t="str"/>
      <x:c r="AC24" s="19" t="str">
        <x:v>QALG-217D</x:v>
      </x:c>
      <x:c r="AD24" s="19" t="str"/>
      <x:c r="AE24" s="19" t="str">
        <x:v>1450 r/min</x:v>
      </x:c>
      <x:c r="AF24" s="19" t="str"/>
      <x:c r="AG24" s="19" t="str"/>
      <x:c r="AH24" s="19" t="str">
        <x:v>13500 Pa</x:v>
      </x:c>
      <x:c r="AI24" s="19" t="str">
        <x:v>50000 m2/h</x:v>
      </x:c>
      <x:c r="AJ24" s="19" t="str">
        <x:v>-</x:v>
      </x:c>
      <x:c r="AK24" s="19" t="str">
        <x:v>-</x:v>
      </x:c>
      <x:c r="AL24" s="19" t="str">
        <x:v>-</x:v>
      </x:c>
      <x:c r="AM24" s="19" t="str">
        <x:v>-</x:v>
      </x:c>
      <x:c r="AN24" s="19" t="str"/>
      <x:c r="AO24" s="19" t="str"/>
      <x:c r="AP24" s="19" t="str"/>
      <x:c r="AQ24" s="19" t="str"/>
      <x:c r="AR24" s="19" t="str">
        <x:v>46</x:v>
      </x:c>
      <x:c r="AS24" s="19" t="str"/>
      <x:c r="AT24" t="str">
        <x:f>IF(VALUE(LEFT(AR24,FIND(",",AR24&amp;",")-1))&lt;=36,"UNIT 1",IF(VALUE(LEFT(AR24,FIND(",",AR24&amp;",")-1))&lt;=70,"UNIT 2",IF(VALUE(LEFT(AR24,FIND(",",AR24&amp;",")-1))&lt;=110,"UNIT 3","COMMON")))</x:f>
        <x:v>UNIT 2</x:v>
      </x:c>
    </x:row>
    <x:row r="25">
      <x:c r="A25" s="19" t="str">
        <x:v>AST-024</x:v>
      </x:c>
      <x:c r="B25" s="19" t="str">
        <x:v>Motor Secondary Air Fan 2#2</x:v>
      </x:c>
      <x:c r="C25" s="19" t="str">
        <x:v>LJ20HLB10AN004-001</x:v>
      </x:c>
      <x:c r="D25" s="19" t="str">
        <x:v>ISO 10816-3 (GROUP 1 RIGID)</x:v>
      </x:c>
      <x:c r="E25" s="19" t="str">
        <x:v>ISO 10816-3 (GROUP 1 RIGID)</x:v>
      </x:c>
      <x:c r="F25" s="19" t="str">
        <x:v>Fan</x:v>
      </x:c>
      <x:c r="G25" s="19" t="str">
        <x:v>W37</x:v>
      </x:c>
      <x:c r="H25" s="30" t="n">
        <x:v>45546</x:v>
      </x:c>
      <x:c r="I25" s="19" t="str">
        <x:v>NORMAL</x:v>
      </x:c>
      <x:c r="J25" s="19" t="str">
        <x:v>MOTOR</x:v>
      </x:c>
      <x:c r="K25" s="19" t="str">
        <x:v>FAN</x:v>
      </x:c>
      <x:c r="L25" s="19" t="str">
        <x:v>YKK 4001-4</x:v>
      </x:c>
      <x:c r="M25" s="19" t="str">
        <x:v>1480 r/min</x:v>
      </x:c>
      <x:c r="N25" s="19" t="str">
        <x:v>280 kW</x:v>
      </x:c>
      <x:c r="O25" s="19" t="str">
        <x:v>Roller Bearing</x:v>
      </x:c>
      <x:c r="P25" s="19" t="str">
        <x:v>NU324</x:v>
      </x:c>
      <x:c r="Q25" s="19" t="str">
        <x:v>6224</x:v>
      </x:c>
      <x:c r="R25" s="19" t="str">
        <x:v>-</x:v>
      </x:c>
      <x:c r="S25" s="19" t="str">
        <x:v>Rigid</x:v>
      </x:c>
      <x:c r="T25" s="19" t="str"/>
      <x:c r="U25" s="19" t="str"/>
      <x:c r="V25" s="19" t="str"/>
      <x:c r="W25" s="19" t="str"/>
      <x:c r="X25" s="19" t="str"/>
      <x:c r="Y25" s="19" t="str"/>
      <x:c r="Z25" s="19" t="str"/>
      <x:c r="AA25" s="19" t="str"/>
      <x:c r="AB25" s="19" t="str"/>
      <x:c r="AC25" s="19" t="str">
        <x:v>QALG-217D</x:v>
      </x:c>
      <x:c r="AD25" s="19" t="str"/>
      <x:c r="AE25" s="19" t="str">
        <x:v>1450 r/min</x:v>
      </x:c>
      <x:c r="AF25" s="19" t="str"/>
      <x:c r="AG25" s="19" t="str"/>
      <x:c r="AH25" s="19" t="str">
        <x:v>13500 Pa</x:v>
      </x:c>
      <x:c r="AI25" s="19" t="str">
        <x:v>50000 m2/h</x:v>
      </x:c>
      <x:c r="AJ25" s="19" t="str">
        <x:v>-</x:v>
      </x:c>
      <x:c r="AK25" s="19" t="str">
        <x:v>-</x:v>
      </x:c>
      <x:c r="AL25" s="19" t="str">
        <x:v>-</x:v>
      </x:c>
      <x:c r="AM25" s="19" t="str">
        <x:v>-</x:v>
      </x:c>
      <x:c r="AN25" s="19" t="str"/>
      <x:c r="AO25" s="19" t="str"/>
      <x:c r="AP25" s="19" t="str"/>
      <x:c r="AQ25" s="19" t="str"/>
      <x:c r="AR25" s="19" t="str">
        <x:v>48</x:v>
      </x:c>
      <x:c r="AS25" s="19" t="str"/>
      <x:c r="AT25" t="str">
        <x:f>IF(VALUE(LEFT(AR25,FIND(",",AR25&amp;",")-1))&lt;=36,"UNIT 1",IF(VALUE(LEFT(AR25,FIND(",",AR25&amp;",")-1))&lt;=70,"UNIT 2",IF(VALUE(LEFT(AR25,FIND(",",AR25&amp;",")-1))&lt;=110,"UNIT 3","COMMON")))</x:f>
        <x:v>UNIT 2</x:v>
      </x:c>
    </x:row>
    <x:row r="26">
      <x:c r="A26" s="19" t="str">
        <x:v>AST-025</x:v>
      </x:c>
      <x:c r="B26" s="19" t="str">
        <x:v>Turbin-Generator#2</x:v>
      </x:c>
      <x:c r="C26" s="19" t="str">
        <x:v>LJ20MAA10HB010-001</x:v>
      </x:c>
      <x:c r="D26" s="19" t="str">
        <x:v>ISO 10816-2</x:v>
      </x:c>
      <x:c r="E26" s="19" t="str">
        <x:v>ISO 10816-2</x:v>
      </x:c>
      <x:c r="F26" s="19" t="str">
        <x:v>Turbine-Generator</x:v>
      </x:c>
      <x:c r="G26" s="19" t="str">
        <x:v>W39</x:v>
      </x:c>
      <x:c r="H26" s="30" t="n">
        <x:v>45560</x:v>
      </x:c>
      <x:c r="I26" s="19" t="str">
        <x:v>PREWARNING</x:v>
      </x:c>
      <x:c r="J26" s="19" t="str">
        <x:v>GENERATOR</x:v>
      </x:c>
      <x:c r="K26" s="19" t="str">
        <x:v>TURBINE</x:v>
      </x:c>
      <x:c r="L26" s="19" t="str">
        <x:v>China Changjiang Energy Corp.</x:v>
      </x:c>
      <x:c r="M26" s="19" t="str"/>
      <x:c r="N26" s="19" t="str"/>
      <x:c r="O26" s="19" t="str"/>
      <x:c r="P26" s="19" t="str"/>
      <x:c r="Q26" s="19" t="str"/>
      <x:c r="R26" s="19" t="str"/>
      <x:c r="S26" s="19" t="str"/>
      <x:c r="T26" s="19" t="str"/>
      <x:c r="U26" s="19" t="str"/>
      <x:c r="V26" s="19" t="str"/>
      <x:c r="W26" s="19" t="str">
        <x:v>37.5 MVA</x:v>
      </x:c>
      <x:c r="X26" s="19" t="str">
        <x:v>30 MW</x:v>
      </x:c>
      <x:c r="Y26" s="19" t="str">
        <x:v>6.3 kV Phase 3 Wire</x:v>
      </x:c>
      <x:c r="Z26" s="19" t="str"/>
      <x:c r="AA26" s="19" t="str">
        <x:v>3000 r/min</x:v>
      </x:c>
      <x:c r="AB26" s="19" t="str">
        <x:v>50 Hz</x:v>
      </x:c>
      <x:c r="AC26" s="19" t="str"/>
      <x:c r="AD26" s="19" t="str">
        <x:v>China Changjiang Energy Corp.</x:v>
      </x:c>
      <x:c r="AE26" s="19" t="str">
        <x:v>3000 r/min</x:v>
      </x:c>
      <x:c r="AF26" s="19" t="str"/>
      <x:c r="AG26" s="19" t="str"/>
      <x:c r="AH26" s="19" t="str"/>
      <x:c r="AI26" s="19" t="str"/>
      <x:c r="AJ26" s="19" t="str"/>
      <x:c r="AK26" s="19" t="str"/>
      <x:c r="AL26" s="19" t="str"/>
      <x:c r="AM26" s="19" t="str"/>
      <x:c r="AN26" s="19" t="str">
        <x:v>30 MW</x:v>
      </x:c>
      <x:c r="AO26" s="19" t="str">
        <x:v>6</x:v>
      </x:c>
      <x:c r="AP26" s="19" t="str">
        <x:v>19</x:v>
      </x:c>
      <x:c r="AQ26" s="19" t="str">
        <x:v>Digital Electric Hidroulic (Woodard 505)</x:v>
      </x:c>
      <x:c r="AR26" s="19" t="str">
        <x:v>50</x:v>
      </x:c>
      <x:c r="AS26" s="19" t="str"/>
      <x:c r="AT26" t="str">
        <x:f>IF(VALUE(LEFT(AR26,FIND(",",AR26&amp;",")-1))&lt;=36,"UNIT 1",IF(VALUE(LEFT(AR26,FIND(",",AR26&amp;",")-1))&lt;=70,"UNIT 2",IF(VALUE(LEFT(AR26,FIND(",",AR26&amp;",")-1))&lt;=110,"UNIT 3","COMMON")))</x:f>
        <x:v>UNIT 2</x:v>
      </x:c>
    </x:row>
    <x:row r="27">
      <x:c r="A27" s="19" t="str">
        <x:v>AST-026</x:v>
      </x:c>
      <x:c r="B27" s="19" t="str">
        <x:v>Motor Condensat Pump 1#2</x:v>
      </x:c>
      <x:c r="C27" s="19" t="str">
        <x:v>LJ20LCB10AP010-001</x:v>
      </x:c>
      <x:c r="D27" s="19" t="str">
        <x:v>ISO 10816-3 (GROUP 2 RIGID)</x:v>
      </x:c>
      <x:c r="E27" s="19" t="str">
        <x:v>ISO 10816-3 (GROUP 2 RIGID)</x:v>
      </x:c>
      <x:c r="F27" s="19" t="str">
        <x:v>Pump</x:v>
      </x:c>
      <x:c r="G27" s="19" t="str">
        <x:v>W36</x:v>
      </x:c>
      <x:c r="H27" s="30" t="n">
        <x:v>45537</x:v>
      </x:c>
      <x:c r="I27" s="19" t="str">
        <x:v>NORMAL</x:v>
      </x:c>
      <x:c r="J27" s="19" t="str">
        <x:v>MOTOR</x:v>
      </x:c>
      <x:c r="K27" s="19" t="str">
        <x:v>POMPA</x:v>
      </x:c>
      <x:c r="L27" s="19" t="str">
        <x:v>YLB 250-2-4</x:v>
      </x:c>
      <x:c r="M27" s="19" t="str">
        <x:v>1430 rpm</x:v>
      </x:c>
      <x:c r="N27" s="19" t="str">
        <x:v>75 kW</x:v>
      </x:c>
      <x:c r="O27" s="19" t="str">
        <x:v>-</x:v>
      </x:c>
      <x:c r="P27" s="19" t="str">
        <x:v>-</x:v>
      </x:c>
      <x:c r="Q27" s="19" t="str">
        <x:v>-</x:v>
      </x:c>
      <x:c r="R27" s="19" t="str">
        <x:v>-</x:v>
      </x:c>
      <x:c r="S27" s="19" t="str">
        <x:v>Rigid</x:v>
      </x:c>
      <x:c r="T27" s="19" t="str"/>
      <x:c r="U27" s="19" t="str"/>
      <x:c r="V27" s="19" t="str"/>
      <x:c r="W27" s="19" t="str"/>
      <x:c r="X27" s="19" t="str"/>
      <x:c r="Y27" s="19" t="str"/>
      <x:c r="Z27" s="19" t="str"/>
      <x:c r="AA27" s="19" t="str"/>
      <x:c r="AB27" s="19" t="str"/>
      <x:c r="AC27" s="19" t="str"/>
      <x:c r="AD27" s="19" t="str"/>
      <x:c r="AE27" s="19" t="str"/>
      <x:c r="AF27" s="19" t="str"/>
      <x:c r="AG27" s="19" t="str"/>
      <x:c r="AH27" s="19" t="str"/>
      <x:c r="AI27" s="19" t="str"/>
      <x:c r="AJ27" s="19" t="str"/>
      <x:c r="AK27" s="19" t="str">
        <x:v>-</x:v>
      </x:c>
      <x:c r="AL27" s="19" t="str">
        <x:v>-</x:v>
      </x:c>
      <x:c r="AM27" s="19" t="str"/>
      <x:c r="AN27" s="19" t="str"/>
      <x:c r="AO27" s="19" t="str"/>
      <x:c r="AP27" s="19" t="str"/>
      <x:c r="AQ27" s="19" t="str"/>
      <x:c r="AR27" s="19" t="str">
        <x:v>52</x:v>
      </x:c>
      <x:c r="AS27" s="19" t="str"/>
      <x:c r="AT27" t="str">
        <x:f>IF(VALUE(LEFT(AR27,FIND(",",AR27&amp;",")-1))&lt;=36,"UNIT 1",IF(VALUE(LEFT(AR27,FIND(",",AR27&amp;",")-1))&lt;=70,"UNIT 2",IF(VALUE(LEFT(AR27,FIND(",",AR27&amp;",")-1))&lt;=110,"UNIT 3","COMMON")))</x:f>
        <x:v>UNIT 2</x:v>
      </x:c>
    </x:row>
    <x:row r="28">
      <x:c r="A28" s="19" t="str">
        <x:v>AST-027</x:v>
      </x:c>
      <x:c r="B28" s="19" t="str">
        <x:v>Motor Vacuum Pump 1#2</x:v>
      </x:c>
      <x:c r="C28" s="19" t="str">
        <x:v>LJ20MAG10AP011-001</x:v>
      </x:c>
      <x:c r="D28" s="19" t="str">
        <x:v>ISO 10816-3 (GROUP 2 RIGID)</x:v>
      </x:c>
      <x:c r="E28" s="19" t="str">
        <x:v>ISO 10816-3 (GROUP 2 RIGID)</x:v>
      </x:c>
      <x:c r="F28" s="19" t="str">
        <x:v>Pump</x:v>
      </x:c>
      <x:c r="G28" s="19" t="str">
        <x:v>W39</x:v>
      </x:c>
      <x:c r="H28" s="30" t="n">
        <x:v>45561</x:v>
      </x:c>
      <x:c r="I28" s="19" t="str">
        <x:v>PREWARNING</x:v>
      </x:c>
      <x:c r="J28" s="19" t="str">
        <x:v>MOTOR</x:v>
      </x:c>
      <x:c r="K28" s="19" t="str">
        <x:v>POMPA</x:v>
      </x:c>
      <x:c r="L28" s="19" t="str">
        <x:v>Y2 - 250-6</x:v>
      </x:c>
      <x:c r="M28" s="19" t="str">
        <x:v>980 rpm</x:v>
      </x:c>
      <x:c r="N28" s="19" t="str">
        <x:v>37 kW</x:v>
      </x:c>
      <x:c r="O28" s="19" t="str"/>
      <x:c r="P28" s="19" t="str"/>
      <x:c r="Q28" s="19" t="str"/>
      <x:c r="R28" s="19" t="str">
        <x:v>-</x:v>
      </x:c>
      <x:c r="S28" s="19" t="str">
        <x:v>Rigid</x:v>
      </x:c>
      <x:c r="T28" s="19" t="str"/>
      <x:c r="U28" s="19" t="str"/>
      <x:c r="V28" s="19" t="str"/>
      <x:c r="W28" s="19" t="str"/>
      <x:c r="X28" s="19" t="str"/>
      <x:c r="Y28" s="19" t="str"/>
      <x:c r="Z28" s="19" t="str"/>
      <x:c r="AA28" s="19" t="str"/>
      <x:c r="AB28" s="19" t="str"/>
      <x:c r="AC28" s="19" t="str"/>
      <x:c r="AD28" s="19" t="str"/>
      <x:c r="AE28" s="19" t="str"/>
      <x:c r="AF28" s="19" t="str"/>
      <x:c r="AG28" s="19" t="str"/>
      <x:c r="AH28" s="19" t="str"/>
      <x:c r="AI28" s="19" t="str"/>
      <x:c r="AJ28" s="19" t="str"/>
      <x:c r="AK28" s="19" t="str">
        <x:v>-</x:v>
      </x:c>
      <x:c r="AL28" s="19" t="str">
        <x:v>-</x:v>
      </x:c>
      <x:c r="AM28" s="19" t="str"/>
      <x:c r="AN28" s="19" t="str"/>
      <x:c r="AO28" s="19" t="str"/>
      <x:c r="AP28" s="19" t="str"/>
      <x:c r="AQ28" s="19" t="str"/>
      <x:c r="AR28" s="19" t="str">
        <x:v>54</x:v>
      </x:c>
      <x:c r="AS28" s="19" t="str"/>
      <x:c r="AT28" t="str">
        <x:f>IF(VALUE(LEFT(AR28,FIND(",",AR28&amp;",")-1))&lt;=36,"UNIT 1",IF(VALUE(LEFT(AR28,FIND(",",AR28&amp;",")-1))&lt;=70,"UNIT 2",IF(VALUE(LEFT(AR28,FIND(",",AR28&amp;",")-1))&lt;=110,"UNIT 3","COMMON")))</x:f>
        <x:v>UNIT 2</x:v>
      </x:c>
    </x:row>
    <x:row r="29">
      <x:c r="A29" s="19" t="str">
        <x:v>AST-028</x:v>
      </x:c>
      <x:c r="B29" s="19" t="str">
        <x:v>Motor Vacuum Pump 2#2</x:v>
      </x:c>
      <x:c r="C29" s="19" t="str">
        <x:v>LJ20MAG10AP012-001</x:v>
      </x:c>
      <x:c r="D29" s="19" t="str">
        <x:v>ISO 10816-3 (GROUP 2 RIGID)</x:v>
      </x:c>
      <x:c r="E29" s="19" t="str">
        <x:v>ISO 10816-3 (GROUP 2 RIGID)</x:v>
      </x:c>
      <x:c r="F29" s="19" t="str">
        <x:v>Pump</x:v>
      </x:c>
      <x:c r="G29" s="19" t="str">
        <x:v>W39</x:v>
      </x:c>
      <x:c r="H29" s="30" t="n">
        <x:v>45561</x:v>
      </x:c>
      <x:c r="I29" s="19" t="str">
        <x:v>PREWARNING</x:v>
      </x:c>
      <x:c r="J29" s="19" t="str">
        <x:v>MOTOR</x:v>
      </x:c>
      <x:c r="K29" s="19" t="str">
        <x:v>POMPA</x:v>
      </x:c>
      <x:c r="L29" s="19" t="str">
        <x:v>Y2 - 250-6</x:v>
      </x:c>
      <x:c r="M29" s="19" t="str">
        <x:v>980 rpm</x:v>
      </x:c>
      <x:c r="N29" s="19" t="str">
        <x:v>37 kW</x:v>
      </x:c>
      <x:c r="O29" s="19" t="str"/>
      <x:c r="P29" s="19" t="str"/>
      <x:c r="Q29" s="19" t="str"/>
      <x:c r="R29" s="19" t="str">
        <x:v>-</x:v>
      </x:c>
      <x:c r="S29" s="19" t="str">
        <x:v>Rigid</x:v>
      </x:c>
      <x:c r="T29" s="19" t="str"/>
      <x:c r="U29" s="19" t="str"/>
      <x:c r="V29" s="19" t="str"/>
      <x:c r="W29" s="19" t="str"/>
      <x:c r="X29" s="19" t="str"/>
      <x:c r="Y29" s="19" t="str"/>
      <x:c r="Z29" s="19" t="str"/>
      <x:c r="AA29" s="19" t="str"/>
      <x:c r="AB29" s="19" t="str"/>
      <x:c r="AC29" s="19" t="str"/>
      <x:c r="AD29" s="19" t="str"/>
      <x:c r="AE29" s="19" t="str"/>
      <x:c r="AF29" s="19" t="str"/>
      <x:c r="AG29" s="19" t="str"/>
      <x:c r="AH29" s="19" t="str"/>
      <x:c r="AI29" s="19" t="str"/>
      <x:c r="AJ29" s="19" t="str"/>
      <x:c r="AK29" s="19" t="str">
        <x:v>-</x:v>
      </x:c>
      <x:c r="AL29" s="19" t="str">
        <x:v>-</x:v>
      </x:c>
      <x:c r="AM29" s="19" t="str"/>
      <x:c r="AN29" s="19" t="str"/>
      <x:c r="AO29" s="19" t="str"/>
      <x:c r="AP29" s="19" t="str"/>
      <x:c r="AQ29" s="19" t="str"/>
      <x:c r="AR29" s="19" t="str">
        <x:v>56</x:v>
      </x:c>
      <x:c r="AS29" s="19" t="str"/>
      <x:c r="AT29" t="str">
        <x:f>IF(VALUE(LEFT(AR29,FIND(",",AR29&amp;",")-1))&lt;=36,"UNIT 1",IF(VALUE(LEFT(AR29,FIND(",",AR29&amp;",")-1))&lt;=70,"UNIT 2",IF(VALUE(LEFT(AR29,FIND(",",AR29&amp;",")-1))&lt;=110,"UNIT 3","COMMON")))</x:f>
        <x:v>UNIT 2</x:v>
      </x:c>
    </x:row>
    <x:row r="30">
      <x:c r="A30" s="19" t="str">
        <x:v>AST-029</x:v>
      </x:c>
      <x:c r="B30" s="19" t="str">
        <x:v>Motor Boiler Feed Pump 2#2</x:v>
      </x:c>
      <x:c r="C30" s="19" t="str">
        <x:v>LJ20LAC10AP002-001</x:v>
      </x:c>
      <x:c r="D30" s="19" t="str">
        <x:v>ISO 10816-3 (GROUP 1 RIGID)</x:v>
      </x:c>
      <x:c r="E30" s="19" t="str">
        <x:v>ISO 10816-3 (GROUP 1 RIGID)</x:v>
      </x:c>
      <x:c r="F30" s="19" t="str">
        <x:v>Pump</x:v>
      </x:c>
      <x:c r="G30" s="19" t="str">
        <x:v>W36</x:v>
      </x:c>
      <x:c r="H30" s="30" t="n">
        <x:v>45537</x:v>
      </x:c>
      <x:c r="I30" s="19" t="str">
        <x:v>PREWARNING</x:v>
      </x:c>
      <x:c r="J30" s="19" t="str">
        <x:v>MOTOR</x:v>
      </x:c>
      <x:c r="K30" s="19" t="str">
        <x:v>FAN</x:v>
      </x:c>
      <x:c r="L30" s="19" t="str">
        <x:v>SY23372-1028, QINGJIANG</x:v>
      </x:c>
      <x:c r="M30" s="19" t="str">
        <x:v>2980 rpm</x:v>
      </x:c>
      <x:c r="N30" s="19" t="str">
        <x:v>1000</x:v>
      </x:c>
      <x:c r="O30" s="19" t="str"/>
      <x:c r="P30" s="19" t="str">
        <x:v>NU 224EC</x:v>
      </x:c>
      <x:c r="Q30" s="19" t="str">
        <x:v>6224/C3</x:v>
      </x:c>
      <x:c r="R30" s="19" t="str">
        <x:v>-</x:v>
      </x:c>
      <x:c r="S30" s="19" t="str">
        <x:v>Rigid</x:v>
      </x:c>
      <x:c r="T30" s="19" t="str"/>
      <x:c r="U30" s="19" t="str"/>
      <x:c r="V30" s="19" t="str"/>
      <x:c r="W30" s="19" t="str"/>
      <x:c r="X30" s="19" t="str"/>
      <x:c r="Y30" s="19" t="str"/>
      <x:c r="Z30" s="19" t="str"/>
      <x:c r="AA30" s="19" t="str"/>
      <x:c r="AB30" s="19" t="str"/>
      <x:c r="AC30" s="19" t="str">
        <x:v>SHENYANG AST PUMP MANUFACTURING CO.,LTD</x:v>
      </x:c>
      <x:c r="AD30" s="19" t="str"/>
      <x:c r="AE30" s="19" t="str">
        <x:v>2980 rpm</x:v>
      </x:c>
      <x:c r="AF30" s="19" t="str"/>
      <x:c r="AG30" s="19" t="str">
        <x:v>140</x:v>
      </x:c>
      <x:c r="AH30" s="19" t="str"/>
      <x:c r="AI30" s="19" t="str"/>
      <x:c r="AJ30" s="19" t="str"/>
      <x:c r="AK30" s="19" t="str">
        <x:v>-</x:v>
      </x:c>
      <x:c r="AL30" s="19" t="str">
        <x:v>-</x:v>
      </x:c>
      <x:c r="AM30" s="19" t="str"/>
      <x:c r="AN30" s="19" t="str"/>
      <x:c r="AO30" s="19" t="str"/>
      <x:c r="AP30" s="19" t="str"/>
      <x:c r="AQ30" s="19" t="str"/>
      <x:c r="AR30" s="19" t="str">
        <x:v>58</x:v>
      </x:c>
      <x:c r="AS30" s="19" t="str"/>
      <x:c r="AT30" t="str">
        <x:f>IF(VALUE(LEFT(AR30,FIND(",",AR30&amp;",")-1))&lt;=36,"UNIT 1",IF(VALUE(LEFT(AR30,FIND(",",AR30&amp;",")-1))&lt;=70,"UNIT 2",IF(VALUE(LEFT(AR30,FIND(",",AR30&amp;",")-1))&lt;=110,"UNIT 3","COMMON")))</x:f>
        <x:v>UNIT 2</x:v>
      </x:c>
    </x:row>
    <x:row r="31">
      <x:c r="A31" s="19" t="str">
        <x:v>AST-030</x:v>
      </x:c>
      <x:c r="B31" s="19" t="str">
        <x:v>Motor CCCWP 1#2</x:v>
      </x:c>
      <x:c r="C31" s="19" t="str">
        <x:v>LJ20PGB10AP001-001</x:v>
      </x:c>
      <x:c r="D31" s="19" t="str">
        <x:v>ISO 10816-3 (GROUP 2 RIGID)</x:v>
      </x:c>
      <x:c r="E31" s="19" t="str">
        <x:v>ISO 10816-3 (GROUP 2 RIGID)</x:v>
      </x:c>
      <x:c r="F31" s="19" t="str">
        <x:v>Pump</x:v>
      </x:c>
      <x:c r="G31" s="19" t="str">
        <x:v>W39</x:v>
      </x:c>
      <x:c r="H31" s="30" t="n">
        <x:v>45561</x:v>
      </x:c>
      <x:c r="I31" s="19" t="str">
        <x:v>PREWARNING</x:v>
      </x:c>
      <x:c r="J31" s="19" t="str">
        <x:v>MOTOR</x:v>
      </x:c>
      <x:c r="K31" s="19" t="str">
        <x:v>POMPA</x:v>
      </x:c>
      <x:c r="L31" s="19" t="str">
        <x:v>Y2 - 280-4</x:v>
      </x:c>
      <x:c r="M31" s="19" t="str">
        <x:v>980 rpm</x:v>
      </x:c>
      <x:c r="N31" s="19" t="str">
        <x:v>75 kW</x:v>
      </x:c>
      <x:c r="O31" s="19" t="str">
        <x:v>-</x:v>
      </x:c>
      <x:c r="P31" s="19" t="str">
        <x:v>-</x:v>
      </x:c>
      <x:c r="Q31" s="19" t="str">
        <x:v>-</x:v>
      </x:c>
      <x:c r="R31" s="19" t="str">
        <x:v>-</x:v>
      </x:c>
      <x:c r="S31" s="19" t="str">
        <x:v>Rigid</x:v>
      </x:c>
      <x:c r="T31" s="19" t="str"/>
      <x:c r="U31" s="19" t="str"/>
      <x:c r="V31" s="19" t="str"/>
      <x:c r="W31" s="19" t="str"/>
      <x:c r="X31" s="19" t="str"/>
      <x:c r="Y31" s="19" t="str"/>
      <x:c r="Z31" s="19" t="str"/>
      <x:c r="AA31" s="19" t="str"/>
      <x:c r="AB31" s="19" t="str"/>
      <x:c r="AC31" s="19" t="str"/>
      <x:c r="AD31" s="19" t="str"/>
      <x:c r="AE31" s="19" t="str"/>
      <x:c r="AF31" s="19" t="str"/>
      <x:c r="AG31" s="19" t="str"/>
      <x:c r="AH31" s="19" t="str"/>
      <x:c r="AI31" s="19" t="str"/>
      <x:c r="AJ31" s="19" t="str"/>
      <x:c r="AK31" s="19" t="str">
        <x:v>-</x:v>
      </x:c>
      <x:c r="AL31" s="19" t="str">
        <x:v>-</x:v>
      </x:c>
      <x:c r="AM31" s="19" t="str"/>
      <x:c r="AN31" s="19" t="str"/>
      <x:c r="AO31" s="19" t="str"/>
      <x:c r="AP31" s="19" t="str"/>
      <x:c r="AQ31" s="19" t="str"/>
      <x:c r="AR31" s="19" t="str">
        <x:v>60</x:v>
      </x:c>
      <x:c r="AS31" s="19" t="str"/>
      <x:c r="AT31" t="str">
        <x:f>IF(VALUE(LEFT(AR31,FIND(",",AR31&amp;",")-1))&lt;=36,"UNIT 1",IF(VALUE(LEFT(AR31,FIND(",",AR31&amp;",")-1))&lt;=70,"UNIT 2",IF(VALUE(LEFT(AR31,FIND(",",AR31&amp;",")-1))&lt;=110,"UNIT 3","COMMON")))</x:f>
        <x:v>UNIT 2</x:v>
      </x:c>
    </x:row>
    <x:row r="32">
      <x:c r="A32" s="19" t="str">
        <x:v>AST-031</x:v>
      </x:c>
      <x:c r="B32" s="19" t="str">
        <x:v>Motor CCCWP 2#2</x:v>
      </x:c>
      <x:c r="C32" s="19" t="str">
        <x:v>LJ20PGB10AP002-001</x:v>
      </x:c>
      <x:c r="D32" s="19" t="str">
        <x:v>ISO 10816-3 (GROUP 2 RIGID)</x:v>
      </x:c>
      <x:c r="E32" s="19" t="str">
        <x:v>ISO 10816-3 (GROUP 2 RIGID)</x:v>
      </x:c>
      <x:c r="F32" s="19" t="str">
        <x:v>Pump</x:v>
      </x:c>
      <x:c r="G32" s="19" t="str">
        <x:v>W39</x:v>
      </x:c>
      <x:c r="H32" s="30" t="n">
        <x:v>45561</x:v>
      </x:c>
      <x:c r="I32" s="19" t="str">
        <x:v>PREWARNING</x:v>
      </x:c>
      <x:c r="J32" s="19" t="str">
        <x:v>MOTOR</x:v>
      </x:c>
      <x:c r="K32" s="19" t="str">
        <x:v>POMPA</x:v>
      </x:c>
      <x:c r="L32" s="19" t="str">
        <x:v>Y2 - 280-4</x:v>
      </x:c>
      <x:c r="M32" s="19" t="str">
        <x:v>980 rpm</x:v>
      </x:c>
      <x:c r="N32" s="19" t="str">
        <x:v>75 kW</x:v>
      </x:c>
      <x:c r="O32" s="19" t="str"/>
      <x:c r="P32" s="19" t="str"/>
      <x:c r="Q32" s="19" t="str"/>
      <x:c r="R32" s="19" t="str">
        <x:v>-</x:v>
      </x:c>
      <x:c r="S32" s="19" t="str">
        <x:v>Rigid</x:v>
      </x:c>
      <x:c r="T32" s="19" t="str"/>
      <x:c r="U32" s="19" t="str"/>
      <x:c r="V32" s="19" t="str"/>
      <x:c r="W32" s="19" t="str"/>
      <x:c r="X32" s="19" t="str"/>
      <x:c r="Y32" s="19" t="str"/>
      <x:c r="Z32" s="19" t="str"/>
      <x:c r="AA32" s="19" t="str"/>
      <x:c r="AB32" s="19" t="str"/>
      <x:c r="AC32" s="19" t="str"/>
      <x:c r="AD32" s="19" t="str"/>
      <x:c r="AE32" s="19" t="str"/>
      <x:c r="AF32" s="19" t="str"/>
      <x:c r="AG32" s="19" t="str"/>
      <x:c r="AH32" s="19" t="str"/>
      <x:c r="AI32" s="19" t="str"/>
      <x:c r="AJ32" s="19" t="str"/>
      <x:c r="AK32" s="19" t="str">
        <x:v>-</x:v>
      </x:c>
      <x:c r="AL32" s="19" t="str">
        <x:v>-</x:v>
      </x:c>
      <x:c r="AM32" s="19" t="str"/>
      <x:c r="AN32" s="19" t="str"/>
      <x:c r="AO32" s="19" t="str"/>
      <x:c r="AP32" s="19" t="str"/>
      <x:c r="AQ32" s="19" t="str"/>
      <x:c r="AR32" s="19" t="str">
        <x:v>62</x:v>
      </x:c>
      <x:c r="AS32" s="19" t="str"/>
      <x:c r="AT32" t="str">
        <x:f>IF(VALUE(LEFT(AR32,FIND(",",AR32&amp;",")-1))&lt;=36,"UNIT 1",IF(VALUE(LEFT(AR32,FIND(",",AR32&amp;",")-1))&lt;=70,"UNIT 2",IF(VALUE(LEFT(AR32,FIND(",",AR32&amp;",")-1))&lt;=110,"UNIT 3","COMMON")))</x:f>
        <x:v>UNIT 2</x:v>
      </x:c>
    </x:row>
    <x:row r="33">
      <x:c r="A33" s="19" t="str">
        <x:v>AST-032</x:v>
      </x:c>
      <x:c r="B33" s="19" t="str">
        <x:v>Motor CWP 355 Kw 1#2</x:v>
      </x:c>
      <x:c r="C33" s="19" t="str">
        <x:v>LJ20PAC10AP001-001</x:v>
      </x:c>
      <x:c r="D33" s="19" t="str">
        <x:v>ISO 10816-3 (GROUP 1 RIGID))</x:v>
      </x:c>
      <x:c r="E33" s="19" t="str">
        <x:v>ISO 10816-3 (GROUP 1 RIGID)</x:v>
      </x:c>
      <x:c r="F33" s="19" t="str">
        <x:v>Pump</x:v>
      </x:c>
      <x:c r="G33" s="19" t="str">
        <x:v>W38</x:v>
      </x:c>
      <x:c r="H33" s="30" t="n">
        <x:v>45552</x:v>
      </x:c>
      <x:c r="I33" s="19" t="str">
        <x:v>NORMAL</x:v>
      </x:c>
      <x:c r="J33" s="19" t="str">
        <x:v>MOTOR</x:v>
      </x:c>
      <x:c r="K33" s="19" t="str">
        <x:v>POMPA</x:v>
      </x:c>
      <x:c r="L33" s="19" t="str">
        <x:v>YLKK400-6</x:v>
      </x:c>
      <x:c r="M33" s="19" t="str">
        <x:v>991</x:v>
      </x:c>
      <x:c r="N33" s="19" t="str">
        <x:v>315</x:v>
      </x:c>
      <x:c r="O33" s="19" t="str"/>
      <x:c r="P33" s="19" t="str"/>
      <x:c r="Q33" s="19" t="str"/>
      <x:c r="R33" s="19" t="str">
        <x:v>-</x:v>
      </x:c>
      <x:c r="S33" s="19" t="str">
        <x:v>Rigid</x:v>
      </x:c>
      <x:c r="T33" s="19" t="str"/>
      <x:c r="U33" s="19" t="str"/>
      <x:c r="V33" s="19" t="str"/>
      <x:c r="W33" s="19" t="str"/>
      <x:c r="X33" s="19" t="str"/>
      <x:c r="Y33" s="19" t="str"/>
      <x:c r="Z33" s="19" t="str"/>
      <x:c r="AA33" s="19" t="str"/>
      <x:c r="AB33" s="19" t="str"/>
      <x:c r="AC33" s="19" t="str"/>
      <x:c r="AD33" s="19" t="str"/>
      <x:c r="AE33" s="19" t="str"/>
      <x:c r="AF33" s="19" t="str"/>
      <x:c r="AG33" s="19" t="str"/>
      <x:c r="AH33" s="19" t="str"/>
      <x:c r="AI33" s="19" t="str"/>
      <x:c r="AJ33" s="19" t="str"/>
      <x:c r="AK33" s="19" t="str"/>
      <x:c r="AL33" s="19" t="str"/>
      <x:c r="AM33" s="19" t="str"/>
      <x:c r="AN33" s="19" t="str"/>
      <x:c r="AO33" s="19" t="str"/>
      <x:c r="AP33" s="19" t="str"/>
      <x:c r="AQ33" s="19" t="str"/>
      <x:c r="AR33" s="19" t="str">
        <x:v>64</x:v>
      </x:c>
      <x:c r="AS33" s="19" t="str">
        <x:v>Class dinormalisasi pada kolom terpisah; nilai sumber dipertahankan</x:v>
      </x:c>
      <x:c r="AT33" t="str">
        <x:f>IF(VALUE(LEFT(AR33,FIND(",",AR33&amp;",")-1))&lt;=36,"UNIT 1",IF(VALUE(LEFT(AR33,FIND(",",AR33&amp;",")-1))&lt;=70,"UNIT 2",IF(VALUE(LEFT(AR33,FIND(",",AR33&amp;",")-1))&lt;=110,"UNIT 3","COMMON")))</x:f>
        <x:v>UNIT 2</x:v>
      </x:c>
    </x:row>
    <x:row r="34">
      <x:c r="A34" s="19" t="str">
        <x:v>AST-033</x:v>
      </x:c>
      <x:c r="B34" s="19" t="str">
        <x:v>Motor CWP 355 Kw 2#2</x:v>
      </x:c>
      <x:c r="C34" s="19" t="str">
        <x:v>LJ20PAC10AP002-001</x:v>
      </x:c>
      <x:c r="D34" s="19" t="str">
        <x:v>ISO 10816-3 (GROUP 1 RIGID))</x:v>
      </x:c>
      <x:c r="E34" s="19" t="str">
        <x:v>ISO 10816-3 (GROUP 1 RIGID)</x:v>
      </x:c>
      <x:c r="F34" s="19" t="str">
        <x:v>Pump</x:v>
      </x:c>
      <x:c r="G34" s="19" t="str">
        <x:v>W36</x:v>
      </x:c>
      <x:c r="H34" s="30" t="n">
        <x:v>45537</x:v>
      </x:c>
      <x:c r="I34" s="19" t="str">
        <x:v>NORMAL</x:v>
      </x:c>
      <x:c r="J34" s="19" t="str">
        <x:v>MOTOR</x:v>
      </x:c>
      <x:c r="K34" s="19" t="str">
        <x:v>POMPA</x:v>
      </x:c>
      <x:c r="L34" s="19" t="str">
        <x:v>YLKK400-6</x:v>
      </x:c>
      <x:c r="M34" s="19" t="str">
        <x:v>991</x:v>
      </x:c>
      <x:c r="N34" s="19" t="str">
        <x:v>315</x:v>
      </x:c>
      <x:c r="O34" s="19" t="str"/>
      <x:c r="P34" s="19" t="str"/>
      <x:c r="Q34" s="19" t="str"/>
      <x:c r="R34" s="19" t="str">
        <x:v>-</x:v>
      </x:c>
      <x:c r="S34" s="19" t="str">
        <x:v>Rigid</x:v>
      </x:c>
      <x:c r="T34" s="19" t="str"/>
      <x:c r="U34" s="19" t="str"/>
      <x:c r="V34" s="19" t="str"/>
      <x:c r="W34" s="19" t="str"/>
      <x:c r="X34" s="19" t="str"/>
      <x:c r="Y34" s="19" t="str"/>
      <x:c r="Z34" s="19" t="str"/>
      <x:c r="AA34" s="19" t="str"/>
      <x:c r="AB34" s="19" t="str"/>
      <x:c r="AC34" s="19" t="str"/>
      <x:c r="AD34" s="19" t="str"/>
      <x:c r="AE34" s="19" t="str"/>
      <x:c r="AF34" s="19" t="str"/>
      <x:c r="AG34" s="19" t="str"/>
      <x:c r="AH34" s="19" t="str"/>
      <x:c r="AI34" s="19" t="str"/>
      <x:c r="AJ34" s="19" t="str"/>
      <x:c r="AK34" s="19" t="str"/>
      <x:c r="AL34" s="19" t="str"/>
      <x:c r="AM34" s="19" t="str"/>
      <x:c r="AN34" s="19" t="str"/>
      <x:c r="AO34" s="19" t="str"/>
      <x:c r="AP34" s="19" t="str"/>
      <x:c r="AQ34" s="19" t="str"/>
      <x:c r="AR34" s="19" t="str">
        <x:v>66</x:v>
      </x:c>
      <x:c r="AS34" s="19" t="str">
        <x:v>Class dinormalisasi pada kolom terpisah; nilai sumber dipertahankan</x:v>
      </x:c>
      <x:c r="AT34" t="str">
        <x:f>IF(VALUE(LEFT(AR34,FIND(",",AR34&amp;",")-1))&lt;=36,"UNIT 1",IF(VALUE(LEFT(AR34,FIND(",",AR34&amp;",")-1))&lt;=70,"UNIT 2",IF(VALUE(LEFT(AR34,FIND(",",AR34&amp;",")-1))&lt;=110,"UNIT 3","COMMON")))</x:f>
        <x:v>UNIT 2</x:v>
      </x:c>
    </x:row>
    <x:row r="35">
      <x:c r="A35" s="19" t="str">
        <x:v>AST-034</x:v>
      </x:c>
      <x:c r="B35" s="19" t="str">
        <x:v>ACA OIL PUMP UNIT 2</x:v>
      </x:c>
      <x:c r="C35" s="19" t="str"/>
      <x:c r="D35" s="19" t="str">
        <x:v>ISO 10816-3 (GROUP 2 RIGID)</x:v>
      </x:c>
      <x:c r="E35" s="19" t="str">
        <x:v>ISO 10816-3 (GROUP 2 RIGID)</x:v>
      </x:c>
      <x:c r="F35" s="19" t="str">
        <x:v>Pump</x:v>
      </x:c>
      <x:c r="G35" s="19" t="str">
        <x:v>W38</x:v>
      </x:c>
      <x:c r="H35" s="30" t="n">
        <x:v>45552</x:v>
      </x:c>
      <x:c r="I35" s="19" t="str">
        <x:v>PREWARNING</x:v>
      </x:c>
      <x:c r="J35" s="19" t="str">
        <x:v>MOTOR</x:v>
      </x:c>
      <x:c r="K35" s="19" t="str">
        <x:v>POMPA</x:v>
      </x:c>
      <x:c r="L35" s="19" t="str">
        <x:v>Y2 - 250-6</x:v>
      </x:c>
      <x:c r="M35" s="19" t="str">
        <x:v>980 rpm</x:v>
      </x:c>
      <x:c r="N35" s="19" t="str">
        <x:v>37 kW</x:v>
      </x:c>
      <x:c r="O35" s="19" t="str"/>
      <x:c r="P35" s="19" t="str"/>
      <x:c r="Q35" s="19" t="str"/>
      <x:c r="R35" s="19" t="str">
        <x:v>-</x:v>
      </x:c>
      <x:c r="S35" s="19" t="str">
        <x:v>Rigid</x:v>
      </x:c>
      <x:c r="T35" s="19" t="str"/>
      <x:c r="U35" s="19" t="str"/>
      <x:c r="V35" s="19" t="str"/>
      <x:c r="W35" s="19" t="str"/>
      <x:c r="X35" s="19" t="str"/>
      <x:c r="Y35" s="19" t="str"/>
      <x:c r="Z35" s="19" t="str"/>
      <x:c r="AA35" s="19" t="str"/>
      <x:c r="AB35" s="19" t="str"/>
      <x:c r="AC35" s="19" t="str"/>
      <x:c r="AD35" s="19" t="str"/>
      <x:c r="AE35" s="19" t="str"/>
      <x:c r="AF35" s="19" t="str"/>
      <x:c r="AG35" s="19" t="str"/>
      <x:c r="AH35" s="19" t="str"/>
      <x:c r="AI35" s="19" t="str"/>
      <x:c r="AJ35" s="19" t="str"/>
      <x:c r="AK35" s="19" t="str">
        <x:v>-</x:v>
      </x:c>
      <x:c r="AL35" s="19" t="str">
        <x:v>-</x:v>
      </x:c>
      <x:c r="AM35" s="19" t="str"/>
      <x:c r="AN35" s="19" t="str"/>
      <x:c r="AO35" s="19" t="str"/>
      <x:c r="AP35" s="19" t="str"/>
      <x:c r="AQ35" s="19" t="str"/>
      <x:c r="AR35" s="19" t="str">
        <x:v>68, 70</x:v>
      </x:c>
      <x:c r="AS35" s="19" t="str">
        <x:v>KKS kosong pada sumber PDF; Metadata aset yang sama muncul pada halaman 68, 70; Lebih dari satu report record dengan metadata aset yang sama</x:v>
      </x:c>
      <x:c r="AT35" t="str">
        <x:f>IF(VALUE(LEFT(AR35,FIND(",",AR35&amp;",")-1))&lt;=36,"UNIT 1",IF(VALUE(LEFT(AR35,FIND(",",AR35&amp;",")-1))&lt;=70,"UNIT 2",IF(VALUE(LEFT(AR35,FIND(",",AR35&amp;",")-1))&lt;=110,"UNIT 3","COMMON")))</x:f>
        <x:v>UNIT 2</x:v>
      </x:c>
    </x:row>
    <x:row r="36">
      <x:c r="A36" s="19" t="str">
        <x:v>AST-035</x:v>
      </x:c>
      <x:c r="B36" s="19" t="str">
        <x:v>Motor ID Fan 1#3</x:v>
      </x:c>
      <x:c r="C36" s="19" t="str">
        <x:v>LJ03HNC10AN001-001</x:v>
      </x:c>
      <x:c r="D36" s="19" t="str">
        <x:v>ISO 10816-3 (GROUP 1 RIGID)</x:v>
      </x:c>
      <x:c r="E36" s="19" t="str">
        <x:v>ISO 10816-3 (GROUP 1 RIGID)</x:v>
      </x:c>
      <x:c r="F36" s="19" t="str">
        <x:v>Fan</x:v>
      </x:c>
      <x:c r="G36" s="19" t="str">
        <x:v>W38</x:v>
      </x:c>
      <x:c r="H36" s="30" t="n">
        <x:v>45552</x:v>
      </x:c>
      <x:c r="I36" s="19" t="str">
        <x:v>NORMAL</x:v>
      </x:c>
      <x:c r="J36" s="19" t="str">
        <x:v>MOTOR</x:v>
      </x:c>
      <x:c r="K36" s="19" t="str">
        <x:v>FAN</x:v>
      </x:c>
      <x:c r="L36" s="19" t="str">
        <x:v>YKK 4504-6</x:v>
      </x:c>
      <x:c r="M36" s="19" t="str">
        <x:v>990</x:v>
      </x:c>
      <x:c r="N36" s="19" t="str">
        <x:v>450</x:v>
      </x:c>
      <x:c r="O36" s="19" t="str">
        <x:v>Roller Bearing</x:v>
      </x:c>
      <x:c r="P36" s="19" t="str">
        <x:v>NU228E/C3</x:v>
      </x:c>
      <x:c r="Q36" s="19" t="str">
        <x:v>6226/C3</x:v>
      </x:c>
      <x:c r="R36" s="19" t="str">
        <x:v>-</x:v>
      </x:c>
      <x:c r="S36" s="19" t="str">
        <x:v>Rigid</x:v>
      </x:c>
      <x:c r="T36" s="19" t="str"/>
      <x:c r="U36" s="19" t="str"/>
      <x:c r="V36" s="19" t="str"/>
      <x:c r="W36" s="19" t="str"/>
      <x:c r="X36" s="19" t="str"/>
      <x:c r="Y36" s="19" t="str"/>
      <x:c r="Z36" s="19" t="str"/>
      <x:c r="AA36" s="19" t="str"/>
      <x:c r="AB36" s="19" t="str"/>
      <x:c r="AC36" s="19" t="str">
        <x:v>25 SB-P</x:v>
      </x:c>
      <x:c r="AD36" s="19" t="str"/>
      <x:c r="AE36" s="19" t="str">
        <x:v>2980 r/min</x:v>
      </x:c>
      <x:c r="AF36" s="19" t="str"/>
      <x:c r="AG36" s="19" t="str">
        <x:v>165 m3/h</x:v>
      </x:c>
      <x:c r="AH36" s="19" t="str"/>
      <x:c r="AI36" s="19" t="str"/>
      <x:c r="AJ36" s="19" t="str">
        <x:v>Journal Bearing</x:v>
      </x:c>
      <x:c r="AK36" s="19" t="str">
        <x:v>-</x:v>
      </x:c>
      <x:c r="AL36" s="19" t="str">
        <x:v>-</x:v>
      </x:c>
      <x:c r="AM36" s="19" t="str"/>
      <x:c r="AN36" s="19" t="str"/>
      <x:c r="AO36" s="19" t="str"/>
      <x:c r="AP36" s="19" t="str"/>
      <x:c r="AQ36" s="19" t="str"/>
      <x:c r="AR36" s="19" t="str">
        <x:v>72</x:v>
      </x:c>
      <x:c r="AS36" s="19" t="str"/>
      <x:c r="AT36" t="str">
        <x:f>IF(VALUE(LEFT(AR36,FIND(",",AR36&amp;",")-1))&lt;=36,"UNIT 1",IF(VALUE(LEFT(AR36,FIND(",",AR36&amp;",")-1))&lt;=70,"UNIT 2",IF(VALUE(LEFT(AR36,FIND(",",AR36&amp;",")-1))&lt;=110,"UNIT 3","COMMON")))</x:f>
        <x:v>UNIT 3</x:v>
      </x:c>
    </x:row>
    <x:row r="37">
      <x:c r="A37" s="19" t="str">
        <x:v>AST-036</x:v>
      </x:c>
      <x:c r="B37" s="19" t="str">
        <x:v>Motor ID Fan 2#3</x:v>
      </x:c>
      <x:c r="C37" s="19" t="str">
        <x:v>LJ03HNC20AN001-001</x:v>
      </x:c>
      <x:c r="D37" s="19" t="str">
        <x:v>ISO 10816-3 (GROUP 1 RIGID)</x:v>
      </x:c>
      <x:c r="E37" s="19" t="str">
        <x:v>ISO 10816-3 (GROUP 1 RIGID)</x:v>
      </x:c>
      <x:c r="F37" s="19" t="str">
        <x:v>Fan</x:v>
      </x:c>
      <x:c r="G37" s="19" t="str">
        <x:v>W36</x:v>
      </x:c>
      <x:c r="H37" s="30" t="n">
        <x:v>45538</x:v>
      </x:c>
      <x:c r="I37" s="19" t="str">
        <x:v>NORMAL</x:v>
      </x:c>
      <x:c r="J37" s="19" t="str">
        <x:v>MOTOR</x:v>
      </x:c>
      <x:c r="K37" s="19" t="str">
        <x:v>FAN</x:v>
      </x:c>
      <x:c r="L37" s="19" t="str">
        <x:v>YKK 4504-6</x:v>
      </x:c>
      <x:c r="M37" s="19" t="str">
        <x:v>990</x:v>
      </x:c>
      <x:c r="N37" s="19" t="str">
        <x:v>450</x:v>
      </x:c>
      <x:c r="O37" s="19" t="str">
        <x:v>Roller Bearing</x:v>
      </x:c>
      <x:c r="P37" s="19" t="str">
        <x:v>NU228E/C3</x:v>
      </x:c>
      <x:c r="Q37" s="19" t="str">
        <x:v>6226/C3</x:v>
      </x:c>
      <x:c r="R37" s="19" t="str">
        <x:v>-</x:v>
      </x:c>
      <x:c r="S37" s="19" t="str">
        <x:v>Rigid</x:v>
      </x:c>
      <x:c r="T37" s="19" t="str"/>
      <x:c r="U37" s="19" t="str"/>
      <x:c r="V37" s="19" t="str"/>
      <x:c r="W37" s="19" t="str"/>
      <x:c r="X37" s="19" t="str"/>
      <x:c r="Y37" s="19" t="str"/>
      <x:c r="Z37" s="19" t="str"/>
      <x:c r="AA37" s="19" t="str"/>
      <x:c r="AB37" s="19" t="str"/>
      <x:c r="AC37" s="19" t="str">
        <x:v>25 SB-P</x:v>
      </x:c>
      <x:c r="AD37" s="19" t="str"/>
      <x:c r="AE37" s="19" t="str">
        <x:v>2980 r/min</x:v>
      </x:c>
      <x:c r="AF37" s="19" t="str"/>
      <x:c r="AG37" s="19" t="str">
        <x:v>165 m3/h</x:v>
      </x:c>
      <x:c r="AH37" s="19" t="str"/>
      <x:c r="AI37" s="19" t="str"/>
      <x:c r="AJ37" s="19" t="str">
        <x:v>Journal Bearing</x:v>
      </x:c>
      <x:c r="AK37" s="19" t="str">
        <x:v>-</x:v>
      </x:c>
      <x:c r="AL37" s="19" t="str">
        <x:v>-</x:v>
      </x:c>
      <x:c r="AM37" s="19" t="str"/>
      <x:c r="AN37" s="19" t="str"/>
      <x:c r="AO37" s="19" t="str"/>
      <x:c r="AP37" s="19" t="str"/>
      <x:c r="AQ37" s="19" t="str"/>
      <x:c r="AR37" s="19" t="str">
        <x:v>74</x:v>
      </x:c>
      <x:c r="AS37" s="19" t="str"/>
      <x:c r="AT37" t="str">
        <x:f>IF(VALUE(LEFT(AR37,FIND(",",AR37&amp;",")-1))&lt;=36,"UNIT 1",IF(VALUE(LEFT(AR37,FIND(",",AR37&amp;",")-1))&lt;=70,"UNIT 2",IF(VALUE(LEFT(AR37,FIND(",",AR37&amp;",")-1))&lt;=110,"UNIT 3","COMMON")))</x:f>
        <x:v>UNIT 3</x:v>
      </x:c>
    </x:row>
    <x:row r="38">
      <x:c r="A38" s="19" t="str">
        <x:v>AST-037</x:v>
      </x:c>
      <x:c r="B38" s="19" t="str">
        <x:v>Motor Primary Air Fan#3</x:v>
      </x:c>
      <x:c r="C38" s="19" t="str">
        <x:v>LJ03HLB10AN001-001</x:v>
      </x:c>
      <x:c r="D38" s="19" t="str">
        <x:v>ISO 10816-3 (GROUP 1 RIGID)</x:v>
      </x:c>
      <x:c r="E38" s="19" t="str">
        <x:v>ISO 10816-3 (GROUP 1 RIGID)</x:v>
      </x:c>
      <x:c r="F38" s="19" t="str">
        <x:v>Fan</x:v>
      </x:c>
      <x:c r="G38" s="19" t="str">
        <x:v>W36</x:v>
      </x:c>
      <x:c r="H38" s="30" t="n">
        <x:v>45538</x:v>
      </x:c>
      <x:c r="I38" s="19" t="str">
        <x:v>PREWARNING</x:v>
      </x:c>
      <x:c r="J38" s="19" t="str">
        <x:v>MOTOR</x:v>
      </x:c>
      <x:c r="K38" s="19" t="str">
        <x:v>FAN</x:v>
      </x:c>
      <x:c r="L38" s="19" t="str">
        <x:v>YKK 4504-4</x:v>
      </x:c>
      <x:c r="M38" s="19" t="str">
        <x:v>1490</x:v>
      </x:c>
      <x:c r="N38" s="19" t="str">
        <x:v>630</x:v>
      </x:c>
      <x:c r="O38" s="19" t="str">
        <x:v>Roller Bearing</x:v>
      </x:c>
      <x:c r="P38" s="19" t="str">
        <x:v>NU226E/C3</x:v>
      </x:c>
      <x:c r="Q38" s="19" t="str">
        <x:v>6228/C3</x:v>
      </x:c>
      <x:c r="R38" s="19" t="str">
        <x:v>-</x:v>
      </x:c>
      <x:c r="S38" s="19" t="str">
        <x:v>Rigid</x:v>
      </x:c>
      <x:c r="T38" s="19" t="str"/>
      <x:c r="U38" s="19" t="str"/>
      <x:c r="V38" s="19" t="str"/>
      <x:c r="W38" s="19" t="str"/>
      <x:c r="X38" s="19" t="str"/>
      <x:c r="Y38" s="19" t="str"/>
      <x:c r="Z38" s="19" t="str"/>
      <x:c r="AA38" s="19" t="str"/>
      <x:c r="AB38" s="19" t="str"/>
      <x:c r="AC38" s="19" t="str">
        <x:v>G6-30 19.50</x:v>
      </x:c>
      <x:c r="AD38" s="19" t="str"/>
      <x:c r="AE38" s="19" t="str">
        <x:v>1485 r/min</x:v>
      </x:c>
      <x:c r="AF38" s="19" t="str">
        <x:v>630 Kw</x:v>
      </x:c>
      <x:c r="AG38" s="19" t="str"/>
      <x:c r="AH38" s="19" t="str"/>
      <x:c r="AI38" s="19" t="str">
        <x:v>400871 m2/h</x:v>
      </x:c>
      <x:c r="AJ38" s="19" t="str">
        <x:v>Journal Bearing</x:v>
      </x:c>
      <x:c r="AK38" s="19" t="str">
        <x:v>-</x:v>
      </x:c>
      <x:c r="AL38" s="19" t="str">
        <x:v>-</x:v>
      </x:c>
      <x:c r="AM38" s="19" t="str">
        <x:v>-</x:v>
      </x:c>
      <x:c r="AN38" s="19" t="str"/>
      <x:c r="AO38" s="19" t="str"/>
      <x:c r="AP38" s="19" t="str"/>
      <x:c r="AQ38" s="19" t="str"/>
      <x:c r="AR38" s="19" t="str">
        <x:v>76</x:v>
      </x:c>
      <x:c r="AS38" s="19" t="str"/>
      <x:c r="AT38" t="str">
        <x:f>IF(VALUE(LEFT(AR38,FIND(",",AR38&amp;",")-1))&lt;=36,"UNIT 1",IF(VALUE(LEFT(AR38,FIND(",",AR38&amp;",")-1))&lt;=70,"UNIT 2",IF(VALUE(LEFT(AR38,FIND(",",AR38&amp;",")-1))&lt;=110,"UNIT 3","COMMON")))</x:f>
        <x:v>UNIT 3</x:v>
      </x:c>
    </x:row>
    <x:row r="39">
      <x:c r="A39" s="19" t="str">
        <x:v>AST-038</x:v>
      </x:c>
      <x:c r="B39" s="19" t="str">
        <x:v>Motor Secondary Air Fan#3</x:v>
      </x:c>
      <x:c r="C39" s="19" t="str">
        <x:v>LJ03HLB20AN001-001</x:v>
      </x:c>
      <x:c r="D39" s="19" t="str">
        <x:v>ISO 10816-3 (GROUP 1 RIGID)</x:v>
      </x:c>
      <x:c r="E39" s="19" t="str">
        <x:v>ISO 10816-3 (GROUP 1 RIGID)</x:v>
      </x:c>
      <x:c r="F39" s="19" t="str">
        <x:v>Fan</x:v>
      </x:c>
      <x:c r="G39" s="19" t="str">
        <x:v>W39</x:v>
      </x:c>
      <x:c r="H39" s="30" t="n">
        <x:v>45561</x:v>
      </x:c>
      <x:c r="I39" s="19" t="str">
        <x:v>PREWARNING</x:v>
      </x:c>
      <x:c r="J39" s="19" t="str">
        <x:v>MOTOR</x:v>
      </x:c>
      <x:c r="K39" s="19" t="str">
        <x:v>FAN</x:v>
      </x:c>
      <x:c r="L39" s="19" t="str">
        <x:v>YKK 4504-4</x:v>
      </x:c>
      <x:c r="M39" s="19" t="str">
        <x:v>1485</x:v>
      </x:c>
      <x:c r="N39" s="19" t="str">
        <x:v>400</x:v>
      </x:c>
      <x:c r="O39" s="19" t="str">
        <x:v>Roller Bearing</x:v>
      </x:c>
      <x:c r="P39" s="19" t="str">
        <x:v>NU224EC</x:v>
      </x:c>
      <x:c r="Q39" s="19" t="str">
        <x:v>6224/C3</x:v>
      </x:c>
      <x:c r="R39" s="19" t="str">
        <x:v>-</x:v>
      </x:c>
      <x:c r="S39" s="19" t="str">
        <x:v>Rigid</x:v>
      </x:c>
      <x:c r="T39" s="19" t="str"/>
      <x:c r="U39" s="19" t="str"/>
      <x:c r="V39" s="19" t="str"/>
      <x:c r="W39" s="19" t="str"/>
      <x:c r="X39" s="19" t="str"/>
      <x:c r="Y39" s="19" t="str"/>
      <x:c r="Z39" s="19" t="str"/>
      <x:c r="AA39" s="19" t="str"/>
      <x:c r="AB39" s="19" t="str"/>
      <x:c r="AC39" s="19" t="str">
        <x:v>G6-40 16.20</x:v>
      </x:c>
      <x:c r="AD39" s="19" t="str"/>
      <x:c r="AE39" s="19" t="str">
        <x:v>1485 r/min</x:v>
      </x:c>
      <x:c r="AF39" s="19" t="str">
        <x:v>400 Kw</x:v>
      </x:c>
      <x:c r="AG39" s="19" t="str"/>
      <x:c r="AH39" s="19" t="str"/>
      <x:c r="AI39" s="19" t="str">
        <x:v>87120 m2/h</x:v>
      </x:c>
      <x:c r="AJ39" s="19" t="str">
        <x:v>Journal Bearing</x:v>
      </x:c>
      <x:c r="AK39" s="19" t="str">
        <x:v>-</x:v>
      </x:c>
      <x:c r="AL39" s="19" t="str">
        <x:v>-</x:v>
      </x:c>
      <x:c r="AM39" s="19" t="str">
        <x:v>-</x:v>
      </x:c>
      <x:c r="AN39" s="19" t="str"/>
      <x:c r="AO39" s="19" t="str"/>
      <x:c r="AP39" s="19" t="str"/>
      <x:c r="AQ39" s="19" t="str"/>
      <x:c r="AR39" s="19" t="str">
        <x:v>78</x:v>
      </x:c>
      <x:c r="AS39" s="19" t="str"/>
      <x:c r="AT39" t="str">
        <x:f>IF(VALUE(LEFT(AR39,FIND(",",AR39&amp;",")-1))&lt;=36,"UNIT 1",IF(VALUE(LEFT(AR39,FIND(",",AR39&amp;",")-1))&lt;=70,"UNIT 2",IF(VALUE(LEFT(AR39,FIND(",",AR39&amp;",")-1))&lt;=110,"UNIT 3","COMMON")))</x:f>
        <x:v>UNIT 3</x:v>
      </x:c>
    </x:row>
    <x:row r="40">
      <x:c r="A40" s="19" t="str">
        <x:v>AST-039</x:v>
      </x:c>
      <x:c r="B40" s="19" t="str">
        <x:v>Motor Recirculating Air Fan 2#3</x:v>
      </x:c>
      <x:c r="C40" s="19" t="str">
        <x:v>LJ03PAD11AN001-001</x:v>
      </x:c>
      <x:c r="D40" s="19" t="str">
        <x:v>ISO 10816-3 (GROUP 2 RIGID)</x:v>
      </x:c>
      <x:c r="E40" s="19" t="str">
        <x:v>ISO 10816-3 (GROUP 2 RIGID)</x:v>
      </x:c>
      <x:c r="F40" s="19" t="str">
        <x:v>Fan</x:v>
      </x:c>
      <x:c r="G40" s="19" t="str">
        <x:v>W36</x:v>
      </x:c>
      <x:c r="H40" s="30" t="n">
        <x:v>45538</x:v>
      </x:c>
      <x:c r="I40" s="19" t="str">
        <x:v>PREWARNING</x:v>
      </x:c>
      <x:c r="J40" s="19" t="str">
        <x:v>MOTOR</x:v>
      </x:c>
      <x:c r="K40" s="19" t="str">
        <x:v>FAN</x:v>
      </x:c>
      <x:c r="L40" s="19" t="str">
        <x:v>Y2-250M-4-B3</x:v>
      </x:c>
      <x:c r="M40" s="19" t="str">
        <x:v>1480</x:v>
      </x:c>
      <x:c r="N40" s="19" t="str">
        <x:v>55</x:v>
      </x:c>
      <x:c r="O40" s="19" t="str">
        <x:v>Ball Bearing</x:v>
      </x:c>
      <x:c r="P40" s="19" t="str">
        <x:v>6314/CM</x:v>
      </x:c>
      <x:c r="Q40" s="19" t="str">
        <x:v>6313/CM</x:v>
      </x:c>
      <x:c r="R40" s="19" t="str">
        <x:v>-</x:v>
      </x:c>
      <x:c r="S40" s="19" t="str">
        <x:v>Rigid</x:v>
      </x:c>
      <x:c r="T40" s="19" t="str"/>
      <x:c r="U40" s="19" t="str"/>
      <x:c r="V40" s="19" t="str"/>
      <x:c r="W40" s="19" t="str"/>
      <x:c r="X40" s="19" t="str"/>
      <x:c r="Y40" s="19" t="str"/>
      <x:c r="Z40" s="19" t="str"/>
      <x:c r="AA40" s="19" t="str"/>
      <x:c r="AB40" s="19" t="str"/>
      <x:c r="AC40" s="19" t="str"/>
      <x:c r="AD40" s="19" t="str"/>
      <x:c r="AE40" s="19" t="str"/>
      <x:c r="AF40" s="19" t="str"/>
      <x:c r="AG40" s="19" t="str"/>
      <x:c r="AH40" s="19" t="str"/>
      <x:c r="AI40" s="19" t="str"/>
      <x:c r="AJ40" s="19" t="str"/>
      <x:c r="AK40" s="19" t="str"/>
      <x:c r="AL40" s="19" t="str"/>
      <x:c r="AM40" s="19" t="str"/>
      <x:c r="AN40" s="19" t="str"/>
      <x:c r="AO40" s="19" t="str"/>
      <x:c r="AP40" s="19" t="str"/>
      <x:c r="AQ40" s="19" t="str"/>
      <x:c r="AR40" s="19" t="str">
        <x:v>80</x:v>
      </x:c>
      <x:c r="AS40" s="19" t="str"/>
      <x:c r="AT40" t="str">
        <x:f>IF(VALUE(LEFT(AR40,FIND(",",AR40&amp;",")-1))&lt;=36,"UNIT 1",IF(VALUE(LEFT(AR40,FIND(",",AR40&amp;",")-1))&lt;=70,"UNIT 2",IF(VALUE(LEFT(AR40,FIND(",",AR40&amp;",")-1))&lt;=110,"UNIT 3","COMMON")))</x:f>
        <x:v>UNIT 3</x:v>
      </x:c>
    </x:row>
    <x:row r="41">
      <x:c r="A41" s="19" t="str">
        <x:v>AST-040</x:v>
      </x:c>
      <x:c r="B41" s="19" t="str">
        <x:v>Turbin-Generator#3</x:v>
      </x:c>
      <x:c r="C41" s="19" t="str"/>
      <x:c r="D41" s="19" t="str">
        <x:v>ISO 10816-2 (GROUP 2 RIGID)</x:v>
      </x:c>
      <x:c r="E41" s="19" t="str">
        <x:v>ISO 10816-2 (GROUP 2 RIGID)</x:v>
      </x:c>
      <x:c r="F41" s="19" t="str">
        <x:v>Turbine-Generator</x:v>
      </x:c>
      <x:c r="G41" s="19" t="str">
        <x:v>W37</x:v>
      </x:c>
      <x:c r="H41" s="30" t="n">
        <x:v>45546</x:v>
      </x:c>
      <x:c r="I41" s="19" t="str">
        <x:v>NORMAL</x:v>
      </x:c>
      <x:c r="J41" s="19" t="str">
        <x:v>TURBINE</x:v>
      </x:c>
      <x:c r="K41" s="19" t="str">
        <x:v>GENERATOR</x:v>
      </x:c>
      <x:c r="L41" s="19" t="str">
        <x:v>Luoyang Generating Equipment Co., Ltd</x:v>
      </x:c>
      <x:c r="M41" s="19" t="str"/>
      <x:c r="N41" s="19" t="str"/>
      <x:c r="O41" s="19" t="str"/>
      <x:c r="P41" s="19" t="str"/>
      <x:c r="Q41" s="19" t="str"/>
      <x:c r="R41" s="19" t="str"/>
      <x:c r="S41" s="19" t="str"/>
      <x:c r="T41" s="19" t="str"/>
      <x:c r="U41" s="19" t="str"/>
      <x:c r="V41" s="19" t="str"/>
      <x:c r="W41" s="19" t="str">
        <x:v>37.5 MVA</x:v>
      </x:c>
      <x:c r="X41" s="19" t="str">
        <x:v>30 MW</x:v>
      </x:c>
      <x:c r="Y41" s="19" t="str">
        <x:v>6.3 kV</x:v>
      </x:c>
      <x:c r="Z41" s="19" t="str">
        <x:v>3437 A</x:v>
      </x:c>
      <x:c r="AA41" s="19" t="str">
        <x:v>3000 r/min</x:v>
      </x:c>
      <x:c r="AB41" s="19" t="str">
        <x:v>50 Hz</x:v>
      </x:c>
      <x:c r="AC41" s="19" t="str"/>
      <x:c r="AD41" s="19" t="str">
        <x:v>Qingdao Jieneng Steam Turbine</x:v>
      </x:c>
      <x:c r="AE41" s="19" t="str">
        <x:v>3000 r/min</x:v>
      </x:c>
      <x:c r="AF41" s="19" t="str"/>
      <x:c r="AG41" s="19" t="str"/>
      <x:c r="AH41" s="19" t="str"/>
      <x:c r="AI41" s="19" t="str"/>
      <x:c r="AJ41" s="19" t="str"/>
      <x:c r="AK41" s="19" t="str"/>
      <x:c r="AL41" s="19" t="str"/>
      <x:c r="AM41" s="19" t="str"/>
      <x:c r="AN41" s="19" t="str">
        <x:v>30 MW</x:v>
      </x:c>
      <x:c r="AO41" s="19" t="str">
        <x:v>6</x:v>
      </x:c>
      <x:c r="AP41" s="19" t="str">
        <x:v>18</x:v>
      </x:c>
      <x:c r="AQ41" s="19" t="str"/>
      <x:c r="AR41" s="19" t="str">
        <x:v>82</x:v>
      </x:c>
      <x:c r="AS41" s="19" t="str">
        <x:v>KKS kosong pada sumber PDF</x:v>
      </x:c>
      <x:c r="AT41" t="str">
        <x:f>IF(VALUE(LEFT(AR41,FIND(",",AR41&amp;",")-1))&lt;=36,"UNIT 1",IF(VALUE(LEFT(AR41,FIND(",",AR41&amp;",")-1))&lt;=70,"UNIT 2",IF(VALUE(LEFT(AR41,FIND(",",AR41&amp;",")-1))&lt;=110,"UNIT 3","COMMON")))</x:f>
        <x:v>UNIT 3</x:v>
      </x:c>
    </x:row>
    <x:row r="42">
      <x:c r="A42" s="19" t="str">
        <x:v>AST-041</x:v>
      </x:c>
      <x:c r="B42" s="19" t="str">
        <x:v>Motor Condensat Pump 1#3</x:v>
      </x:c>
      <x:c r="C42" s="19" t="str">
        <x:v>LJ03LCB10AP001-001</x:v>
      </x:c>
      <x:c r="D42" s="19" t="str">
        <x:v>ISO 10816-3 (GROUP 2 RIGID)</x:v>
      </x:c>
      <x:c r="E42" s="19" t="str">
        <x:v>ISO 10816-3 (GROUP 2 RIGID)</x:v>
      </x:c>
      <x:c r="F42" s="19" t="str">
        <x:v>Pump</x:v>
      </x:c>
      <x:c r="G42" s="19" t="str">
        <x:v>W36</x:v>
      </x:c>
      <x:c r="H42" s="30" t="n">
        <x:v>45538</x:v>
      </x:c>
      <x:c r="I42" s="19" t="str">
        <x:v>PREWARNING</x:v>
      </x:c>
      <x:c r="J42" s="19" t="str">
        <x:v>MOTOR</x:v>
      </x:c>
      <x:c r="K42" s="19" t="str">
        <x:v>POMPA</x:v>
      </x:c>
      <x:c r="L42" s="19" t="str">
        <x:v>HN2-225</x:v>
      </x:c>
      <x:c r="M42" s="19" t="str">
        <x:v>2970 r/min</x:v>
      </x:c>
      <x:c r="N42" s="19" t="str">
        <x:v>45 Kw</x:v>
      </x:c>
      <x:c r="O42" s="19" t="str">
        <x:v>Roller Bearing</x:v>
      </x:c>
      <x:c r="P42" s="19" t="str">
        <x:v>6313-2z</x:v>
      </x:c>
      <x:c r="Q42" s="19" t="str">
        <x:v>6313-2z</x:v>
      </x:c>
      <x:c r="R42" s="19" t="str">
        <x:v>-</x:v>
      </x:c>
      <x:c r="S42" s="19" t="str">
        <x:v>Rigid</x:v>
      </x:c>
      <x:c r="T42" s="19" t="str"/>
      <x:c r="U42" s="19" t="str"/>
      <x:c r="V42" s="19" t="str"/>
      <x:c r="W42" s="19" t="str"/>
      <x:c r="X42" s="19" t="str"/>
      <x:c r="Y42" s="19" t="str"/>
      <x:c r="Z42" s="19" t="str"/>
      <x:c r="AA42" s="19" t="str"/>
      <x:c r="AB42" s="19" t="str"/>
      <x:c r="AC42" s="19" t="str">
        <x:v>Shandong Shuanglun Group Co.,Ltd</x:v>
      </x:c>
      <x:c r="AD42" s="19" t="str"/>
      <x:c r="AE42" s="19" t="str">
        <x:v>2950 r/min</x:v>
      </x:c>
      <x:c r="AF42" s="19" t="str">
        <x:v>45 Kw</x:v>
      </x:c>
      <x:c r="AG42" s="19" t="str">
        <x:v>52.5 m2/h</x:v>
      </x:c>
      <x:c r="AH42" s="19" t="str"/>
      <x:c r="AI42" s="19" t="str"/>
      <x:c r="AJ42" s="19" t="str">
        <x:v>Roller Bearing</x:v>
      </x:c>
      <x:c r="AK42" s="19" t="str">
        <x:v>-</x:v>
      </x:c>
      <x:c r="AL42" s="19" t="str">
        <x:v>-</x:v>
      </x:c>
      <x:c r="AM42" s="19" t="str"/>
      <x:c r="AN42" s="19" t="str"/>
      <x:c r="AO42" s="19" t="str"/>
      <x:c r="AP42" s="19" t="str"/>
      <x:c r="AQ42" s="19" t="str"/>
      <x:c r="AR42" s="19" t="str">
        <x:v>84</x:v>
      </x:c>
      <x:c r="AS42" s="19" t="str"/>
      <x:c r="AT42" t="str">
        <x:f>IF(VALUE(LEFT(AR42,FIND(",",AR42&amp;",")-1))&lt;=36,"UNIT 1",IF(VALUE(LEFT(AR42,FIND(",",AR42&amp;",")-1))&lt;=70,"UNIT 2",IF(VALUE(LEFT(AR42,FIND(",",AR42&amp;",")-1))&lt;=110,"UNIT 3","COMMON")))</x:f>
        <x:v>UNIT 3</x:v>
      </x:c>
    </x:row>
    <x:row r="43">
      <x:c r="A43" s="19" t="str">
        <x:v>AST-042</x:v>
      </x:c>
      <x:c r="B43" s="19" t="str">
        <x:v>Motor Condensat Pump 2#3</x:v>
      </x:c>
      <x:c r="C43" s="19" t="str">
        <x:v>LJ03LCB10AP002-001</x:v>
      </x:c>
      <x:c r="D43" s="19" t="str">
        <x:v>ISO 10816-3 (GROUP 2 RIGID)</x:v>
      </x:c>
      <x:c r="E43" s="19" t="str">
        <x:v>ISO 10816-3 (GROUP 2 RIGID)</x:v>
      </x:c>
      <x:c r="F43" s="19" t="str">
        <x:v>Pump</x:v>
      </x:c>
      <x:c r="G43" s="19" t="str">
        <x:v>W38</x:v>
      </x:c>
      <x:c r="H43" s="30" t="n">
        <x:v>45553</x:v>
      </x:c>
      <x:c r="I43" s="19" t="str">
        <x:v>PREWARNING</x:v>
      </x:c>
      <x:c r="J43" s="19" t="str">
        <x:v>MOTOR</x:v>
      </x:c>
      <x:c r="K43" s="19" t="str">
        <x:v>POMPA</x:v>
      </x:c>
      <x:c r="L43" s="19" t="str">
        <x:v>HN2-225</x:v>
      </x:c>
      <x:c r="M43" s="19" t="str">
        <x:v>2970 r/min</x:v>
      </x:c>
      <x:c r="N43" s="19" t="str">
        <x:v>45 Kw</x:v>
      </x:c>
      <x:c r="O43" s="19" t="str">
        <x:v>Roller Bearing</x:v>
      </x:c>
      <x:c r="P43" s="19" t="str">
        <x:v>6313-2z</x:v>
      </x:c>
      <x:c r="Q43" s="19" t="str">
        <x:v>6313-2z</x:v>
      </x:c>
      <x:c r="R43" s="19" t="str">
        <x:v>-</x:v>
      </x:c>
      <x:c r="S43" s="19" t="str">
        <x:v>Rigid</x:v>
      </x:c>
      <x:c r="T43" s="19" t="str"/>
      <x:c r="U43" s="19" t="str"/>
      <x:c r="V43" s="19" t="str"/>
      <x:c r="W43" s="19" t="str"/>
      <x:c r="X43" s="19" t="str"/>
      <x:c r="Y43" s="19" t="str"/>
      <x:c r="Z43" s="19" t="str"/>
      <x:c r="AA43" s="19" t="str"/>
      <x:c r="AB43" s="19" t="str"/>
      <x:c r="AC43" s="19" t="str">
        <x:v>Shandong Shuanglun Group Co.,Ltd</x:v>
      </x:c>
      <x:c r="AD43" s="19" t="str"/>
      <x:c r="AE43" s="19" t="str">
        <x:v>2950 r/min</x:v>
      </x:c>
      <x:c r="AF43" s="19" t="str">
        <x:v>45 Kw</x:v>
      </x:c>
      <x:c r="AG43" s="19" t="str">
        <x:v>52.5 m2/h</x:v>
      </x:c>
      <x:c r="AH43" s="19" t="str"/>
      <x:c r="AI43" s="19" t="str"/>
      <x:c r="AJ43" s="19" t="str"/>
      <x:c r="AK43" s="19" t="str">
        <x:v>-</x:v>
      </x:c>
      <x:c r="AL43" s="19" t="str">
        <x:v>-</x:v>
      </x:c>
      <x:c r="AM43" s="19" t="str"/>
      <x:c r="AN43" s="19" t="str"/>
      <x:c r="AO43" s="19" t="str"/>
      <x:c r="AP43" s="19" t="str"/>
      <x:c r="AQ43" s="19" t="str"/>
      <x:c r="AR43" s="19" t="str">
        <x:v>86</x:v>
      </x:c>
      <x:c r="AS43" s="19" t="str"/>
      <x:c r="AT43" t="str">
        <x:f>IF(VALUE(LEFT(AR43,FIND(",",AR43&amp;",")-1))&lt;=36,"UNIT 1",IF(VALUE(LEFT(AR43,FIND(",",AR43&amp;",")-1))&lt;=70,"UNIT 2",IF(VALUE(LEFT(AR43,FIND(",",AR43&amp;",")-1))&lt;=110,"UNIT 3","COMMON")))</x:f>
        <x:v>UNIT 3</x:v>
      </x:c>
    </x:row>
    <x:row r="44">
      <x:c r="A44" s="19" t="str">
        <x:v>AST-043</x:v>
      </x:c>
      <x:c r="B44" s="19" t="str">
        <x:v>Motor Water jet Pump 2#3</x:v>
      </x:c>
      <x:c r="C44" s="19" t="str">
        <x:v>LJ03MAJ10AP002-001</x:v>
      </x:c>
      <x:c r="D44" s="19" t="str">
        <x:v>ISO 10816-3 (GROUP 2 RIGID)</x:v>
      </x:c>
      <x:c r="E44" s="19" t="str">
        <x:v>ISO 10816-3 (GROUP 2 RIGID)</x:v>
      </x:c>
      <x:c r="F44" s="19" t="str">
        <x:v>Pump</x:v>
      </x:c>
      <x:c r="G44" s="19" t="str">
        <x:v>W38</x:v>
      </x:c>
      <x:c r="H44" s="30" t="n">
        <x:v>45553</x:v>
      </x:c>
      <x:c r="I44" s="19" t="str">
        <x:v>NORMAL</x:v>
      </x:c>
      <x:c r="J44" s="19" t="str">
        <x:v>MOTOR</x:v>
      </x:c>
      <x:c r="K44" s="19" t="str">
        <x:v>POMPA</x:v>
      </x:c>
      <x:c r="L44" s="19" t="str">
        <x:v>HM2-20012-2</x:v>
      </x:c>
      <x:c r="M44" s="19" t="str">
        <x:v>2950 r/min</x:v>
      </x:c>
      <x:c r="N44" s="19" t="str">
        <x:v>37 Kw</x:v>
      </x:c>
      <x:c r="O44" s="19" t="str">
        <x:v>Roller Bearing</x:v>
      </x:c>
      <x:c r="P44" s="19" t="str">
        <x:v>6313</x:v>
      </x:c>
      <x:c r="Q44" s="19" t="str">
        <x:v>6313</x:v>
      </x:c>
      <x:c r="R44" s="19" t="str">
        <x:v>-</x:v>
      </x:c>
      <x:c r="S44" s="19" t="str">
        <x:v>Rigid</x:v>
      </x:c>
      <x:c r="T44" s="19" t="str"/>
      <x:c r="U44" s="19" t="str"/>
      <x:c r="V44" s="19" t="str"/>
      <x:c r="W44" s="19" t="str"/>
      <x:c r="X44" s="19" t="str"/>
      <x:c r="Y44" s="19" t="str"/>
      <x:c r="Z44" s="19" t="str"/>
      <x:c r="AA44" s="19" t="str"/>
      <x:c r="AB44" s="19" t="str"/>
      <x:c r="AC44" s="19" t="str">
        <x:v>S125.100-200A</x:v>
      </x:c>
      <x:c r="AD44" s="19" t="str"/>
      <x:c r="AE44" s="19" t="str">
        <x:v>2900 r/min</x:v>
      </x:c>
      <x:c r="AF44" s="19" t="str">
        <x:v>37 Kw</x:v>
      </x:c>
      <x:c r="AG44" s="19" t="str">
        <x:v>160 m2/h</x:v>
      </x:c>
      <x:c r="AH44" s="19" t="str"/>
      <x:c r="AI44" s="19" t="str"/>
      <x:c r="AJ44" s="19" t="str"/>
      <x:c r="AK44" s="19" t="str">
        <x:v>-</x:v>
      </x:c>
      <x:c r="AL44" s="19" t="str">
        <x:v>-</x:v>
      </x:c>
      <x:c r="AM44" s="19" t="str"/>
      <x:c r="AN44" s="19" t="str"/>
      <x:c r="AO44" s="19" t="str"/>
      <x:c r="AP44" s="19" t="str"/>
      <x:c r="AQ44" s="19" t="str"/>
      <x:c r="AR44" s="19" t="str">
        <x:v>88</x:v>
      </x:c>
      <x:c r="AS44" s="19" t="str"/>
      <x:c r="AT44" t="str">
        <x:f>IF(VALUE(LEFT(AR44,FIND(",",AR44&amp;",")-1))&lt;=36,"UNIT 1",IF(VALUE(LEFT(AR44,FIND(",",AR44&amp;",")-1))&lt;=70,"UNIT 2",IF(VALUE(LEFT(AR44,FIND(",",AR44&amp;",")-1))&lt;=110,"UNIT 3","COMMON")))</x:f>
        <x:v>UNIT 3</x:v>
      </x:c>
    </x:row>
    <x:row r="45">
      <x:c r="A45" s="19" t="str">
        <x:v>AST-044</x:v>
      </x:c>
      <x:c r="B45" s="19" t="str">
        <x:v>Motor Boiler Feed Pump 1#3</x:v>
      </x:c>
      <x:c r="C45" s="19" t="str">
        <x:v>LJ03LAB11AP001-001</x:v>
      </x:c>
      <x:c r="D45" s="19" t="str">
        <x:v>ISO 10816-3 (GROUP 1 RIGID)</x:v>
      </x:c>
      <x:c r="E45" s="19" t="str">
        <x:v>ISO 10816-3 (GROUP 1 RIGID)</x:v>
      </x:c>
      <x:c r="F45" s="19" t="str">
        <x:v>Pump</x:v>
      </x:c>
      <x:c r="G45" s="19" t="str">
        <x:v>W38</x:v>
      </x:c>
      <x:c r="H45" s="30" t="n">
        <x:v>45553</x:v>
      </x:c>
      <x:c r="I45" s="19" t="str">
        <x:v>PREWARNING</x:v>
      </x:c>
      <x:c r="J45" s="19" t="str">
        <x:v>MOTOR</x:v>
      </x:c>
      <x:c r="K45" s="19" t="str">
        <x:v>POMPA</x:v>
      </x:c>
      <x:c r="L45" s="19" t="str">
        <x:v>YKS450-2</x:v>
      </x:c>
      <x:c r="M45" s="19" t="str">
        <x:v>2979 r/min</x:v>
      </x:c>
      <x:c r="N45" s="19" t="str">
        <x:v>1000 Kw</x:v>
      </x:c>
      <x:c r="O45" s="19" t="str">
        <x:v>Roller Bearing</x:v>
      </x:c>
      <x:c r="P45" s="19" t="str">
        <x:v>NU1022M/C3 6022/c3</x:v>
      </x:c>
      <x:c r="Q45" s="19" t="str">
        <x:v>NU1022M/C3 6022/c3</x:v>
      </x:c>
      <x:c r="R45" s="19" t="str">
        <x:v>-</x:v>
      </x:c>
      <x:c r="S45" s="19" t="str">
        <x:v>Rigid</x:v>
      </x:c>
      <x:c r="T45" s="19" t="str"/>
      <x:c r="U45" s="19" t="str"/>
      <x:c r="V45" s="19" t="str"/>
      <x:c r="W45" s="19" t="str"/>
      <x:c r="X45" s="19" t="str"/>
      <x:c r="Y45" s="19" t="str"/>
      <x:c r="Z45" s="19" t="str"/>
      <x:c r="AA45" s="19" t="str"/>
      <x:c r="AB45" s="19" t="str"/>
      <x:c r="AC45" s="19" t="str">
        <x:v>25SB-P</x:v>
      </x:c>
      <x:c r="AD45" s="19" t="str"/>
      <x:c r="AE45" s="19" t="str">
        <x:v>2980 r/min</x:v>
      </x:c>
      <x:c r="AF45" s="19" t="str">
        <x:v>822 Kw</x:v>
      </x:c>
      <x:c r="AG45" s="19" t="str">
        <x:v>165 m2/h</x:v>
      </x:c>
      <x:c r="AH45" s="19" t="str"/>
      <x:c r="AI45" s="19" t="str"/>
      <x:c r="AJ45" s="19" t="str"/>
      <x:c r="AK45" s="19" t="str">
        <x:v>-</x:v>
      </x:c>
      <x:c r="AL45" s="19" t="str">
        <x:v>-</x:v>
      </x:c>
      <x:c r="AM45" s="19" t="str"/>
      <x:c r="AN45" s="19" t="str"/>
      <x:c r="AO45" s="19" t="str"/>
      <x:c r="AP45" s="19" t="str"/>
      <x:c r="AQ45" s="19" t="str"/>
      <x:c r="AR45" s="19" t="str">
        <x:v>90</x:v>
      </x:c>
      <x:c r="AS45" s="19" t="str"/>
      <x:c r="AT45" t="str">
        <x:f>IF(VALUE(LEFT(AR45,FIND(",",AR45&amp;",")-1))&lt;=36,"UNIT 1",IF(VALUE(LEFT(AR45,FIND(",",AR45&amp;",")-1))&lt;=70,"UNIT 2",IF(VALUE(LEFT(AR45,FIND(",",AR45&amp;",")-1))&lt;=110,"UNIT 3","COMMON")))</x:f>
        <x:v>UNIT 3</x:v>
      </x:c>
    </x:row>
    <x:row r="46">
      <x:c r="A46" s="19" t="str">
        <x:v>AST-045</x:v>
      </x:c>
      <x:c r="B46" s="19" t="str">
        <x:v>Motor CCWP 1#3</x:v>
      </x:c>
      <x:c r="C46" s="19" t="str">
        <x:v>LJ00PGB11AP001-001</x:v>
      </x:c>
      <x:c r="D46" s="19" t="str">
        <x:v>ISO 10816-3 (GROUP 2 RIGID)</x:v>
      </x:c>
      <x:c r="E46" s="19" t="str">
        <x:v>ISO 10816-3 (GROUP 2 RIGID)</x:v>
      </x:c>
      <x:c r="F46" s="19" t="str">
        <x:v>Pump</x:v>
      </x:c>
      <x:c r="G46" s="19" t="str">
        <x:v>W39</x:v>
      </x:c>
      <x:c r="H46" s="30" t="n">
        <x:v>45561</x:v>
      </x:c>
      <x:c r="I46" s="19" t="str">
        <x:v>PREWARNING</x:v>
      </x:c>
      <x:c r="J46" s="19" t="str">
        <x:v>MOTOR</x:v>
      </x:c>
      <x:c r="K46" s="19" t="str">
        <x:v>POMPA</x:v>
      </x:c>
      <x:c r="L46" s="19" t="str">
        <x:v>EN60034 IEC 60034/60072</x:v>
      </x:c>
      <x:c r="M46" s="19" t="str">
        <x:v>1480 r/min</x:v>
      </x:c>
      <x:c r="N46" s="19" t="str">
        <x:v>55 Kw</x:v>
      </x:c>
      <x:c r="O46" s="19" t="str">
        <x:v>Roller Bearing</x:v>
      </x:c>
      <x:c r="P46" s="19" t="str">
        <x:v>-</x:v>
      </x:c>
      <x:c r="Q46" s="19" t="str">
        <x:v>-</x:v>
      </x:c>
      <x:c r="R46" s="19" t="str">
        <x:v>-</x:v>
      </x:c>
      <x:c r="S46" s="19" t="str">
        <x:v>Rigid</x:v>
      </x:c>
      <x:c r="T46" s="19" t="str"/>
      <x:c r="U46" s="19" t="str"/>
      <x:c r="V46" s="19" t="str"/>
      <x:c r="W46" s="19" t="str"/>
      <x:c r="X46" s="19" t="str"/>
      <x:c r="Y46" s="19" t="str"/>
      <x:c r="Z46" s="19" t="str"/>
      <x:c r="AA46" s="19" t="str"/>
      <x:c r="AB46" s="19" t="str"/>
      <x:c r="AC46" s="19" t="str">
        <x:v>200SS35</x:v>
      </x:c>
      <x:c r="AD46" s="19" t="str"/>
      <x:c r="AE46" s="19" t="str">
        <x:v>1480 r/min</x:v>
      </x:c>
      <x:c r="AF46" s="19" t="str">
        <x:v>55 Kw</x:v>
      </x:c>
      <x:c r="AG46" s="19" t="str">
        <x:v>500 m2/h</x:v>
      </x:c>
      <x:c r="AH46" s="19" t="str"/>
      <x:c r="AI46" s="19" t="str"/>
      <x:c r="AJ46" s="19" t="str"/>
      <x:c r="AK46" s="19" t="str">
        <x:v>-</x:v>
      </x:c>
      <x:c r="AL46" s="19" t="str">
        <x:v>-</x:v>
      </x:c>
      <x:c r="AM46" s="19" t="str"/>
      <x:c r="AN46" s="19" t="str"/>
      <x:c r="AO46" s="19" t="str"/>
      <x:c r="AP46" s="19" t="str"/>
      <x:c r="AQ46" s="19" t="str"/>
      <x:c r="AR46" s="19" t="str">
        <x:v>92</x:v>
      </x:c>
      <x:c r="AS46" s="19" t="str"/>
      <x:c r="AT46" t="str">
        <x:f>IF(VALUE(LEFT(AR46,FIND(",",AR46&amp;",")-1))&lt;=36,"UNIT 1",IF(VALUE(LEFT(AR46,FIND(",",AR46&amp;",")-1))&lt;=70,"UNIT 2",IF(VALUE(LEFT(AR46,FIND(",",AR46&amp;",")-1))&lt;=110,"UNIT 3","COMMON")))</x:f>
        <x:v>UNIT 3</x:v>
      </x:c>
    </x:row>
    <x:row r="47">
      <x:c r="A47" s="19" t="str">
        <x:v>AST-046</x:v>
      </x:c>
      <x:c r="B47" s="19" t="str">
        <x:v>Motor CCWP 2#3</x:v>
      </x:c>
      <x:c r="C47" s="19" t="str">
        <x:v>LJ00PGB21AP001-001</x:v>
      </x:c>
      <x:c r="D47" s="19" t="str">
        <x:v>ISO 10816-3 (GROUP 2 RIGID)</x:v>
      </x:c>
      <x:c r="E47" s="19" t="str">
        <x:v>ISO 10816-3 (GROUP 2 RIGID)</x:v>
      </x:c>
      <x:c r="F47" s="19" t="str">
        <x:v>Pump</x:v>
      </x:c>
      <x:c r="G47" s="19" t="str">
        <x:v>W36</x:v>
      </x:c>
      <x:c r="H47" s="30" t="n">
        <x:v>45539</x:v>
      </x:c>
      <x:c r="I47" s="19" t="str">
        <x:v>PREWARNING</x:v>
      </x:c>
      <x:c r="J47" s="19" t="str">
        <x:v>MOTOR</x:v>
      </x:c>
      <x:c r="K47" s="19" t="str">
        <x:v>POMPA</x:v>
      </x:c>
      <x:c r="L47" s="19" t="str">
        <x:v>EN60034 IEC 60034/60072</x:v>
      </x:c>
      <x:c r="M47" s="19" t="str">
        <x:v>1480 r/min</x:v>
      </x:c>
      <x:c r="N47" s="19" t="str">
        <x:v>55 Kw</x:v>
      </x:c>
      <x:c r="O47" s="19" t="str">
        <x:v>Roller Bearing</x:v>
      </x:c>
      <x:c r="P47" s="19" t="str">
        <x:v>-</x:v>
      </x:c>
      <x:c r="Q47" s="19" t="str">
        <x:v>-</x:v>
      </x:c>
      <x:c r="R47" s="19" t="str">
        <x:v>-</x:v>
      </x:c>
      <x:c r="S47" s="19" t="str">
        <x:v>Rigid</x:v>
      </x:c>
      <x:c r="T47" s="19" t="str"/>
      <x:c r="U47" s="19" t="str"/>
      <x:c r="V47" s="19" t="str"/>
      <x:c r="W47" s="19" t="str"/>
      <x:c r="X47" s="19" t="str"/>
      <x:c r="Y47" s="19" t="str"/>
      <x:c r="Z47" s="19" t="str"/>
      <x:c r="AA47" s="19" t="str"/>
      <x:c r="AB47" s="19" t="str"/>
      <x:c r="AC47" s="19" t="str">
        <x:v>200SS35</x:v>
      </x:c>
      <x:c r="AD47" s="19" t="str"/>
      <x:c r="AE47" s="19" t="str">
        <x:v>1480 r/min</x:v>
      </x:c>
      <x:c r="AF47" s="19" t="str">
        <x:v>55 Kw</x:v>
      </x:c>
      <x:c r="AG47" s="19" t="str">
        <x:v>500 m2/h</x:v>
      </x:c>
      <x:c r="AH47" s="19" t="str"/>
      <x:c r="AI47" s="19" t="str"/>
      <x:c r="AJ47" s="19" t="str"/>
      <x:c r="AK47" s="19" t="str">
        <x:v>-</x:v>
      </x:c>
      <x:c r="AL47" s="19" t="str">
        <x:v>-</x:v>
      </x:c>
      <x:c r="AM47" s="19" t="str"/>
      <x:c r="AN47" s="19" t="str"/>
      <x:c r="AO47" s="19" t="str"/>
      <x:c r="AP47" s="19" t="str"/>
      <x:c r="AQ47" s="19" t="str"/>
      <x:c r="AR47" s="19" t="str">
        <x:v>94</x:v>
      </x:c>
      <x:c r="AS47" s="19" t="str"/>
      <x:c r="AT47" t="str">
        <x:f>IF(VALUE(LEFT(AR47,FIND(",",AR47&amp;",")-1))&lt;=36,"UNIT 1",IF(VALUE(LEFT(AR47,FIND(",",AR47&amp;",")-1))&lt;=70,"UNIT 2",IF(VALUE(LEFT(AR47,FIND(",",AR47&amp;",")-1))&lt;=110,"UNIT 3","COMMON")))</x:f>
        <x:v>UNIT 3</x:v>
      </x:c>
    </x:row>
    <x:row r="48">
      <x:c r="A48" s="19" t="str">
        <x:v>AST-047</x:v>
      </x:c>
      <x:c r="B48" s="19" t="str">
        <x:v>Motor CWP 355 Kw 1#3</x:v>
      </x:c>
      <x:c r="C48" s="19" t="str">
        <x:v>LJ00PAB11AP001-001</x:v>
      </x:c>
      <x:c r="D48" s="19" t="str">
        <x:v>ISO 10816-3 (GROUP 1 RIGID))</x:v>
      </x:c>
      <x:c r="E48" s="19" t="str">
        <x:v>ISO 10816-3 (GROUP 1 RIGID)</x:v>
      </x:c>
      <x:c r="F48" s="19" t="str">
        <x:v>Pump</x:v>
      </x:c>
      <x:c r="G48" s="19" t="str">
        <x:v>W38</x:v>
      </x:c>
      <x:c r="H48" s="30" t="n">
        <x:v>45554</x:v>
      </x:c>
      <x:c r="I48" s="19" t="str">
        <x:v>PREWARNING</x:v>
      </x:c>
      <x:c r="J48" s="19" t="str">
        <x:v>MOTOR</x:v>
      </x:c>
      <x:c r="K48" s="19" t="str">
        <x:v>POMPA</x:v>
      </x:c>
      <x:c r="L48" s="19" t="str">
        <x:v>YKKL-450-6TH</x:v>
      </x:c>
      <x:c r="M48" s="19" t="str">
        <x:v>989</x:v>
      </x:c>
      <x:c r="N48" s="19" t="str">
        <x:v>355</x:v>
      </x:c>
      <x:c r="O48" s="19" t="str">
        <x:v>Roller Bearing</x:v>
      </x:c>
      <x:c r="P48" s="19" t="str">
        <x:v>6226</x:v>
      </x:c>
      <x:c r="Q48" s="19" t="str">
        <x:v>7330B</x:v>
      </x:c>
      <x:c r="R48" s="19" t="str">
        <x:v>-</x:v>
      </x:c>
      <x:c r="S48" s="19" t="str">
        <x:v>Rigid</x:v>
      </x:c>
      <x:c r="T48" s="19" t="str"/>
      <x:c r="U48" s="19" t="str"/>
      <x:c r="V48" s="19" t="str"/>
      <x:c r="W48" s="19" t="str"/>
      <x:c r="X48" s="19" t="str"/>
      <x:c r="Y48" s="19" t="str"/>
      <x:c r="Z48" s="19" t="str"/>
      <x:c r="AA48" s="19" t="str"/>
      <x:c r="AB48" s="19" t="str"/>
      <x:c r="AC48" s="19" t="str"/>
      <x:c r="AD48" s="19" t="str"/>
      <x:c r="AE48" s="19" t="str"/>
      <x:c r="AF48" s="19" t="str"/>
      <x:c r="AG48" s="19" t="str"/>
      <x:c r="AH48" s="19" t="str"/>
      <x:c r="AI48" s="19" t="str"/>
      <x:c r="AJ48" s="19" t="str"/>
      <x:c r="AK48" s="19" t="str"/>
      <x:c r="AL48" s="19" t="str"/>
      <x:c r="AM48" s="19" t="str"/>
      <x:c r="AN48" s="19" t="str"/>
      <x:c r="AO48" s="19" t="str"/>
      <x:c r="AP48" s="19" t="str"/>
      <x:c r="AQ48" s="19" t="str"/>
      <x:c r="AR48" s="19" t="str">
        <x:v>96</x:v>
      </x:c>
      <x:c r="AS48" s="19" t="str">
        <x:v>Class dinormalisasi pada kolom terpisah; nilai sumber dipertahankan</x:v>
      </x:c>
      <x:c r="AT48" t="str">
        <x:f>IF(VALUE(LEFT(AR48,FIND(",",AR48&amp;",")-1))&lt;=36,"UNIT 1",IF(VALUE(LEFT(AR48,FIND(",",AR48&amp;",")-1))&lt;=70,"UNIT 2",IF(VALUE(LEFT(AR48,FIND(",",AR48&amp;",")-1))&lt;=110,"UNIT 3","COMMON")))</x:f>
        <x:v>UNIT 3</x:v>
      </x:c>
    </x:row>
    <x:row r="49">
      <x:c r="A49" s="19" t="str">
        <x:v>AST-048</x:v>
      </x:c>
      <x:c r="B49" s="19" t="str">
        <x:v>Motor BWRO 1#3</x:v>
      </x:c>
      <x:c r="C49" s="19" t="str">
        <x:v>LJ00GCK21AP001-001</x:v>
      </x:c>
      <x:c r="D49" s="19" t="str">
        <x:v>ISO 10816-3 (GROUP 2 RIGID)</x:v>
      </x:c>
      <x:c r="E49" s="19" t="str">
        <x:v>ISO 10816-3 (GROUP 2 RIGID)</x:v>
      </x:c>
      <x:c r="F49" s="19" t="str">
        <x:v>Pump</x:v>
      </x:c>
      <x:c r="G49" s="19" t="str">
        <x:v>W39</x:v>
      </x:c>
      <x:c r="H49" s="30" t="n">
        <x:v>45561</x:v>
      </x:c>
      <x:c r="I49" s="19" t="str">
        <x:v>PREWARNING</x:v>
      </x:c>
      <x:c r="J49" s="19" t="str">
        <x:v>MOTOR</x:v>
      </x:c>
      <x:c r="K49" s="19" t="str">
        <x:v>POMPA</x:v>
      </x:c>
      <x:c r="L49" s="19" t="str">
        <x:v>DPVSF18-120</x:v>
      </x:c>
      <x:c r="M49" s="19" t="str">
        <x:v>2924</x:v>
      </x:c>
      <x:c r="N49" s="19" t="str">
        <x:v>11</x:v>
      </x:c>
      <x:c r="O49" s="19" t="str">
        <x:v>Roller Bearing</x:v>
      </x:c>
      <x:c r="P49" s="19" t="str"/>
      <x:c r="Q49" s="19" t="str"/>
      <x:c r="R49" s="19" t="str">
        <x:v>-</x:v>
      </x:c>
      <x:c r="S49" s="19" t="str">
        <x:v>Rigid</x:v>
      </x:c>
      <x:c r="T49" s="19" t="str"/>
      <x:c r="U49" s="19" t="str"/>
      <x:c r="V49" s="19" t="str"/>
      <x:c r="W49" s="19" t="str"/>
      <x:c r="X49" s="19" t="str"/>
      <x:c r="Y49" s="19" t="str"/>
      <x:c r="Z49" s="19" t="str"/>
      <x:c r="AA49" s="19" t="str"/>
      <x:c r="AB49" s="19" t="str"/>
      <x:c r="AC49" s="19" t="str"/>
      <x:c r="AD49" s="19" t="str"/>
      <x:c r="AE49" s="19" t="str"/>
      <x:c r="AF49" s="19" t="str"/>
      <x:c r="AG49" s="19" t="str"/>
      <x:c r="AH49" s="19" t="str"/>
      <x:c r="AI49" s="19" t="str"/>
      <x:c r="AJ49" s="19" t="str"/>
      <x:c r="AK49" s="19" t="str">
        <x:v>-</x:v>
      </x:c>
      <x:c r="AL49" s="19" t="str">
        <x:v>-</x:v>
      </x:c>
      <x:c r="AM49" s="19" t="str"/>
      <x:c r="AN49" s="19" t="str"/>
      <x:c r="AO49" s="19" t="str"/>
      <x:c r="AP49" s="19" t="str"/>
      <x:c r="AQ49" s="19" t="str"/>
      <x:c r="AR49" s="19" t="str">
        <x:v>98</x:v>
      </x:c>
      <x:c r="AS49" s="19" t="str"/>
      <x:c r="AT49" t="str">
        <x:f>IF(VALUE(LEFT(AR49,FIND(",",AR49&amp;",")-1))&lt;=36,"UNIT 1",IF(VALUE(LEFT(AR49,FIND(",",AR49&amp;",")-1))&lt;=70,"UNIT 2",IF(VALUE(LEFT(AR49,FIND(",",AR49&amp;",")-1))&lt;=110,"UNIT 3","COMMON")))</x:f>
        <x:v>UNIT 3</x:v>
      </x:c>
    </x:row>
    <x:row r="50">
      <x:c r="A50" s="19" t="str">
        <x:v>AST-049</x:v>
      </x:c>
      <x:c r="B50" s="19" t="str">
        <x:v>Motor SWRO 1#3</x:v>
      </x:c>
      <x:c r="C50" s="19" t="str">
        <x:v>LJ00GCF11AT002-001</x:v>
      </x:c>
      <x:c r="D50" s="19" t="str">
        <x:v>ISO 10816-3 (GROUP 2 RIGID)</x:v>
      </x:c>
      <x:c r="E50" s="19" t="str">
        <x:v>ISO 10816-3 (GROUP 2 RIGID)</x:v>
      </x:c>
      <x:c r="F50" s="19" t="str">
        <x:v>Pump</x:v>
      </x:c>
      <x:c r="G50" s="19" t="str">
        <x:v>W39</x:v>
      </x:c>
      <x:c r="H50" s="30" t="n">
        <x:v>45561</x:v>
      </x:c>
      <x:c r="I50" s="19" t="str">
        <x:v>NORMAL</x:v>
      </x:c>
      <x:c r="J50" s="19" t="str">
        <x:v>MOTOR</x:v>
      </x:c>
      <x:c r="K50" s="19" t="str">
        <x:v>POMPA</x:v>
      </x:c>
      <x:c r="L50" s="19" t="str"/>
      <x:c r="M50" s="19" t="str"/>
      <x:c r="N50" s="19" t="str"/>
      <x:c r="O50" s="19" t="str"/>
      <x:c r="P50" s="19" t="str"/>
      <x:c r="Q50" s="19" t="str"/>
      <x:c r="R50" s="19" t="str">
        <x:v>-</x:v>
      </x:c>
      <x:c r="S50" s="19" t="str">
        <x:v>Rigid</x:v>
      </x:c>
      <x:c r="T50" s="19" t="str"/>
      <x:c r="U50" s="19" t="str"/>
      <x:c r="V50" s="19" t="str"/>
      <x:c r="W50" s="19" t="str"/>
      <x:c r="X50" s="19" t="str"/>
      <x:c r="Y50" s="19" t="str"/>
      <x:c r="Z50" s="19" t="str"/>
      <x:c r="AA50" s="19" t="str"/>
      <x:c r="AB50" s="19" t="str"/>
      <x:c r="AC50" s="19" t="str"/>
      <x:c r="AD50" s="19" t="str"/>
      <x:c r="AE50" s="19" t="str"/>
      <x:c r="AF50" s="19" t="str"/>
      <x:c r="AG50" s="19" t="str"/>
      <x:c r="AH50" s="19" t="str"/>
      <x:c r="AI50" s="19" t="str"/>
      <x:c r="AJ50" s="19" t="str"/>
      <x:c r="AK50" s="19" t="str">
        <x:v>-</x:v>
      </x:c>
      <x:c r="AL50" s="19" t="str">
        <x:v>-</x:v>
      </x:c>
      <x:c r="AM50" s="19" t="str"/>
      <x:c r="AN50" s="19" t="str"/>
      <x:c r="AO50" s="19" t="str"/>
      <x:c r="AP50" s="19" t="str"/>
      <x:c r="AQ50" s="19" t="str"/>
      <x:c r="AR50" s="19" t="str">
        <x:v>100</x:v>
      </x:c>
      <x:c r="AS50" s="19" t="str"/>
      <x:c r="AT50" t="str">
        <x:f>IF(VALUE(LEFT(AR50,FIND(",",AR50&amp;",")-1))&lt;=36,"UNIT 1",IF(VALUE(LEFT(AR50,FIND(",",AR50&amp;",")-1))&lt;=70,"UNIT 2",IF(VALUE(LEFT(AR50,FIND(",",AR50&amp;",")-1))&lt;=110,"UNIT 3","COMMON")))</x:f>
        <x:v>UNIT 3</x:v>
      </x:c>
    </x:row>
    <x:row r="51">
      <x:c r="A51" s="19" t="str">
        <x:v>AST-050</x:v>
      </x:c>
      <x:c r="B51" s="19" t="str">
        <x:v>FIRE FIGHTING JOCKEY PUMP 3B</x:v>
      </x:c>
      <x:c r="C51" s="19" t="str"/>
      <x:c r="D51" s="19" t="str">
        <x:v>ISO 10816-3 (GROUP 2 RIGID)</x:v>
      </x:c>
      <x:c r="E51" s="19" t="str">
        <x:v>ISO 10816-3 (GROUP 2 RIGID)</x:v>
      </x:c>
      <x:c r="F51" s="19" t="str">
        <x:v>Pump</x:v>
      </x:c>
      <x:c r="G51" s="19" t="str">
        <x:v>W37</x:v>
      </x:c>
      <x:c r="H51" s="30" t="n">
        <x:v>45548</x:v>
      </x:c>
      <x:c r="I51" s="19" t="str">
        <x:v>NORMAL</x:v>
      </x:c>
      <x:c r="J51" s="19" t="str">
        <x:v>MOTOR</x:v>
      </x:c>
      <x:c r="K51" s="19" t="str">
        <x:v>POMPA</x:v>
      </x:c>
      <x:c r="L51" s="19" t="str">
        <x:v>FSV2H15A0T65B</x:v>
      </x:c>
      <x:c r="M51" s="19" t="str">
        <x:v>2930</x:v>
      </x:c>
      <x:c r="N51" s="19" t="str">
        <x:v>11 kW</x:v>
      </x:c>
      <x:c r="O51" s="19" t="str"/>
      <x:c r="P51" s="19" t="str">
        <x:v>6310 C3</x:v>
      </x:c>
      <x:c r="Q51" s="19" t="str">
        <x:v>6308 C3</x:v>
      </x:c>
      <x:c r="R51" s="19" t="str"/>
      <x:c r="S51" s="19" t="str">
        <x:v>Rigid</x:v>
      </x:c>
      <x:c r="T51" s="19" t="str">
        <x:v>15 HP</x:v>
      </x:c>
      <x:c r="U51" s="19" t="str"/>
      <x:c r="V51" s="19" t="str">
        <x:v>22,2 / 12,8 A</x:v>
      </x:c>
      <x:c r="W51" s="19" t="str"/>
      <x:c r="X51" s="19" t="str"/>
      <x:c r="Y51" s="19" t="str"/>
      <x:c r="Z51" s="19" t="str"/>
      <x:c r="AA51" s="19" t="str"/>
      <x:c r="AB51" s="19" t="str"/>
      <x:c r="AC51" s="19" t="str"/>
      <x:c r="AD51" s="19" t="str"/>
      <x:c r="AE51" s="19" t="str"/>
      <x:c r="AF51" s="19" t="str"/>
      <x:c r="AG51" s="19" t="str"/>
      <x:c r="AH51" s="19" t="str"/>
      <x:c r="AI51" s="19" t="str"/>
      <x:c r="AJ51" s="19" t="str"/>
      <x:c r="AK51" s="19" t="str">
        <x:v>-</x:v>
      </x:c>
      <x:c r="AL51" s="19" t="str">
        <x:v>-</x:v>
      </x:c>
      <x:c r="AM51" s="19" t="str"/>
      <x:c r="AN51" s="19" t="str"/>
      <x:c r="AO51" s="19" t="str"/>
      <x:c r="AP51" s="19" t="str"/>
      <x:c r="AQ51" s="19" t="str"/>
      <x:c r="AR51" s="19" t="str">
        <x:v>102</x:v>
      </x:c>
      <x:c r="AS51" s="19" t="str">
        <x:v>KKS kosong pada sumber PDF</x:v>
      </x:c>
      <x:c r="AT51" t="str">
        <x:f>IF(VALUE(LEFT(AR51,FIND(",",AR51&amp;",")-1))&lt;=36,"UNIT 1",IF(VALUE(LEFT(AR51,FIND(",",AR51&amp;",")-1))&lt;=70,"UNIT 2",IF(VALUE(LEFT(AR51,FIND(",",AR51&amp;",")-1))&lt;=110,"UNIT 3","COMMON")))</x:f>
        <x:v>UNIT 3</x:v>
      </x:c>
    </x:row>
    <x:row r="52">
      <x:c r="A52" s="19" t="str">
        <x:v>AST-051</x:v>
      </x:c>
      <x:c r="B52" s="19" t="str">
        <x:v>FIRE FIGHTING PUMP WITH MOTOR UNIT 3</x:v>
      </x:c>
      <x:c r="C52" s="19" t="str"/>
      <x:c r="D52" s="19" t="str">
        <x:v>ISO 10816-3 (GROUP 2 RIGID)</x:v>
      </x:c>
      <x:c r="E52" s="19" t="str">
        <x:v>ISO 10816-3 (GROUP 2 RIGID)</x:v>
      </x:c>
      <x:c r="F52" s="19" t="str">
        <x:v>Pump</x:v>
      </x:c>
      <x:c r="G52" s="19" t="str">
        <x:v>W37</x:v>
      </x:c>
      <x:c r="H52" s="30" t="n">
        <x:v>45548</x:v>
      </x:c>
      <x:c r="I52" s="19" t="str">
        <x:v>PREWARNING</x:v>
      </x:c>
      <x:c r="J52" s="19" t="str">
        <x:v>MOTOR</x:v>
      </x:c>
      <x:c r="K52" s="19" t="str">
        <x:v>POMPA</x:v>
      </x:c>
      <x:c r="L52" s="19" t="str">
        <x:v>AEEBKB020175FM</x:v>
      </x:c>
      <x:c r="M52" s="19" t="str">
        <x:v>2955</x:v>
      </x:c>
      <x:c r="N52" s="19" t="str">
        <x:v>132 kW</x:v>
      </x:c>
      <x:c r="O52" s="19" t="str"/>
      <x:c r="P52" s="19" t="str">
        <x:v>6314 C3</x:v>
      </x:c>
      <x:c r="Q52" s="19" t="str">
        <x:v>6314 C3</x:v>
      </x:c>
      <x:c r="R52" s="19" t="str"/>
      <x:c r="S52" s="19" t="str">
        <x:v>Rigid</x:v>
      </x:c>
      <x:c r="T52" s="19" t="str">
        <x:v>175 HP</x:v>
      </x:c>
      <x:c r="U52" s="19" t="str"/>
      <x:c r="V52" s="19" t="str">
        <x:v>239 - 219 A</x:v>
      </x:c>
      <x:c r="W52" s="19" t="str"/>
      <x:c r="X52" s="19" t="str"/>
      <x:c r="Y52" s="19" t="str"/>
      <x:c r="Z52" s="19" t="str"/>
      <x:c r="AA52" s="19" t="str"/>
      <x:c r="AB52" s="19" t="str"/>
      <x:c r="AC52" s="19" t="str"/>
      <x:c r="AD52" s="19" t="str"/>
      <x:c r="AE52" s="19" t="str"/>
      <x:c r="AF52" s="19" t="str"/>
      <x:c r="AG52" s="19" t="str"/>
      <x:c r="AH52" s="19" t="str"/>
      <x:c r="AI52" s="19" t="str"/>
      <x:c r="AJ52" s="19" t="str"/>
      <x:c r="AK52" s="19" t="str"/>
      <x:c r="AL52" s="19" t="str"/>
      <x:c r="AM52" s="19" t="str"/>
      <x:c r="AN52" s="19" t="str"/>
      <x:c r="AO52" s="19" t="str"/>
      <x:c r="AP52" s="19" t="str"/>
      <x:c r="AQ52" s="19" t="str"/>
      <x:c r="AR52" s="19" t="str">
        <x:v>104</x:v>
      </x:c>
      <x:c r="AS52" s="19" t="str">
        <x:v>KKS kosong pada sumber PDF</x:v>
      </x:c>
      <x:c r="AT52" t="str">
        <x:f>IF(VALUE(LEFT(AR52,FIND(",",AR52&amp;",")-1))&lt;=36,"UNIT 1",IF(VALUE(LEFT(AR52,FIND(",",AR52&amp;",")-1))&lt;=70,"UNIT 2",IF(VALUE(LEFT(AR52,FIND(",",AR52&amp;",")-1))&lt;=110,"UNIT 3","COMMON")))</x:f>
        <x:v>UNIT 3</x:v>
      </x:c>
    </x:row>
    <x:row r="53">
      <x:c r="A53" s="19" t="str">
        <x:v>AST-052</x:v>
      </x:c>
      <x:c r="B53" s="19" t="str">
        <x:v>FIRE FIGHTING PUMP WITH DIESEL UNIT 3</x:v>
      </x:c>
      <x:c r="C53" s="19" t="str"/>
      <x:c r="D53" s="19" t="str">
        <x:v>ISO 10816-3 (GROUP 2 RIGID)</x:v>
      </x:c>
      <x:c r="E53" s="19" t="str">
        <x:v>ISO 10816-3 (GROUP 2 RIGID)</x:v>
      </x:c>
      <x:c r="F53" s="19" t="str">
        <x:v>Pump</x:v>
      </x:c>
      <x:c r="G53" s="19" t="str">
        <x:v>W37</x:v>
      </x:c>
      <x:c r="H53" s="30" t="n">
        <x:v>45548</x:v>
      </x:c>
      <x:c r="I53" s="19" t="str">
        <x:v>PREWARNING</x:v>
      </x:c>
      <x:c r="J53" s="19" t="str">
        <x:v>MOTOR</x:v>
      </x:c>
      <x:c r="K53" s="19" t="str">
        <x:v>POMPA</x:v>
      </x:c>
      <x:c r="L53" s="19" t="str">
        <x:v>JU6HUE3A</x:v>
      </x:c>
      <x:c r="M53" s="19" t="str">
        <x:v>3000 r/min</x:v>
      </x:c>
      <x:c r="N53" s="19" t="str"/>
      <x:c r="O53" s="19" t="str"/>
      <x:c r="P53" s="19" t="str">
        <x:v>-</x:v>
      </x:c>
      <x:c r="Q53" s="19" t="str">
        <x:v>-</x:v>
      </x:c>
      <x:c r="R53" s="19" t="str">
        <x:v>-</x:v>
      </x:c>
      <x:c r="S53" s="19" t="str">
        <x:v>Rigid</x:v>
      </x:c>
      <x:c r="T53" s="19" t="str"/>
      <x:c r="U53" s="19" t="str">
        <x:v>175 BHP</x:v>
      </x:c>
      <x:c r="V53" s="19" t="str"/>
      <x:c r="W53" s="19" t="str"/>
      <x:c r="X53" s="19" t="str"/>
      <x:c r="Y53" s="19" t="str"/>
      <x:c r="Z53" s="19" t="str"/>
      <x:c r="AA53" s="19" t="str"/>
      <x:c r="AB53" s="19" t="str"/>
      <x:c r="AC53" s="19" t="str"/>
      <x:c r="AD53" s="19" t="str"/>
      <x:c r="AE53" s="19" t="str"/>
      <x:c r="AF53" s="19" t="str"/>
      <x:c r="AG53" s="19" t="str"/>
      <x:c r="AH53" s="19" t="str"/>
      <x:c r="AI53" s="19" t="str"/>
      <x:c r="AJ53" s="19" t="str"/>
      <x:c r="AK53" s="19" t="str"/>
      <x:c r="AL53" s="19" t="str"/>
      <x:c r="AM53" s="19" t="str"/>
      <x:c r="AN53" s="19" t="str"/>
      <x:c r="AO53" s="19" t="str"/>
      <x:c r="AP53" s="19" t="str"/>
      <x:c r="AQ53" s="19" t="str"/>
      <x:c r="AR53" s="19" t="str">
        <x:v>106</x:v>
      </x:c>
      <x:c r="AS53" s="19" t="str">
        <x:v>KKS kosong pada sumber PDF</x:v>
      </x:c>
      <x:c r="AT53" t="str">
        <x:f>IF(VALUE(LEFT(AR53,FIND(",",AR53&amp;",")-1))&lt;=36,"UNIT 1",IF(VALUE(LEFT(AR53,FIND(",",AR53&amp;",")-1))&lt;=70,"UNIT 2",IF(VALUE(LEFT(AR53,FIND(",",AR53&amp;",")-1))&lt;=110,"UNIT 3","COMMON")))</x:f>
        <x:v>UNIT 3</x:v>
      </x:c>
    </x:row>
    <x:row r="54">
      <x:c r="A54" s="19" t="str">
        <x:v>AST-053</x:v>
      </x:c>
      <x:c r="B54" s="19" t="str">
        <x:v>AC OIL PUMP UNIT 3</x:v>
      </x:c>
      <x:c r="C54" s="19" t="str"/>
      <x:c r="D54" s="19" t="str">
        <x:v>ISO 10816-3 (GROUP 2 RIGID)</x:v>
      </x:c>
      <x:c r="E54" s="19" t="str">
        <x:v>ISO 10816-3 (GROUP 2 RIGID)</x:v>
      </x:c>
      <x:c r="F54" s="19" t="str">
        <x:v>Pump</x:v>
      </x:c>
      <x:c r="G54" s="19" t="str">
        <x:v>W37</x:v>
      </x:c>
      <x:c r="H54" s="30" t="n">
        <x:v>45547</x:v>
      </x:c>
      <x:c r="I54" s="19" t="str">
        <x:v>ALARM</x:v>
      </x:c>
      <x:c r="J54" s="19" t="str">
        <x:v>MOTOR</x:v>
      </x:c>
      <x:c r="K54" s="19" t="str">
        <x:v>POMPA</x:v>
      </x:c>
      <x:c r="L54" s="19" t="str">
        <x:v>AEEBKB020175FM</x:v>
      </x:c>
      <x:c r="M54" s="19" t="str">
        <x:v>2955</x:v>
      </x:c>
      <x:c r="N54" s="19" t="str">
        <x:v>132 kW</x:v>
      </x:c>
      <x:c r="O54" s="19" t="str"/>
      <x:c r="P54" s="19" t="str">
        <x:v>6314 C3</x:v>
      </x:c>
      <x:c r="Q54" s="19" t="str">
        <x:v>6314 C3</x:v>
      </x:c>
      <x:c r="R54" s="19" t="str"/>
      <x:c r="S54" s="19" t="str">
        <x:v>Rigid</x:v>
      </x:c>
      <x:c r="T54" s="19" t="str">
        <x:v>175 HP</x:v>
      </x:c>
      <x:c r="U54" s="19" t="str"/>
      <x:c r="V54" s="19" t="str">
        <x:v>239 - 219 A</x:v>
      </x:c>
      <x:c r="W54" s="19" t="str"/>
      <x:c r="X54" s="19" t="str"/>
      <x:c r="Y54" s="19" t="str"/>
      <x:c r="Z54" s="19" t="str"/>
      <x:c r="AA54" s="19" t="str"/>
      <x:c r="AB54" s="19" t="str"/>
      <x:c r="AC54" s="19" t="str"/>
      <x:c r="AD54" s="19" t="str"/>
      <x:c r="AE54" s="19" t="str"/>
      <x:c r="AF54" s="19" t="str"/>
      <x:c r="AG54" s="19" t="str"/>
      <x:c r="AH54" s="19" t="str"/>
      <x:c r="AI54" s="19" t="str"/>
      <x:c r="AJ54" s="19" t="str"/>
      <x:c r="AK54" s="19" t="str"/>
      <x:c r="AL54" s="19" t="str"/>
      <x:c r="AM54" s="19" t="str"/>
      <x:c r="AN54" s="19" t="str"/>
      <x:c r="AO54" s="19" t="str"/>
      <x:c r="AP54" s="19" t="str"/>
      <x:c r="AQ54" s="19" t="str"/>
      <x:c r="AR54" s="19" t="str">
        <x:v>108</x:v>
      </x:c>
      <x:c r="AS54" s="19" t="str">
        <x:v>KKS kosong pada sumber PDF</x:v>
      </x:c>
      <x:c r="AT54" t="str">
        <x:f>IF(VALUE(LEFT(AR54,FIND(",",AR54&amp;",")-1))&lt;=36,"UNIT 1",IF(VALUE(LEFT(AR54,FIND(",",AR54&amp;",")-1))&lt;=70,"UNIT 2",IF(VALUE(LEFT(AR54,FIND(",",AR54&amp;",")-1))&lt;=110,"UNIT 3","COMMON")))</x:f>
        <x:v>UNIT 3</x:v>
      </x:c>
    </x:row>
    <x:row r="55">
      <x:c r="A55" s="19" t="str">
        <x:v>AST-054</x:v>
      </x:c>
      <x:c r="B55" s="19" t="str">
        <x:v>JACKING OIL PUMP 3A</x:v>
      </x:c>
      <x:c r="C55" s="19" t="str"/>
      <x:c r="D55" s="19" t="str">
        <x:v>ISO 10816-3 (GROUP 2 RIGID)</x:v>
      </x:c>
      <x:c r="E55" s="19" t="str">
        <x:v>ISO 10816-3 (GROUP 2 RIGID)</x:v>
      </x:c>
      <x:c r="F55" s="19" t="str">
        <x:v>Pump</x:v>
      </x:c>
      <x:c r="G55" s="19" t="str">
        <x:v>W37</x:v>
      </x:c>
      <x:c r="H55" s="30" t="n">
        <x:v>45547</x:v>
      </x:c>
      <x:c r="I55" s="19" t="str">
        <x:v>NORMAL</x:v>
      </x:c>
      <x:c r="J55" s="19" t="str">
        <x:v>MOTOR</x:v>
      </x:c>
      <x:c r="K55" s="19" t="str">
        <x:v>POMPA</x:v>
      </x:c>
      <x:c r="L55" s="19" t="str">
        <x:v>AEEBKB020175FM</x:v>
      </x:c>
      <x:c r="M55" s="19" t="str">
        <x:v>2955</x:v>
      </x:c>
      <x:c r="N55" s="19" t="str">
        <x:v>132 kW</x:v>
      </x:c>
      <x:c r="O55" s="19" t="str"/>
      <x:c r="P55" s="19" t="str">
        <x:v>6314 C3</x:v>
      </x:c>
      <x:c r="Q55" s="19" t="str">
        <x:v>6314 C3</x:v>
      </x:c>
      <x:c r="R55" s="19" t="str"/>
      <x:c r="S55" s="19" t="str">
        <x:v>Rigid</x:v>
      </x:c>
      <x:c r="T55" s="19" t="str">
        <x:v>175 HP</x:v>
      </x:c>
      <x:c r="U55" s="19" t="str"/>
      <x:c r="V55" s="19" t="str">
        <x:v>239 - 219 A</x:v>
      </x:c>
      <x:c r="W55" s="19" t="str"/>
      <x:c r="X55" s="19" t="str"/>
      <x:c r="Y55" s="19" t="str"/>
      <x:c r="Z55" s="19" t="str"/>
      <x:c r="AA55" s="19" t="str"/>
      <x:c r="AB55" s="19" t="str"/>
      <x:c r="AC55" s="19" t="str"/>
      <x:c r="AD55" s="19" t="str"/>
      <x:c r="AE55" s="19" t="str"/>
      <x:c r="AF55" s="19" t="str"/>
      <x:c r="AG55" s="19" t="str"/>
      <x:c r="AH55" s="19" t="str"/>
      <x:c r="AI55" s="19" t="str"/>
      <x:c r="AJ55" s="19" t="str"/>
      <x:c r="AK55" s="19" t="str"/>
      <x:c r="AL55" s="19" t="str"/>
      <x:c r="AM55" s="19" t="str"/>
      <x:c r="AN55" s="19" t="str"/>
      <x:c r="AO55" s="19" t="str"/>
      <x:c r="AP55" s="19" t="str"/>
      <x:c r="AQ55" s="19" t="str"/>
      <x:c r="AR55" s="19" t="str">
        <x:v>110</x:v>
      </x:c>
      <x:c r="AS55" s="19" t="str">
        <x:v>KKS kosong pada sumber PDF</x:v>
      </x:c>
      <x:c r="AT55" t="str">
        <x:f>IF(VALUE(LEFT(AR55,FIND(",",AR55&amp;",")-1))&lt;=36,"UNIT 1",IF(VALUE(LEFT(AR55,FIND(",",AR55&amp;",")-1))&lt;=70,"UNIT 2",IF(VALUE(LEFT(AR55,FIND(",",AR55&amp;",")-1))&lt;=110,"UNIT 3","COMMON")))</x:f>
        <x:v>UNIT 3</x:v>
      </x:c>
    </x:row>
    <x:row r="56">
      <x:c r="A56" s="19" t="str">
        <x:v>AST-055</x:v>
      </x:c>
      <x:c r="B56" s="19" t="str">
        <x:v>BC 4.1</x:v>
      </x:c>
      <x:c r="C56" s="19" t="str">
        <x:v>LJ00EBA11AF004-001</x:v>
      </x:c>
      <x:c r="D56" s="19" t="str">
        <x:v>ISO 10816-3 (GROUP 2 EXLIBLE)</x:v>
      </x:c>
      <x:c r="E56" s="19" t="str">
        <x:v>ISO 10816-3 (GROUP 2 FLEXIBLE)</x:v>
      </x:c>
      <x:c r="F56" s="19" t="str">
        <x:v>Belt Conveyor</x:v>
      </x:c>
      <x:c r="G56" s="19" t="str">
        <x:v>W38</x:v>
      </x:c>
      <x:c r="H56" s="30" t="n">
        <x:v>45554</x:v>
      </x:c>
      <x:c r="I56" s="19" t="str">
        <x:v>PREWARNING</x:v>
      </x:c>
      <x:c r="J56" s="19" t="str">
        <x:v>MOTOR</x:v>
      </x:c>
      <x:c r="K56" s="19" t="str">
        <x:v>POMPA</x:v>
      </x:c>
      <x:c r="L56" s="19" t="str">
        <x:v>Y2-200L-4</x:v>
      </x:c>
      <x:c r="M56" s="19" t="str">
        <x:v>1470 r/min</x:v>
      </x:c>
      <x:c r="N56" s="19" t="str">
        <x:v>30 Kw</x:v>
      </x:c>
      <x:c r="O56" s="19" t="str">
        <x:v>Roller Bearing</x:v>
      </x:c>
      <x:c r="P56" s="19" t="str">
        <x:v>-</x:v>
      </x:c>
      <x:c r="Q56" s="19" t="str">
        <x:v>-</x:v>
      </x:c>
      <x:c r="R56" s="19" t="str">
        <x:v>-</x:v>
      </x:c>
      <x:c r="S56" s="19" t="str">
        <x:v>Rigid</x:v>
      </x:c>
      <x:c r="T56" s="19" t="str"/>
      <x:c r="U56" s="19" t="str"/>
      <x:c r="V56" s="19" t="str"/>
      <x:c r="W56" s="19" t="str"/>
      <x:c r="X56" s="19" t="str"/>
      <x:c r="Y56" s="19" t="str"/>
      <x:c r="Z56" s="19" t="str"/>
      <x:c r="AA56" s="19" t="str"/>
      <x:c r="AB56" s="19" t="str"/>
      <x:c r="AC56" s="19" t="str">
        <x:v>290820</x:v>
      </x:c>
      <x:c r="AD56" s="19" t="str"/>
      <x:c r="AE56" s="19" t="str">
        <x:v>-</x:v>
      </x:c>
      <x:c r="AF56" s="19" t="str">
        <x:v>30 Kw</x:v>
      </x:c>
      <x:c r="AG56" s="19" t="str">
        <x:v>300 t/h</x:v>
      </x:c>
      <x:c r="AH56" s="19" t="str"/>
      <x:c r="AI56" s="19" t="str"/>
      <x:c r="AJ56" s="19" t="str">
        <x:v>Roller Bearing</x:v>
      </x:c>
      <x:c r="AK56" s="19" t="str">
        <x:v>-</x:v>
      </x:c>
      <x:c r="AL56" s="19" t="str">
        <x:v>-</x:v>
      </x:c>
      <x:c r="AM56" s="19" t="str"/>
      <x:c r="AN56" s="19" t="str"/>
      <x:c r="AO56" s="19" t="str"/>
      <x:c r="AP56" s="19" t="str"/>
      <x:c r="AQ56" s="19" t="str"/>
      <x:c r="AR56" s="19" t="str">
        <x:v>112</x:v>
      </x:c>
      <x:c r="AS56" s="19" t="str">
        <x:v>Class dinormalisasi pada kolom terpisah; nilai sumber dipertahankan</x:v>
      </x:c>
      <x:c r="AT56" t="str">
        <x:f>IF(VALUE(LEFT(AR56,FIND(",",AR56&amp;",")-1))&lt;=36,"UNIT 1",IF(VALUE(LEFT(AR56,FIND(",",AR56&amp;",")-1))&lt;=70,"UNIT 2",IF(VALUE(LEFT(AR56,FIND(",",AR56&amp;",")-1))&lt;=110,"UNIT 3","COMMON")))</x:f>
        <x:v>COMMON</x:v>
      </x:c>
    </x:row>
    <x:row r="57">
      <x:c r="A57" s="19" t="str">
        <x:v>AST-056</x:v>
      </x:c>
      <x:c r="B57" s="19" t="str">
        <x:v>BC 4.2</x:v>
      </x:c>
      <x:c r="C57" s="19" t="str">
        <x:v>LJ00EBA21AF004-001</x:v>
      </x:c>
      <x:c r="D57" s="19" t="str">
        <x:v>ISO 10816-3 (GROUP 2 EXLIBLE)</x:v>
      </x:c>
      <x:c r="E57" s="19" t="str">
        <x:v>ISO 10816-3 (GROUP 2 FLEXIBLE)</x:v>
      </x:c>
      <x:c r="F57" s="19" t="str">
        <x:v>Belt Conveyor</x:v>
      </x:c>
      <x:c r="G57" s="19" t="str">
        <x:v>W36</x:v>
      </x:c>
      <x:c r="H57" s="30" t="n">
        <x:v>45540</x:v>
      </x:c>
      <x:c r="I57" s="19" t="str">
        <x:v>PREWARNING</x:v>
      </x:c>
      <x:c r="J57" s="19" t="str">
        <x:v>MOTOR</x:v>
      </x:c>
      <x:c r="K57" s="19" t="str">
        <x:v>DRIVE</x:v>
      </x:c>
      <x:c r="L57" s="19" t="str">
        <x:v>Y2-200L-4</x:v>
      </x:c>
      <x:c r="M57" s="19" t="str">
        <x:v>1470 r/min</x:v>
      </x:c>
      <x:c r="N57" s="19" t="str">
        <x:v>30 Kw</x:v>
      </x:c>
      <x:c r="O57" s="19" t="str">
        <x:v>Roller Bearing</x:v>
      </x:c>
      <x:c r="P57" s="19" t="str">
        <x:v>-</x:v>
      </x:c>
      <x:c r="Q57" s="19" t="str">
        <x:v>-</x:v>
      </x:c>
      <x:c r="R57" s="19" t="str">
        <x:v>-</x:v>
      </x:c>
      <x:c r="S57" s="19" t="str">
        <x:v>Rigid</x:v>
      </x:c>
      <x:c r="T57" s="19" t="str"/>
      <x:c r="U57" s="19" t="str"/>
      <x:c r="V57" s="19" t="str"/>
      <x:c r="W57" s="19" t="str"/>
      <x:c r="X57" s="19" t="str"/>
      <x:c r="Y57" s="19" t="str"/>
      <x:c r="Z57" s="19" t="str"/>
      <x:c r="AA57" s="19" t="str"/>
      <x:c r="AB57" s="19" t="str"/>
      <x:c r="AC57" s="19" t="str">
        <x:v>290820</x:v>
      </x:c>
      <x:c r="AD57" s="19" t="str"/>
      <x:c r="AE57" s="19" t="str">
        <x:v>-</x:v>
      </x:c>
      <x:c r="AF57" s="19" t="str">
        <x:v>30 Kw</x:v>
      </x:c>
      <x:c r="AG57" s="19" t="str">
        <x:v>300 t/h</x:v>
      </x:c>
      <x:c r="AH57" s="19" t="str"/>
      <x:c r="AI57" s="19" t="str"/>
      <x:c r="AJ57" s="19" t="str">
        <x:v>Roller Bearing</x:v>
      </x:c>
      <x:c r="AK57" s="19" t="str">
        <x:v>-</x:v>
      </x:c>
      <x:c r="AL57" s="19" t="str">
        <x:v>-</x:v>
      </x:c>
      <x:c r="AM57" s="19" t="str"/>
      <x:c r="AN57" s="19" t="str"/>
      <x:c r="AO57" s="19" t="str"/>
      <x:c r="AP57" s="19" t="str"/>
      <x:c r="AQ57" s="19" t="str"/>
      <x:c r="AR57" s="19" t="str">
        <x:v>114</x:v>
      </x:c>
      <x:c r="AS57" s="19" t="str">
        <x:v>Class dinormalisasi pada kolom terpisah; nilai sumber dipertahankan</x:v>
      </x:c>
      <x:c r="AT57" t="str">
        <x:f>IF(VALUE(LEFT(AR57,FIND(",",AR57&amp;",")-1))&lt;=36,"UNIT 1",IF(VALUE(LEFT(AR57,FIND(",",AR57&amp;",")-1))&lt;=70,"UNIT 2",IF(VALUE(LEFT(AR57,FIND(",",AR57&amp;",")-1))&lt;=110,"UNIT 3","COMMON")))</x:f>
        <x:v>COMMON</x:v>
      </x:c>
    </x:row>
    <x:row r="58">
      <x:c r="A58" s="19" t="str">
        <x:v>AST-057</x:v>
      </x:c>
      <x:c r="B58" s="19" t="str">
        <x:v>BC 5.1</x:v>
      </x:c>
      <x:c r="C58" s="19" t="str">
        <x:v>LJ00EBA11AF005-001</x:v>
      </x:c>
      <x:c r="D58" s="19" t="str">
        <x:v>ISO 10816-3 (GROUP 2 EXLIBLE)</x:v>
      </x:c>
      <x:c r="E58" s="19" t="str">
        <x:v>ISO 10816-3 (GROUP 2 FLEXIBLE)</x:v>
      </x:c>
      <x:c r="F58" s="19" t="str">
        <x:v>Belt Conveyor</x:v>
      </x:c>
      <x:c r="G58" s="19" t="str">
        <x:v>W38</x:v>
      </x:c>
      <x:c r="H58" s="30" t="n">
        <x:v>45555</x:v>
      </x:c>
      <x:c r="I58" s="19" t="str">
        <x:v>PREWARNING</x:v>
      </x:c>
      <x:c r="J58" s="19" t="str">
        <x:v>MOTOR</x:v>
      </x:c>
      <x:c r="K58" s="19" t="str">
        <x:v>DRIVE</x:v>
      </x:c>
      <x:c r="L58" s="19" t="str">
        <x:v>Y2-2805-6</x:v>
      </x:c>
      <x:c r="M58" s="19" t="str">
        <x:v>980 r/min</x:v>
      </x:c>
      <x:c r="N58" s="19" t="str">
        <x:v>45 Kw</x:v>
      </x:c>
      <x:c r="O58" s="19" t="str">
        <x:v>Roller Bearing</x:v>
      </x:c>
      <x:c r="P58" s="19" t="str">
        <x:v>-</x:v>
      </x:c>
      <x:c r="Q58" s="19" t="str">
        <x:v>-</x:v>
      </x:c>
      <x:c r="R58" s="19" t="str">
        <x:v>-</x:v>
      </x:c>
      <x:c r="S58" s="19" t="str">
        <x:v>Rigid</x:v>
      </x:c>
      <x:c r="T58" s="19" t="str"/>
      <x:c r="U58" s="19" t="str"/>
      <x:c r="V58" s="19" t="str"/>
      <x:c r="W58" s="19" t="str"/>
      <x:c r="X58" s="19" t="str"/>
      <x:c r="Y58" s="19" t="str"/>
      <x:c r="Z58" s="19" t="str"/>
      <x:c r="AA58" s="19" t="str"/>
      <x:c r="AB58" s="19" t="str"/>
      <x:c r="AC58" s="19" t="str">
        <x:v>290822</x:v>
      </x:c>
      <x:c r="AD58" s="19" t="str"/>
      <x:c r="AE58" s="19" t="str">
        <x:v>-</x:v>
      </x:c>
      <x:c r="AF58" s="19" t="str">
        <x:v>45 Kw</x:v>
      </x:c>
      <x:c r="AG58" s="19" t="str">
        <x:v>300 t/h</x:v>
      </x:c>
      <x:c r="AH58" s="19" t="str"/>
      <x:c r="AI58" s="19" t="str"/>
      <x:c r="AJ58" s="19" t="str">
        <x:v>Roller Bearing</x:v>
      </x:c>
      <x:c r="AK58" s="19" t="str">
        <x:v>-</x:v>
      </x:c>
      <x:c r="AL58" s="19" t="str">
        <x:v>-</x:v>
      </x:c>
      <x:c r="AM58" s="19" t="str"/>
      <x:c r="AN58" s="19" t="str"/>
      <x:c r="AO58" s="19" t="str"/>
      <x:c r="AP58" s="19" t="str"/>
      <x:c r="AQ58" s="19" t="str"/>
      <x:c r="AR58" s="19" t="str">
        <x:v>116</x:v>
      </x:c>
      <x:c r="AS58" s="19" t="str">
        <x:v>Class dinormalisasi pada kolom terpisah; nilai sumber dipertahankan</x:v>
      </x:c>
      <x:c r="AT58" t="str">
        <x:f>IF(VALUE(LEFT(AR58,FIND(",",AR58&amp;",")-1))&lt;=36,"UNIT 1",IF(VALUE(LEFT(AR58,FIND(",",AR58&amp;",")-1))&lt;=70,"UNIT 2",IF(VALUE(LEFT(AR58,FIND(",",AR58&amp;",")-1))&lt;=110,"UNIT 3","COMMON")))</x:f>
        <x:v>COMMON</x:v>
      </x:c>
    </x:row>
    <x:row r="59">
      <x:c r="A59" s="19" t="str">
        <x:v>AST-058</x:v>
      </x:c>
      <x:c r="B59" s="19" t="str">
        <x:v>BC 5.2</x:v>
      </x:c>
      <x:c r="C59" s="19" t="str">
        <x:v>LJ00EBA21AF005-001</x:v>
      </x:c>
      <x:c r="D59" s="19" t="str">
        <x:v>ISO 10816-3 (GROUP 2 EXLIBLE)</x:v>
      </x:c>
      <x:c r="E59" s="19" t="str">
        <x:v>ISO 10816-3 (GROUP 2 FLEXIBLE)</x:v>
      </x:c>
      <x:c r="F59" s="19" t="str">
        <x:v>Belt Conveyor</x:v>
      </x:c>
      <x:c r="G59" s="19" t="str">
        <x:v>W36</x:v>
      </x:c>
      <x:c r="H59" s="30" t="n">
        <x:v>45541</x:v>
      </x:c>
      <x:c r="I59" s="19" t="str">
        <x:v>NORMAL</x:v>
      </x:c>
      <x:c r="J59" s="19" t="str">
        <x:v>MOTOR</x:v>
      </x:c>
      <x:c r="K59" s="19" t="str">
        <x:v>POMPA</x:v>
      </x:c>
      <x:c r="L59" s="19" t="str">
        <x:v>Y2-2805-6</x:v>
      </x:c>
      <x:c r="M59" s="19" t="str">
        <x:v>980 r/min</x:v>
      </x:c>
      <x:c r="N59" s="19" t="str">
        <x:v>45 Kw</x:v>
      </x:c>
      <x:c r="O59" s="19" t="str">
        <x:v>Roller Bearing</x:v>
      </x:c>
      <x:c r="P59" s="19" t="str">
        <x:v>-</x:v>
      </x:c>
      <x:c r="Q59" s="19" t="str">
        <x:v>-</x:v>
      </x:c>
      <x:c r="R59" s="19" t="str">
        <x:v>-</x:v>
      </x:c>
      <x:c r="S59" s="19" t="str">
        <x:v>Rigid</x:v>
      </x:c>
      <x:c r="T59" s="19" t="str"/>
      <x:c r="U59" s="19" t="str"/>
      <x:c r="V59" s="19" t="str"/>
      <x:c r="W59" s="19" t="str"/>
      <x:c r="X59" s="19" t="str"/>
      <x:c r="Y59" s="19" t="str"/>
      <x:c r="Z59" s="19" t="str"/>
      <x:c r="AA59" s="19" t="str"/>
      <x:c r="AB59" s="19" t="str"/>
      <x:c r="AC59" s="19" t="str">
        <x:v>290822</x:v>
      </x:c>
      <x:c r="AD59" s="19" t="str"/>
      <x:c r="AE59" s="19" t="str">
        <x:v>-</x:v>
      </x:c>
      <x:c r="AF59" s="19" t="str">
        <x:v>45 Kw</x:v>
      </x:c>
      <x:c r="AG59" s="19" t="str">
        <x:v>300 t/h</x:v>
      </x:c>
      <x:c r="AH59" s="19" t="str"/>
      <x:c r="AI59" s="19" t="str"/>
      <x:c r="AJ59" s="19" t="str">
        <x:v>Roller Bearing</x:v>
      </x:c>
      <x:c r="AK59" s="19" t="str">
        <x:v>-</x:v>
      </x:c>
      <x:c r="AL59" s="19" t="str">
        <x:v>-</x:v>
      </x:c>
      <x:c r="AM59" s="19" t="str"/>
      <x:c r="AN59" s="19" t="str"/>
      <x:c r="AO59" s="19" t="str"/>
      <x:c r="AP59" s="19" t="str"/>
      <x:c r="AQ59" s="19" t="str"/>
      <x:c r="AR59" s="19" t="str">
        <x:v>118</x:v>
      </x:c>
      <x:c r="AS59" s="19" t="str">
        <x:v>Class dinormalisasi pada kolom terpisah; nilai sumber dipertahankan</x:v>
      </x:c>
      <x:c r="AT59" t="str">
        <x:f>IF(VALUE(LEFT(AR59,FIND(",",AR59&amp;",")-1))&lt;=36,"UNIT 1",IF(VALUE(LEFT(AR59,FIND(",",AR59&amp;",")-1))&lt;=70,"UNIT 2",IF(VALUE(LEFT(AR59,FIND(",",AR59&amp;",")-1))&lt;=110,"UNIT 3","COMMON")))</x:f>
        <x:v>COMMON</x:v>
      </x:c>
    </x:row>
    <x:row r="60">
      <x:c r="A60" s="19" t="str">
        <x:v>AST-059</x:v>
      </x:c>
      <x:c r="B60" s="19" t="str">
        <x:v>BC 7.1</x:v>
      </x:c>
      <x:c r="C60" s="19" t="str">
        <x:v>LJ00EBA11AF006-001</x:v>
      </x:c>
      <x:c r="D60" s="19" t="str">
        <x:v>ISO 10816-3 (GROUP 2 FLEXIBLE)</x:v>
      </x:c>
      <x:c r="E60" s="19" t="str">
        <x:v>ISO 10816-3 (GROUP 2 FLEXIBLE)</x:v>
      </x:c>
      <x:c r="F60" s="19" t="str">
        <x:v>Belt Conveyor</x:v>
      </x:c>
      <x:c r="G60" s="19" t="str">
        <x:v>W38</x:v>
      </x:c>
      <x:c r="H60" s="30" t="n">
        <x:v>45555</x:v>
      </x:c>
      <x:c r="I60" s="19" t="str">
        <x:v>PREWARNING</x:v>
      </x:c>
      <x:c r="J60" s="19" t="str">
        <x:v>MOTOR</x:v>
      </x:c>
      <x:c r="K60" s="19" t="str">
        <x:v>POMPA</x:v>
      </x:c>
      <x:c r="L60" s="19" t="str">
        <x:v>Y2-315S-6</x:v>
      </x:c>
      <x:c r="M60" s="19" t="str">
        <x:v>990 r/min</x:v>
      </x:c>
      <x:c r="N60" s="19" t="str">
        <x:v>75 Kw</x:v>
      </x:c>
      <x:c r="O60" s="19" t="str">
        <x:v>Roller Bearing</x:v>
      </x:c>
      <x:c r="P60" s="19" t="str">
        <x:v>-</x:v>
      </x:c>
      <x:c r="Q60" s="19" t="str">
        <x:v>-</x:v>
      </x:c>
      <x:c r="R60" s="19" t="str">
        <x:v>-</x:v>
      </x:c>
      <x:c r="S60" s="19" t="str">
        <x:v>Rigid</x:v>
      </x:c>
      <x:c r="T60" s="19" t="str"/>
      <x:c r="U60" s="19" t="str"/>
      <x:c r="V60" s="19" t="str"/>
      <x:c r="W60" s="19" t="str"/>
      <x:c r="X60" s="19" t="str"/>
      <x:c r="Y60" s="19" t="str"/>
      <x:c r="Z60" s="19" t="str"/>
      <x:c r="AA60" s="19" t="str"/>
      <x:c r="AB60" s="19" t="str"/>
      <x:c r="AC60" s="19" t="str">
        <x:v>290821</x:v>
      </x:c>
      <x:c r="AD60" s="19" t="str"/>
      <x:c r="AE60" s="19" t="str">
        <x:v>-</x:v>
      </x:c>
      <x:c r="AF60" s="19" t="str">
        <x:v>30 Kw</x:v>
      </x:c>
      <x:c r="AG60" s="19" t="str">
        <x:v>300 t/h</x:v>
      </x:c>
      <x:c r="AH60" s="19" t="str"/>
      <x:c r="AI60" s="19" t="str"/>
      <x:c r="AJ60" s="19" t="str">
        <x:v>Roller Bearing</x:v>
      </x:c>
      <x:c r="AK60" s="19" t="str">
        <x:v>-</x:v>
      </x:c>
      <x:c r="AL60" s="19" t="str">
        <x:v>-</x:v>
      </x:c>
      <x:c r="AM60" s="19" t="str"/>
      <x:c r="AN60" s="19" t="str"/>
      <x:c r="AO60" s="19" t="str"/>
      <x:c r="AP60" s="19" t="str"/>
      <x:c r="AQ60" s="19" t="str"/>
      <x:c r="AR60" s="19" t="str">
        <x:v>120</x:v>
      </x:c>
      <x:c r="AS60" s="19" t="str"/>
      <x:c r="AT60" t="str">
        <x:f>IF(VALUE(LEFT(AR60,FIND(",",AR60&amp;",")-1))&lt;=36,"UNIT 1",IF(VALUE(LEFT(AR60,FIND(",",AR60&amp;",")-1))&lt;=70,"UNIT 2",IF(VALUE(LEFT(AR60,FIND(",",AR60&amp;",")-1))&lt;=110,"UNIT 3","COMMON")))</x:f>
        <x:v>COMMON</x:v>
      </x:c>
    </x:row>
    <x:row r="61">
      <x:c r="A61" s="19" t="str">
        <x:v>AST-060</x:v>
      </x:c>
      <x:c r="B61" s="19" t="str">
        <x:v>BC 7. 2</x:v>
      </x:c>
      <x:c r="C61" s="19" t="str">
        <x:v>LJ00EBA21AF006-001</x:v>
      </x:c>
      <x:c r="D61" s="19" t="str">
        <x:v>ISO 10816-3 (GROUP 2 EXLIBLE)</x:v>
      </x:c>
      <x:c r="E61" s="19" t="str">
        <x:v>ISO 10816-3 (GROUP 2 FLEXIBLE)</x:v>
      </x:c>
      <x:c r="F61" s="19" t="str">
        <x:v>Belt Conveyor</x:v>
      </x:c>
      <x:c r="G61" s="19" t="str">
        <x:v>W36</x:v>
      </x:c>
      <x:c r="H61" s="30" t="n">
        <x:v>45541</x:v>
      </x:c>
      <x:c r="I61" s="19" t="str">
        <x:v>PREWARNING</x:v>
      </x:c>
      <x:c r="J61" s="19" t="str">
        <x:v>MOTOR</x:v>
      </x:c>
      <x:c r="K61" s="19" t="str">
        <x:v>POMPA</x:v>
      </x:c>
      <x:c r="L61" s="19" t="str">
        <x:v>Y2-315S-6</x:v>
      </x:c>
      <x:c r="M61" s="19" t="str">
        <x:v>990 r/min</x:v>
      </x:c>
      <x:c r="N61" s="19" t="str">
        <x:v>75 Kw</x:v>
      </x:c>
      <x:c r="O61" s="19" t="str">
        <x:v>Roller Bearing</x:v>
      </x:c>
      <x:c r="P61" s="19" t="str">
        <x:v>-</x:v>
      </x:c>
      <x:c r="Q61" s="19" t="str">
        <x:v>-</x:v>
      </x:c>
      <x:c r="R61" s="19" t="str">
        <x:v>-</x:v>
      </x:c>
      <x:c r="S61" s="19" t="str">
        <x:v>Rigid</x:v>
      </x:c>
      <x:c r="T61" s="19" t="str"/>
      <x:c r="U61" s="19" t="str"/>
      <x:c r="V61" s="19" t="str"/>
      <x:c r="W61" s="19" t="str"/>
      <x:c r="X61" s="19" t="str"/>
      <x:c r="Y61" s="19" t="str"/>
      <x:c r="Z61" s="19" t="str"/>
      <x:c r="AA61" s="19" t="str"/>
      <x:c r="AB61" s="19" t="str"/>
      <x:c r="AC61" s="19" t="str">
        <x:v>290821</x:v>
      </x:c>
      <x:c r="AD61" s="19" t="str"/>
      <x:c r="AE61" s="19" t="str">
        <x:v>-</x:v>
      </x:c>
      <x:c r="AF61" s="19" t="str">
        <x:v>30 Kw</x:v>
      </x:c>
      <x:c r="AG61" s="19" t="str">
        <x:v>300 t/h</x:v>
      </x:c>
      <x:c r="AH61" s="19" t="str"/>
      <x:c r="AI61" s="19" t="str"/>
      <x:c r="AJ61" s="19" t="str">
        <x:v>Roller Bearing</x:v>
      </x:c>
      <x:c r="AK61" s="19" t="str">
        <x:v>-</x:v>
      </x:c>
      <x:c r="AL61" s="19" t="str">
        <x:v>-</x:v>
      </x:c>
      <x:c r="AM61" s="19" t="str"/>
      <x:c r="AN61" s="19" t="str"/>
      <x:c r="AO61" s="19" t="str"/>
      <x:c r="AP61" s="19" t="str"/>
      <x:c r="AQ61" s="19" t="str"/>
      <x:c r="AR61" s="19" t="str">
        <x:v>122</x:v>
      </x:c>
      <x:c r="AS61" s="19" t="str">
        <x:v>Class dinormalisasi pada kolom terpisah; nilai sumber dipertahankan</x:v>
      </x:c>
      <x:c r="AT61" t="str">
        <x:f>IF(VALUE(LEFT(AR61,FIND(",",AR61&amp;",")-1))&lt;=36,"UNIT 1",IF(VALUE(LEFT(AR61,FIND(",",AR61&amp;",")-1))&lt;=70,"UNIT 2",IF(VALUE(LEFT(AR61,FIND(",",AR61&amp;",")-1))&lt;=110,"UNIT 3","COMMON")))</x:f>
        <x:v>COMMON</x:v>
      </x:c>
    </x:row>
    <x:row r="62">
      <x:c r="A62" s="19" t="str">
        <x:v>AST-061</x:v>
      </x:c>
      <x:c r="B62" s="19" t="str">
        <x:v>BC 8.1</x:v>
      </x:c>
      <x:c r="C62" s="19" t="str">
        <x:v>LJ00EBA11AF007-001</x:v>
      </x:c>
      <x:c r="D62" s="19" t="str">
        <x:v>ISO 10816-3 (GROUP 2 FLEXIBLE)</x:v>
      </x:c>
      <x:c r="E62" s="19" t="str">
        <x:v>ISO 10816-3 (GROUP 2 FLEXIBLE)</x:v>
      </x:c>
      <x:c r="F62" s="19" t="str">
        <x:v>Belt Conveyor</x:v>
      </x:c>
      <x:c r="G62" s="19" t="str">
        <x:v>W38</x:v>
      </x:c>
      <x:c r="H62" s="30" t="n">
        <x:v>45555</x:v>
      </x:c>
      <x:c r="I62" s="19" t="str">
        <x:v>PREWARNING</x:v>
      </x:c>
      <x:c r="J62" s="19" t="str">
        <x:v>MOTOR</x:v>
      </x:c>
      <x:c r="K62" s="19" t="str">
        <x:v>POMPA</x:v>
      </x:c>
      <x:c r="L62" s="19" t="str"/>
      <x:c r="M62" s="19" t="str">
        <x:v>1460 r/min</x:v>
      </x:c>
      <x:c r="N62" s="19" t="str">
        <x:v>15 Kw</x:v>
      </x:c>
      <x:c r="O62" s="19" t="str">
        <x:v>Roller Bearing</x:v>
      </x:c>
      <x:c r="P62" s="19" t="str">
        <x:v>-</x:v>
      </x:c>
      <x:c r="Q62" s="19" t="str">
        <x:v>-</x:v>
      </x:c>
      <x:c r="R62" s="19" t="str">
        <x:v>-</x:v>
      </x:c>
      <x:c r="S62" s="19" t="str">
        <x:v>Rigid</x:v>
      </x:c>
      <x:c r="T62" s="19" t="str"/>
      <x:c r="U62" s="19" t="str"/>
      <x:c r="V62" s="19" t="str"/>
      <x:c r="W62" s="19" t="str"/>
      <x:c r="X62" s="19" t="str"/>
      <x:c r="Y62" s="19" t="str"/>
      <x:c r="Z62" s="19" t="str"/>
      <x:c r="AA62" s="19" t="str"/>
      <x:c r="AB62" s="19" t="str"/>
      <x:c r="AC62" s="19" t="str">
        <x:v>-</x:v>
      </x:c>
      <x:c r="AD62" s="19" t="str"/>
      <x:c r="AE62" s="19" t="str">
        <x:v>-</x:v>
      </x:c>
      <x:c r="AF62" s="19" t="str">
        <x:v>-</x:v>
      </x:c>
      <x:c r="AG62" s="19" t="str">
        <x:v>-</x:v>
      </x:c>
      <x:c r="AH62" s="19" t="str"/>
      <x:c r="AI62" s="19" t="str"/>
      <x:c r="AJ62" s="19" t="str">
        <x:v>-</x:v>
      </x:c>
      <x:c r="AK62" s="19" t="str">
        <x:v>-</x:v>
      </x:c>
      <x:c r="AL62" s="19" t="str">
        <x:v>-</x:v>
      </x:c>
      <x:c r="AM62" s="19" t="str"/>
      <x:c r="AN62" s="19" t="str"/>
      <x:c r="AO62" s="19" t="str"/>
      <x:c r="AP62" s="19" t="str"/>
      <x:c r="AQ62" s="19" t="str"/>
      <x:c r="AR62" s="19" t="str">
        <x:v>124</x:v>
      </x:c>
      <x:c r="AS62" s="19" t="str"/>
      <x:c r="AT62" t="str">
        <x:f>IF(VALUE(LEFT(AR62,FIND(",",AR62&amp;",")-1))&lt;=36,"UNIT 1",IF(VALUE(LEFT(AR62,FIND(",",AR62&amp;",")-1))&lt;=70,"UNIT 2",IF(VALUE(LEFT(AR62,FIND(",",AR62&amp;",")-1))&lt;=110,"UNIT 3","COMMON")))</x:f>
        <x:v>COMMON</x:v>
      </x:c>
    </x:row>
    <x:row r="63">
      <x:c r="A63" s="19" t="str">
        <x:v>AST-062</x:v>
      </x:c>
      <x:c r="B63" s="19" t="str">
        <x:v>BC 8.2</x:v>
      </x:c>
      <x:c r="C63" s="19" t="str">
        <x:v>LJ00EBA21AF007-001</x:v>
      </x:c>
      <x:c r="D63" s="19" t="str">
        <x:v>ISO 10816-3 (GROUP 2 FLEXIBLE)</x:v>
      </x:c>
      <x:c r="E63" s="19" t="str">
        <x:v>ISO 10816-3 (GROUP 2 FLEXIBLE)</x:v>
      </x:c>
      <x:c r="F63" s="19" t="str">
        <x:v>Belt Conveyor</x:v>
      </x:c>
      <x:c r="G63" s="19" t="str">
        <x:v>W36</x:v>
      </x:c>
      <x:c r="H63" s="30" t="n">
        <x:v>45541</x:v>
      </x:c>
      <x:c r="I63" s="19" t="str">
        <x:v>PREWARNING</x:v>
      </x:c>
      <x:c r="J63" s="19" t="str">
        <x:v>MOTOR</x:v>
      </x:c>
      <x:c r="K63" s="19" t="str">
        <x:v>POMPA</x:v>
      </x:c>
      <x:c r="L63" s="19" t="str"/>
      <x:c r="M63" s="19" t="str">
        <x:v>1460 r/min</x:v>
      </x:c>
      <x:c r="N63" s="19" t="str">
        <x:v>15 Kw</x:v>
      </x:c>
      <x:c r="O63" s="19" t="str">
        <x:v>Roller Bearing</x:v>
      </x:c>
      <x:c r="P63" s="19" t="str">
        <x:v>-</x:v>
      </x:c>
      <x:c r="Q63" s="19" t="str">
        <x:v>-</x:v>
      </x:c>
      <x:c r="R63" s="19" t="str">
        <x:v>-</x:v>
      </x:c>
      <x:c r="S63" s="19" t="str">
        <x:v>Rigid</x:v>
      </x:c>
      <x:c r="T63" s="19" t="str"/>
      <x:c r="U63" s="19" t="str"/>
      <x:c r="V63" s="19" t="str"/>
      <x:c r="W63" s="19" t="str"/>
      <x:c r="X63" s="19" t="str"/>
      <x:c r="Y63" s="19" t="str"/>
      <x:c r="Z63" s="19" t="str"/>
      <x:c r="AA63" s="19" t="str"/>
      <x:c r="AB63" s="19" t="str"/>
      <x:c r="AC63" s="19" t="str">
        <x:v>-</x:v>
      </x:c>
      <x:c r="AD63" s="19" t="str"/>
      <x:c r="AE63" s="19" t="str">
        <x:v>-</x:v>
      </x:c>
      <x:c r="AF63" s="19" t="str">
        <x:v>-</x:v>
      </x:c>
      <x:c r="AG63" s="19" t="str">
        <x:v>-</x:v>
      </x:c>
      <x:c r="AH63" s="19" t="str"/>
      <x:c r="AI63" s="19" t="str"/>
      <x:c r="AJ63" s="19" t="str">
        <x:v>-</x:v>
      </x:c>
      <x:c r="AK63" s="19" t="str">
        <x:v>-</x:v>
      </x:c>
      <x:c r="AL63" s="19" t="str">
        <x:v>-</x:v>
      </x:c>
      <x:c r="AM63" s="19" t="str"/>
      <x:c r="AN63" s="19" t="str"/>
      <x:c r="AO63" s="19" t="str"/>
      <x:c r="AP63" s="19" t="str"/>
      <x:c r="AQ63" s="19" t="str"/>
      <x:c r="AR63" s="19" t="str">
        <x:v>126</x:v>
      </x:c>
      <x:c r="AS63" s="19" t="str"/>
      <x:c r="AT63" t="str">
        <x:f>IF(VALUE(LEFT(AR63,FIND(",",AR63&amp;",")-1))&lt;=36,"UNIT 1",IF(VALUE(LEFT(AR63,FIND(",",AR63&amp;",")-1))&lt;=70,"UNIT 2",IF(VALUE(LEFT(AR63,FIND(",",AR63&amp;",")-1))&lt;=110,"UNIT 3","COMMON")))</x:f>
        <x:v>COMMON</x:v>
      </x:c>
    </x:row>
    <x:row r="64">
      <x:c r="A64" s="19" t="str">
        <x:v>AST-063</x:v>
      </x:c>
      <x:c r="B64" s="19" t="str">
        <x:v>BC 10.1</x:v>
      </x:c>
      <x:c r="C64" s="19" t="str">
        <x:v>LJ00EBA11AF008-001</x:v>
      </x:c>
      <x:c r="D64" s="19" t="str">
        <x:v>ISO 10816-3 (GROUP 2 FLECIBLE)</x:v>
      </x:c>
      <x:c r="E64" s="19" t="str">
        <x:v>ISO 10816-3 (GROUP 2 FLEXIBLE)</x:v>
      </x:c>
      <x:c r="F64" s="19" t="str">
        <x:v>Belt Conveyor</x:v>
      </x:c>
      <x:c r="G64" s="19" t="str">
        <x:v>W38</x:v>
      </x:c>
      <x:c r="H64" s="30" t="n">
        <x:v>45555</x:v>
      </x:c>
      <x:c r="I64" s="19" t="str">
        <x:v>PREWARNING</x:v>
      </x:c>
      <x:c r="J64" s="19" t="str">
        <x:v>MOTOR</x:v>
      </x:c>
      <x:c r="K64" s="19" t="str">
        <x:v>POMPA</x:v>
      </x:c>
      <x:c r="L64" s="19" t="str"/>
      <x:c r="M64" s="19" t="str">
        <x:v>1470 r/min</x:v>
      </x:c>
      <x:c r="N64" s="19" t="str">
        <x:v>18.5 Kw</x:v>
      </x:c>
      <x:c r="O64" s="19" t="str">
        <x:v>Roller Bearing</x:v>
      </x:c>
      <x:c r="P64" s="19" t="str">
        <x:v>-</x:v>
      </x:c>
      <x:c r="Q64" s="19" t="str">
        <x:v>-</x:v>
      </x:c>
      <x:c r="R64" s="19" t="str">
        <x:v>-</x:v>
      </x:c>
      <x:c r="S64" s="19" t="str">
        <x:v>Rigid</x:v>
      </x:c>
      <x:c r="T64" s="19" t="str"/>
      <x:c r="U64" s="19" t="str"/>
      <x:c r="V64" s="19" t="str"/>
      <x:c r="W64" s="19" t="str"/>
      <x:c r="X64" s="19" t="str"/>
      <x:c r="Y64" s="19" t="str"/>
      <x:c r="Z64" s="19" t="str"/>
      <x:c r="AA64" s="19" t="str"/>
      <x:c r="AB64" s="19" t="str"/>
      <x:c r="AC64" s="19" t="str">
        <x:v>-</x:v>
      </x:c>
      <x:c r="AD64" s="19" t="str"/>
      <x:c r="AE64" s="19" t="str">
        <x:v>-</x:v>
      </x:c>
      <x:c r="AF64" s="19" t="str">
        <x:v>-</x:v>
      </x:c>
      <x:c r="AG64" s="19" t="str">
        <x:v>-</x:v>
      </x:c>
      <x:c r="AH64" s="19" t="str"/>
      <x:c r="AI64" s="19" t="str"/>
      <x:c r="AJ64" s="19" t="str">
        <x:v>-</x:v>
      </x:c>
      <x:c r="AK64" s="19" t="str">
        <x:v>-</x:v>
      </x:c>
      <x:c r="AL64" s="19" t="str">
        <x:v>-</x:v>
      </x:c>
      <x:c r="AM64" s="19" t="str"/>
      <x:c r="AN64" s="19" t="str"/>
      <x:c r="AO64" s="19" t="str"/>
      <x:c r="AP64" s="19" t="str"/>
      <x:c r="AQ64" s="19" t="str"/>
      <x:c r="AR64" s="19" t="str">
        <x:v>128</x:v>
      </x:c>
      <x:c r="AS64" s="19" t="str">
        <x:v>Class dinormalisasi pada kolom terpisah; nilai sumber dipertahankan</x:v>
      </x:c>
      <x:c r="AT64" t="str">
        <x:f>IF(VALUE(LEFT(AR64,FIND(",",AR64&amp;",")-1))&lt;=36,"UNIT 1",IF(VALUE(LEFT(AR64,FIND(",",AR64&amp;",")-1))&lt;=70,"UNIT 2",IF(VALUE(LEFT(AR64,FIND(",",AR64&amp;",")-1))&lt;=110,"UNIT 3","COMMON")))</x:f>
        <x:v>COMMON</x:v>
      </x:c>
    </x:row>
    <x:row r="65">
      <x:c r="A65" s="19" t="str">
        <x:v>AST-064</x:v>
      </x:c>
      <x:c r="B65" s="19" t="str">
        <x:v>BC 10.2</x:v>
      </x:c>
      <x:c r="C65" s="19" t="str">
        <x:v>LJ00EBA21AF008-001</x:v>
      </x:c>
      <x:c r="D65" s="19" t="str">
        <x:v>ISO 10816-3 (GROUP 2 FLEXIBLE)</x:v>
      </x:c>
      <x:c r="E65" s="19" t="str">
        <x:v>ISO 10816-3 (GROUP 2 FLEXIBLE)</x:v>
      </x:c>
      <x:c r="F65" s="19" t="str">
        <x:v>Belt Conveyor</x:v>
      </x:c>
      <x:c r="G65" s="19" t="str">
        <x:v>W36</x:v>
      </x:c>
      <x:c r="H65" s="30" t="n">
        <x:v>45541</x:v>
      </x:c>
      <x:c r="I65" s="19" t="str">
        <x:v>NORMAL</x:v>
      </x:c>
      <x:c r="J65" s="19" t="str">
        <x:v>MOTOR</x:v>
      </x:c>
      <x:c r="K65" s="19" t="str">
        <x:v>POMPA</x:v>
      </x:c>
      <x:c r="L65" s="19" t="str"/>
      <x:c r="M65" s="19" t="str">
        <x:v>1470 r/min</x:v>
      </x:c>
      <x:c r="N65" s="19" t="str">
        <x:v>18.5 Kw</x:v>
      </x:c>
      <x:c r="O65" s="19" t="str">
        <x:v>Roller Bearing</x:v>
      </x:c>
      <x:c r="P65" s="19" t="str">
        <x:v>-</x:v>
      </x:c>
      <x:c r="Q65" s="19" t="str">
        <x:v>-</x:v>
      </x:c>
      <x:c r="R65" s="19" t="str">
        <x:v>-</x:v>
      </x:c>
      <x:c r="S65" s="19" t="str">
        <x:v>Rigid</x:v>
      </x:c>
      <x:c r="T65" s="19" t="str"/>
      <x:c r="U65" s="19" t="str"/>
      <x:c r="V65" s="19" t="str"/>
      <x:c r="W65" s="19" t="str"/>
      <x:c r="X65" s="19" t="str"/>
      <x:c r="Y65" s="19" t="str"/>
      <x:c r="Z65" s="19" t="str"/>
      <x:c r="AA65" s="19" t="str"/>
      <x:c r="AB65" s="19" t="str"/>
      <x:c r="AC65" s="19" t="str">
        <x:v>-</x:v>
      </x:c>
      <x:c r="AD65" s="19" t="str"/>
      <x:c r="AE65" s="19" t="str">
        <x:v>-</x:v>
      </x:c>
      <x:c r="AF65" s="19" t="str">
        <x:v>-</x:v>
      </x:c>
      <x:c r="AG65" s="19" t="str">
        <x:v>-</x:v>
      </x:c>
      <x:c r="AH65" s="19" t="str"/>
      <x:c r="AI65" s="19" t="str"/>
      <x:c r="AJ65" s="19" t="str">
        <x:v>-</x:v>
      </x:c>
      <x:c r="AK65" s="19" t="str">
        <x:v>-</x:v>
      </x:c>
      <x:c r="AL65" s="19" t="str">
        <x:v>-</x:v>
      </x:c>
      <x:c r="AM65" s="19" t="str"/>
      <x:c r="AN65" s="19" t="str"/>
      <x:c r="AO65" s="19" t="str"/>
      <x:c r="AP65" s="19" t="str"/>
      <x:c r="AQ65" s="19" t="str"/>
      <x:c r="AR65" s="19" t="str">
        <x:v>130</x:v>
      </x:c>
      <x:c r="AS65" s="19" t="str"/>
      <x:c r="AT65" t="str">
        <x:f>IF(VALUE(LEFT(AR65,FIND(",",AR65&amp;",")-1))&lt;=36,"UNIT 1",IF(VALUE(LEFT(AR65,FIND(",",AR65&amp;",")-1))&lt;=70,"UNIT 2",IF(VALUE(LEFT(AR65,FIND(",",AR65&amp;",")-1))&lt;=110,"UNIT 3","COMMON")))</x:f>
        <x:v>COMMON</x:v>
      </x:c>
    </x:row>
    <x:row r="66">
      <x:c r="A66" s="19" t="str">
        <x:v>AST-065</x:v>
      </x:c>
      <x:c r="B66" s="19" t="str">
        <x:v>ROLLER SCREEN 1</x:v>
      </x:c>
      <x:c r="C66" s="19" t="str">
        <x:v>LJ00EBA21AF008-001</x:v>
      </x:c>
      <x:c r="D66" s="19" t="str">
        <x:v>ISO 10816-3 (GROUP 2 FLECXBLE)</x:v>
      </x:c>
      <x:c r="E66" s="19" t="str">
        <x:v>ISO 10816-3 (GROUP 2 FLEXIBLE)</x:v>
      </x:c>
      <x:c r="F66" s="19" t="str">
        <x:v>Roller Screen</x:v>
      </x:c>
      <x:c r="G66" s="19" t="str">
        <x:v>W38</x:v>
      </x:c>
      <x:c r="H66" s="30" t="n">
        <x:v>45554</x:v>
      </x:c>
      <x:c r="I66" s="19" t="str">
        <x:v>PREWARNING</x:v>
      </x:c>
      <x:c r="J66" s="19" t="str">
        <x:v>MOTOR</x:v>
      </x:c>
      <x:c r="K66" s="19" t="str"/>
      <x:c r="L66" s="19" t="str">
        <x:v>Y160L-4</x:v>
      </x:c>
      <x:c r="M66" s="19" t="str">
        <x:v>1460 r/min</x:v>
      </x:c>
      <x:c r="N66" s="19" t="str">
        <x:v>15 Kw</x:v>
      </x:c>
      <x:c r="O66" s="19" t="str"/>
      <x:c r="P66" s="19" t="str">
        <x:v>-</x:v>
      </x:c>
      <x:c r="Q66" s="19" t="str">
        <x:v>-</x:v>
      </x:c>
      <x:c r="R66" s="19" t="str">
        <x:v>-</x:v>
      </x:c>
      <x:c r="S66" s="19" t="str">
        <x:v>Flexible</x:v>
      </x:c>
      <x:c r="T66" s="19" t="str"/>
      <x:c r="U66" s="19" t="str"/>
      <x:c r="V66" s="19" t="str"/>
      <x:c r="W66" s="19" t="str"/>
      <x:c r="X66" s="19" t="str"/>
      <x:c r="Y66" s="19" t="str"/>
      <x:c r="Z66" s="19" t="str"/>
      <x:c r="AA66" s="19" t="str"/>
      <x:c r="AB66" s="19" t="str"/>
      <x:c r="AC66" s="19" t="str">
        <x:v>-</x:v>
      </x:c>
      <x:c r="AD66" s="19" t="str"/>
      <x:c r="AE66" s="19" t="str">
        <x:v>-</x:v>
      </x:c>
      <x:c r="AF66" s="19" t="str">
        <x:v>-</x:v>
      </x:c>
      <x:c r="AG66" s="19" t="str">
        <x:v>-</x:v>
      </x:c>
      <x:c r="AH66" s="19" t="str"/>
      <x:c r="AI66" s="19" t="str"/>
      <x:c r="AJ66" s="19" t="str"/>
      <x:c r="AK66" s="19" t="str">
        <x:v>-</x:v>
      </x:c>
      <x:c r="AL66" s="19" t="str">
        <x:v>-</x:v>
      </x:c>
      <x:c r="AM66" s="19" t="str"/>
      <x:c r="AN66" s="19" t="str"/>
      <x:c r="AO66" s="19" t="str"/>
      <x:c r="AP66" s="19" t="str"/>
      <x:c r="AQ66" s="19" t="str"/>
      <x:c r="AR66" s="19" t="str">
        <x:v>132</x:v>
      </x:c>
      <x:c r="AS66" s="19" t="str">
        <x:v>Class dinormalisasi pada kolom terpisah; nilai sumber dipertahankan</x:v>
      </x:c>
      <x:c r="AT66" t="str">
        <x:f>IF(VALUE(LEFT(AR66,FIND(",",AR66&amp;",")-1))&lt;=36,"UNIT 1",IF(VALUE(LEFT(AR66,FIND(",",AR66&amp;",")-1))&lt;=70,"UNIT 2",IF(VALUE(LEFT(AR66,FIND(",",AR66&amp;",")-1))&lt;=110,"UNIT 3","COMMON")))</x:f>
        <x:v>COMMON</x:v>
      </x:c>
    </x:row>
    <x:row r="67">
      <x:c r="A67" s="19" t="str">
        <x:v>AST-066</x:v>
      </x:c>
      <x:c r="B67" s="19" t="str">
        <x:v>ROLLER SCREEN 2</x:v>
      </x:c>
      <x:c r="C67" s="19" t="str">
        <x:v>LJ00EBC20AT002-001</x:v>
      </x:c>
      <x:c r="D67" s="19" t="str">
        <x:v>ISO 10816-3 (GROUP 2 FLECIBLE)</x:v>
      </x:c>
      <x:c r="E67" s="19" t="str">
        <x:v>ISO 10816-3 (GROUP 2 FLEXIBLE)</x:v>
      </x:c>
      <x:c r="F67" s="19" t="str">
        <x:v>Roller Screen</x:v>
      </x:c>
      <x:c r="G67" s="19" t="str">
        <x:v>W36</x:v>
      </x:c>
      <x:c r="H67" s="30" t="n">
        <x:v>45540</x:v>
      </x:c>
      <x:c r="I67" s="19" t="str">
        <x:v>PREWARNING</x:v>
      </x:c>
      <x:c r="J67" s="19" t="str">
        <x:v>MOTOR</x:v>
      </x:c>
      <x:c r="K67" s="19" t="str"/>
      <x:c r="L67" s="19" t="str">
        <x:v>Y160L-4</x:v>
      </x:c>
      <x:c r="M67" s="19" t="str">
        <x:v>1460 r/min</x:v>
      </x:c>
      <x:c r="N67" s="19" t="str">
        <x:v>15 Kw</x:v>
      </x:c>
      <x:c r="O67" s="19" t="str"/>
      <x:c r="P67" s="19" t="str">
        <x:v>-</x:v>
      </x:c>
      <x:c r="Q67" s="19" t="str">
        <x:v>-</x:v>
      </x:c>
      <x:c r="R67" s="19" t="str">
        <x:v>-</x:v>
      </x:c>
      <x:c r="S67" s="19" t="str">
        <x:v>Flexible</x:v>
      </x:c>
      <x:c r="T67" s="19" t="str"/>
      <x:c r="U67" s="19" t="str"/>
      <x:c r="V67" s="19" t="str"/>
      <x:c r="W67" s="19" t="str"/>
      <x:c r="X67" s="19" t="str"/>
      <x:c r="Y67" s="19" t="str"/>
      <x:c r="Z67" s="19" t="str"/>
      <x:c r="AA67" s="19" t="str"/>
      <x:c r="AB67" s="19" t="str"/>
      <x:c r="AC67" s="19" t="str">
        <x:v>-</x:v>
      </x:c>
      <x:c r="AD67" s="19" t="str"/>
      <x:c r="AE67" s="19" t="str">
        <x:v>-</x:v>
      </x:c>
      <x:c r="AF67" s="19" t="str">
        <x:v>-</x:v>
      </x:c>
      <x:c r="AG67" s="19" t="str">
        <x:v>-</x:v>
      </x:c>
      <x:c r="AH67" s="19" t="str"/>
      <x:c r="AI67" s="19" t="str"/>
      <x:c r="AJ67" s="19" t="str"/>
      <x:c r="AK67" s="19" t="str">
        <x:v>-</x:v>
      </x:c>
      <x:c r="AL67" s="19" t="str">
        <x:v>-</x:v>
      </x:c>
      <x:c r="AM67" s="19" t="str"/>
      <x:c r="AN67" s="19" t="str"/>
      <x:c r="AO67" s="19" t="str"/>
      <x:c r="AP67" s="19" t="str"/>
      <x:c r="AQ67" s="19" t="str"/>
      <x:c r="AR67" s="19" t="str">
        <x:v>134</x:v>
      </x:c>
      <x:c r="AS67" s="19" t="str">
        <x:v>Class dinormalisasi pada kolom terpisah; nilai sumber dipertahankan</x:v>
      </x:c>
      <x:c r="AT67" t="str">
        <x:f>IF(VALUE(LEFT(AR67,FIND(",",AR67&amp;",")-1))&lt;=36,"UNIT 1",IF(VALUE(LEFT(AR67,FIND(",",AR67&amp;",")-1))&lt;=70,"UNIT 2",IF(VALUE(LEFT(AR67,FIND(",",AR67&amp;",")-1))&lt;=110,"UNIT 3","COMMON")))</x:f>
        <x:v>COMMON</x:v>
      </x:c>
    </x:row>
    <x:row r="68">
      <x:c r="A68" s="19" t="str">
        <x:v>AST-067</x:v>
      </x:c>
      <x:c r="B68" s="19" t="str">
        <x:v>Motor Crusser 185kW 1</x:v>
      </x:c>
      <x:c r="C68" s="19" t="str">
        <x:v>LJ00EBC10AT001-001</x:v>
      </x:c>
      <x:c r="D68" s="19" t="str">
        <x:v>ISO 10816-3 (GROUP 2 FLEXIBLE)</x:v>
      </x:c>
      <x:c r="E68" s="19" t="str">
        <x:v>ISO 10816-3 (GROUP 2 FLEXIBLE)</x:v>
      </x:c>
      <x:c r="F68" s="19" t="str">
        <x:v>Crusher</x:v>
      </x:c>
      <x:c r="G68" s="19" t="str">
        <x:v>W38</x:v>
      </x:c>
      <x:c r="H68" s="30" t="n">
        <x:v>45554</x:v>
      </x:c>
      <x:c r="I68" s="19" t="str">
        <x:v>WARNING</x:v>
      </x:c>
      <x:c r="J68" s="19" t="str">
        <x:v>MOTOR</x:v>
      </x:c>
      <x:c r="K68" s="19" t="str">
        <x:v>CRUSHER</x:v>
      </x:c>
      <x:c r="L68" s="19" t="str">
        <x:v>Y2-355L2-8</x:v>
      </x:c>
      <x:c r="M68" s="19" t="str">
        <x:v>740 r/min</x:v>
      </x:c>
      <x:c r="N68" s="19" t="str">
        <x:v>185Kw</x:v>
      </x:c>
      <x:c r="O68" s="19" t="str">
        <x:v>Roller Bearing</x:v>
      </x:c>
      <x:c r="P68" s="19" t="str"/>
      <x:c r="Q68" s="19" t="str"/>
      <x:c r="R68" s="19" t="str">
        <x:v>-</x:v>
      </x:c>
      <x:c r="S68" s="19" t="str">
        <x:v>Rigid</x:v>
      </x:c>
      <x:c r="T68" s="19" t="str"/>
      <x:c r="U68" s="19" t="str"/>
      <x:c r="V68" s="19" t="str"/>
      <x:c r="W68" s="19" t="str"/>
      <x:c r="X68" s="19" t="str"/>
      <x:c r="Y68" s="19" t="str"/>
      <x:c r="Z68" s="19" t="str"/>
      <x:c r="AA68" s="19" t="str"/>
      <x:c r="AB68" s="19" t="str"/>
      <x:c r="AC68" s="19" t="str">
        <x:v>-</x:v>
      </x:c>
      <x:c r="AD68" s="19" t="str"/>
      <x:c r="AE68" s="19" t="str">
        <x:v>-</x:v>
      </x:c>
      <x:c r="AF68" s="19" t="str">
        <x:v>-</x:v>
      </x:c>
      <x:c r="AG68" s="19" t="str">
        <x:v>-</x:v>
      </x:c>
      <x:c r="AH68" s="19" t="str"/>
      <x:c r="AI68" s="19" t="str"/>
      <x:c r="AJ68" s="19" t="str">
        <x:v>-</x:v>
      </x:c>
      <x:c r="AK68" s="19" t="str">
        <x:v>-</x:v>
      </x:c>
      <x:c r="AL68" s="19" t="str">
        <x:v>-</x:v>
      </x:c>
      <x:c r="AM68" s="19" t="str"/>
      <x:c r="AN68" s="19" t="str"/>
      <x:c r="AO68" s="19" t="str"/>
      <x:c r="AP68" s="19" t="str"/>
      <x:c r="AQ68" s="19" t="str"/>
      <x:c r="AR68" s="19" t="str">
        <x:v>136</x:v>
      </x:c>
      <x:c r="AS68" s="19" t="str"/>
      <x:c r="AT68" t="str">
        <x:f>IF(VALUE(LEFT(AR68,FIND(",",AR68&amp;",")-1))&lt;=36,"UNIT 1",IF(VALUE(LEFT(AR68,FIND(",",AR68&amp;",")-1))&lt;=70,"UNIT 2",IF(VALUE(LEFT(AR68,FIND(",",AR68&amp;",")-1))&lt;=110,"UNIT 3","COMMON")))</x:f>
        <x:v>COMMON</x:v>
      </x:c>
    </x:row>
    <x:row r="69">
      <x:c r="A69" s="19" t="str">
        <x:v>AST-068</x:v>
      </x:c>
      <x:c r="B69" s="19" t="str">
        <x:v>Motor Crusser 185kW 2</x:v>
      </x:c>
      <x:c r="C69" s="19" t="str">
        <x:v>LJ00EBC10AT002-001</x:v>
      </x:c>
      <x:c r="D69" s="19" t="str">
        <x:v>ISO 10816-3 (GROUP 2 FLEXIBLE)</x:v>
      </x:c>
      <x:c r="E69" s="19" t="str">
        <x:v>ISO 10816-3 (GROUP 2 FLEXIBLE)</x:v>
      </x:c>
      <x:c r="F69" s="19" t="str">
        <x:v>Crusher</x:v>
      </x:c>
      <x:c r="G69" s="19" t="str">
        <x:v>W36</x:v>
      </x:c>
      <x:c r="H69" s="30" t="n">
        <x:v>45540</x:v>
      </x:c>
      <x:c r="I69" s="19" t="str">
        <x:v>NORMAL</x:v>
      </x:c>
      <x:c r="J69" s="19" t="str">
        <x:v>MOTOR</x:v>
      </x:c>
      <x:c r="K69" s="19" t="str">
        <x:v>CRUSHER</x:v>
      </x:c>
      <x:c r="L69" s="19" t="str">
        <x:v>Y2-355L2-8</x:v>
      </x:c>
      <x:c r="M69" s="19" t="str">
        <x:v>740 r/min</x:v>
      </x:c>
      <x:c r="N69" s="19" t="str">
        <x:v>185Kw</x:v>
      </x:c>
      <x:c r="O69" s="19" t="str">
        <x:v>Roller Bearing</x:v>
      </x:c>
      <x:c r="P69" s="19" t="str"/>
      <x:c r="Q69" s="19" t="str"/>
      <x:c r="R69" s="19" t="str">
        <x:v>-</x:v>
      </x:c>
      <x:c r="S69" s="19" t="str">
        <x:v>Rigid</x:v>
      </x:c>
      <x:c r="T69" s="19" t="str"/>
      <x:c r="U69" s="19" t="str"/>
      <x:c r="V69" s="19" t="str"/>
      <x:c r="W69" s="19" t="str"/>
      <x:c r="X69" s="19" t="str"/>
      <x:c r="Y69" s="19" t="str"/>
      <x:c r="Z69" s="19" t="str"/>
      <x:c r="AA69" s="19" t="str"/>
      <x:c r="AB69" s="19" t="str"/>
      <x:c r="AC69" s="19" t="str">
        <x:v>-</x:v>
      </x:c>
      <x:c r="AD69" s="19" t="str"/>
      <x:c r="AE69" s="19" t="str">
        <x:v>-</x:v>
      </x:c>
      <x:c r="AF69" s="19" t="str">
        <x:v>-</x:v>
      </x:c>
      <x:c r="AG69" s="19" t="str">
        <x:v>-</x:v>
      </x:c>
      <x:c r="AH69" s="19" t="str"/>
      <x:c r="AI69" s="19" t="str"/>
      <x:c r="AJ69" s="19" t="str">
        <x:v>-</x:v>
      </x:c>
      <x:c r="AK69" s="19" t="str">
        <x:v>-</x:v>
      </x:c>
      <x:c r="AL69" s="19" t="str">
        <x:v>-</x:v>
      </x:c>
      <x:c r="AM69" s="19" t="str"/>
      <x:c r="AN69" s="19" t="str"/>
      <x:c r="AO69" s="19" t="str"/>
      <x:c r="AP69" s="19" t="str"/>
      <x:c r="AQ69" s="19" t="str"/>
      <x:c r="AR69" s="19" t="str">
        <x:v>138</x:v>
      </x:c>
      <x:c r="AS69" s="19" t="str"/>
      <x:c r="AT69" t="str">
        <x:f>IF(VALUE(LEFT(AR69,FIND(",",AR69&amp;",")-1))&lt;=36,"UNIT 1",IF(VALUE(LEFT(AR69,FIND(",",AR69&amp;",")-1))&lt;=70,"UNIT 2",IF(VALUE(LEFT(AR69,FIND(",",AR69&amp;",")-1))&lt;=110,"UNIT 3","COMMON")))</x:f>
        <x:v>COMMON</x:v>
      </x:c>
    </x:row>
  </x:sheetData>
  <x:conditionalFormatting sqref="I2:I69">
    <x:cfRule type="expression" dxfId="0" priority="1">
      <x:formula>I2="NORMAL"</x:formula>
    </x:cfRule>
    <x:cfRule type="expression" dxfId="1" priority="2">
      <x:formula>I2="PREWARNING"</x:formula>
    </x:cfRule>
    <x:cfRule type="expression" dxfId="2" priority="3">
      <x:formula>I2="WARNING"</x:formula>
    </x:cfRule>
    <x:cfRule type="expression" dxfId="3" priority="4">
      <x:formula>I2="ALARM"</x:formula>
    </x:cfRule>
  </x:conditionalFormatting>
  <x:conditionalFormatting sqref="AT2:AT69">
    <x:cfRule type="expression" dxfId="8" priority="5">
      <x:formula>AT2="UNIT 1"</x:formula>
    </x:cfRule>
    <x:cfRule type="expression" dxfId="9" priority="6">
      <x:formula>AT2="UNIT 2"</x:formula>
    </x:cfRule>
    <x:cfRule type="expression" dxfId="10" priority="7">
      <x:formula>AT2="UNIT 3"</x:formula>
    </x:cfRule>
    <x:cfRule type="expression" dxfId="11" priority="8">
      <x:formula>AT2="COMMON"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657da082edb421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30" hidden="0" customWidth="1"/>
    <x:col min="4" max="4" width="24" hidden="0" customWidth="1"/>
    <x:col min="5" max="5" width="30" hidden="0" customWidth="1"/>
    <x:col min="6" max="6" width="30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34" hidden="0" customWidth="1"/>
    <x:col min="45" max="45" width="34" hidden="0" customWidth="1"/>
    <x:col min="46" max="46" width="34" hidden="0" customWidth="1"/>
    <x:col min="47" max="47" width="34" hidden="0" customWidth="1"/>
    <x:col min="48" max="48" width="18" hidden="0" customWidth="1"/>
  </x:cols>
  <x:sheetData>
    <x:row r="1">
      <x:c r="A1" s="25" t="str">
        <x:v>Record ID</x:v>
      </x:c>
      <x:c r="B1" s="25" t="str">
        <x:v>Asset ID</x:v>
      </x:c>
      <x:c r="C1" s="25" t="str">
        <x:v>Equipment</x:v>
      </x:c>
      <x:c r="D1" s="25" t="str">
        <x:v>KKS</x:v>
      </x:c>
      <x:c r="E1" s="25" t="str">
        <x:v>Equipment Class (Source)</x:v>
      </x:c>
      <x:c r="F1" s="25" t="str">
        <x:v>Equipment Class (Normalized)</x:v>
      </x:c>
      <x:c r="G1" s="25" t="str">
        <x:v>PM Week</x:v>
      </x:c>
      <x:c r="H1" s="25" t="str">
        <x:v>Measurement Date</x:v>
      </x:c>
      <x:c r="I1" s="25" t="str">
        <x:v>Status Vibrasi</x:v>
      </x:c>
      <x:c r="J1" s="25" t="str">
        <x:v>Component 1</x:v>
      </x:c>
      <x:c r="K1" s="25" t="str">
        <x:v>Component 2</x:v>
      </x:c>
      <x:c r="L1" s="25" t="str">
        <x:v>C1 Type/Mfg</x:v>
      </x:c>
      <x:c r="M1" s="25" t="str">
        <x:v>C1 Speed</x:v>
      </x:c>
      <x:c r="N1" s="25" t="str">
        <x:v>C1 Power</x:v>
      </x:c>
      <x:c r="O1" s="25" t="str">
        <x:v>C1 Bearing Type</x:v>
      </x:c>
      <x:c r="P1" s="25" t="str">
        <x:v>C1 Inboard Bearing</x:v>
      </x:c>
      <x:c r="Q1" s="25" t="str">
        <x:v>C1 Outboard Bearing</x:v>
      </x:c>
      <x:c r="R1" s="25" t="str">
        <x:v>C1 Rotor Bar</x:v>
      </x:c>
      <x:c r="S1" s="25" t="str">
        <x:v>C1 Foundation</x:v>
      </x:c>
      <x:c r="T1" s="25" t="str">
        <x:v>C1 House Power</x:v>
      </x:c>
      <x:c r="U1" s="25" t="str">
        <x:v>C1 Brake Horse Power</x:v>
      </x:c>
      <x:c r="V1" s="25" t="str">
        <x:v>C1 Current</x:v>
      </x:c>
      <x:c r="W1" s="25" t="str">
        <x:v>C1 Rated Capacity</x:v>
      </x:c>
      <x:c r="X1" s="25" t="str">
        <x:v>C1 Rated Active Power</x:v>
      </x:c>
      <x:c r="Y1" s="25" t="str">
        <x:v>C1 Rated Stator Voltage</x:v>
      </x:c>
      <x:c r="Z1" s="25" t="str">
        <x:v>C1 Rated Stator Current</x:v>
      </x:c>
      <x:c r="AA1" s="25" t="str">
        <x:v>C1 Rated Speed</x:v>
      </x:c>
      <x:c r="AB1" s="25" t="str">
        <x:v>C1 Rated Frequency</x:v>
      </x:c>
      <x:c r="AC1" s="25" t="str">
        <x:v>C2 Type/Mfg</x:v>
      </x:c>
      <x:c r="AD1" s="25" t="str">
        <x:v>C2 Manufacturer</x:v>
      </x:c>
      <x:c r="AE1" s="25" t="str">
        <x:v>C2 Speed</x:v>
      </x:c>
      <x:c r="AF1" s="25" t="str">
        <x:v>C2 Power</x:v>
      </x:c>
      <x:c r="AG1" s="25" t="str">
        <x:v>C2 Capacity</x:v>
      </x:c>
      <x:c r="AH1" s="25" t="str">
        <x:v>C2 Pressure</x:v>
      </x:c>
      <x:c r="AI1" s="25" t="str">
        <x:v>C2 Flow Rate</x:v>
      </x:c>
      <x:c r="AJ1" s="25" t="str">
        <x:v>C2 Bearing Type</x:v>
      </x:c>
      <x:c r="AK1" s="25" t="str">
        <x:v>C2 Inboard Bearing</x:v>
      </x:c>
      <x:c r="AL1" s="25" t="str">
        <x:v>C2 Onboard Bearing</x:v>
      </x:c>
      <x:c r="AM1" s="25" t="str">
        <x:v>C2 Total Blade</x:v>
      </x:c>
      <x:c r="AN1" s="25" t="str">
        <x:v>C2 NCR</x:v>
      </x:c>
      <x:c r="AO1" s="25" t="str">
        <x:v>C2 Ekstraction</x:v>
      </x:c>
      <x:c r="AP1" s="25" t="str">
        <x:v>C2 Stages</x:v>
      </x:c>
      <x:c r="AQ1" s="25" t="str">
        <x:v>C2 Governoor Type</x:v>
      </x:c>
      <x:c r="AR1" s="25" t="str">
        <x:v>Asset Category (Derived)</x:v>
      </x:c>
      <x:c r="AS1" s="25" t="str">
        <x:v>Source Page</x:v>
      </x:c>
      <x:c r="AT1" s="25" t="str">
        <x:v>Data Quality Note</x:v>
      </x:c>
      <x:c r="AU1" s="25" t="str">
        <x:v>Raw Specs (Audit)</x:v>
      </x:c>
      <x:c r="AV1" s="37" t="str">
        <x:v>Unit Group (Derived)</x:v>
      </x:c>
    </x:row>
    <x:row r="2">
      <x:c r="A2" s="19" t="str">
        <x:v>REC-001</x:v>
      </x:c>
      <x:c r="B2" s="19" t="str">
        <x:v>AST-001</x:v>
      </x:c>
      <x:c r="C2" s="19" t="str">
        <x:v>Motor ID Fan 1#1</x:v>
      </x:c>
      <x:c r="D2" s="19" t="str">
        <x:v>LJ10HNC10AN001-001</x:v>
      </x:c>
      <x:c r="E2" s="19" t="str">
        <x:v>ISO 10816-3 (GROUP 1 RIGID)</x:v>
      </x:c>
      <x:c r="F2" s="19" t="str">
        <x:v>ISO 10816-3 (GROUP 1 RIGID)</x:v>
      </x:c>
      <x:c r="G2" s="19" t="str">
        <x:v>W37</x:v>
      </x:c>
      <x:c r="H2" s="30" t="n">
        <x:v>45544</x:v>
      </x:c>
      <x:c r="I2" s="19" t="str">
        <x:v>NORMAL</x:v>
      </x:c>
      <x:c r="J2" s="19" t="str">
        <x:v>MOTOR</x:v>
      </x:c>
      <x:c r="K2" s="19" t="str">
        <x:v>FAN</x:v>
      </x:c>
      <x:c r="L2" s="19" t="str">
        <x:v>YKK4003-4</x:v>
      </x:c>
      <x:c r="M2" s="19" t="str">
        <x:v>985</x:v>
      </x:c>
      <x:c r="N2" s="19" t="str">
        <x:v>355 Kw</x:v>
      </x:c>
      <x:c r="O2" s="19" t="str"/>
      <x:c r="P2" s="19" t="str">
        <x:v>NU324</x:v>
      </x:c>
      <x:c r="Q2" s="19" t="str">
        <x:v>6324</x:v>
      </x:c>
      <x:c r="R2" s="19" t="str">
        <x:v>-</x:v>
      </x:c>
      <x:c r="S2" s="19" t="str">
        <x:v>Rigid</x:v>
      </x:c>
      <x:c r="T2" s="19" t="str"/>
      <x:c r="U2" s="19" t="str"/>
      <x:c r="V2" s="19" t="str"/>
      <x:c r="W2" s="19" t="str"/>
      <x:c r="X2" s="19" t="str"/>
      <x:c r="Y2" s="19" t="str"/>
      <x:c r="Z2" s="19" t="str"/>
      <x:c r="AA2" s="19" t="str"/>
      <x:c r="AB2" s="19" t="str"/>
      <x:c r="AC2" s="19" t="str"/>
      <x:c r="AD2" s="19" t="str"/>
      <x:c r="AE2" s="19" t="str"/>
      <x:c r="AF2" s="19" t="str"/>
      <x:c r="AG2" s="19" t="str"/>
      <x:c r="AH2" s="19" t="str"/>
      <x:c r="AI2" s="19" t="str"/>
      <x:c r="AJ2" s="19" t="str"/>
      <x:c r="AK2" s="19" t="str">
        <x:v>-</x:v>
      </x:c>
      <x:c r="AL2" s="19" t="str">
        <x:v>-</x:v>
      </x:c>
      <x:c r="AM2" s="19" t="str"/>
      <x:c r="AN2" s="19" t="str"/>
      <x:c r="AO2" s="19" t="str"/>
      <x:c r="AP2" s="19" t="str"/>
      <x:c r="AQ2" s="19" t="str"/>
      <x:c r="AR2" s="19" t="str">
        <x:v>Fan</x:v>
      </x:c>
      <x:c r="AS2" s="19" t="n">
        <x:v>1</x:v>
      </x:c>
      <x:c r="AT2" s="19" t="str"/>
      <x:c r="AU2" s="19" t="str">
        <x:v>Type, Mfg : YKK4003-4 Type, Mfg. : | Speed : 985 Speed : | Power : 355 Kw Capacity : | Bearing Type : Bearing Type : | Inboard Bearing : NU324 Inboard Bearing : - | Outboard Bearing : 6324 Onboard Bearing : - | Rotor Bar : - Total Blade - | Foundation : Rigid</x:v>
      </x:c>
      <x:c r="AV2" t="str">
        <x:f>IF(AS2&lt;=36,"UNIT 1",IF(AS2&lt;=70,"UNIT 2",IF(AS2&lt;=110,"UNIT 3","COMMON")))</x:f>
        <x:v>UNIT 1</x:v>
      </x:c>
    </x:row>
    <x:row r="3">
      <x:c r="A3" s="19" t="str">
        <x:v>REC-002</x:v>
      </x:c>
      <x:c r="B3" s="19" t="str">
        <x:v>AST-002</x:v>
      </x:c>
      <x:c r="C3" s="19" t="str">
        <x:v>Motor ID Fan 2#1</x:v>
      </x:c>
      <x:c r="D3" s="19" t="str">
        <x:v>LJ10HNC10AN002-001</x:v>
      </x:c>
      <x:c r="E3" s="19" t="str">
        <x:v>ISO 10816-3 (GROUP 1 RIGID)</x:v>
      </x:c>
      <x:c r="F3" s="19" t="str">
        <x:v>ISO 10816-3 (GROUP 1 RIGID)</x:v>
      </x:c>
      <x:c r="G3" s="19" t="str">
        <x:v>W39</x:v>
      </x:c>
      <x:c r="H3" s="30" t="n">
        <x:v>45558</x:v>
      </x:c>
      <x:c r="I3" s="19" t="str">
        <x:v>PREWARNING</x:v>
      </x:c>
      <x:c r="J3" s="19" t="str">
        <x:v>MOTOR</x:v>
      </x:c>
      <x:c r="K3" s="19" t="str">
        <x:v>FAN</x:v>
      </x:c>
      <x:c r="L3" s="19" t="str">
        <x:v>YKK4003-4</x:v>
      </x:c>
      <x:c r="M3" s="19" t="str">
        <x:v>985</x:v>
      </x:c>
      <x:c r="N3" s="19" t="str">
        <x:v>355 Kw</x:v>
      </x:c>
      <x:c r="O3" s="19" t="str"/>
      <x:c r="P3" s="19" t="str">
        <x:v>NU324</x:v>
      </x:c>
      <x:c r="Q3" s="19" t="str">
        <x:v>6324</x:v>
      </x:c>
      <x:c r="R3" s="19" t="str">
        <x:v>-</x:v>
      </x:c>
      <x:c r="S3" s="19" t="str">
        <x:v>Rigid</x:v>
      </x:c>
      <x:c r="T3" s="19" t="str"/>
      <x:c r="U3" s="19" t="str"/>
      <x:c r="V3" s="19" t="str"/>
      <x:c r="W3" s="19" t="str"/>
      <x:c r="X3" s="19" t="str"/>
      <x:c r="Y3" s="19" t="str"/>
      <x:c r="Z3" s="19" t="str"/>
      <x:c r="AA3" s="19" t="str"/>
      <x:c r="AB3" s="19" t="str"/>
      <x:c r="AC3" s="19" t="str"/>
      <x:c r="AD3" s="19" t="str"/>
      <x:c r="AE3" s="19" t="str"/>
      <x:c r="AF3" s="19" t="str"/>
      <x:c r="AG3" s="19" t="str"/>
      <x:c r="AH3" s="19" t="str"/>
      <x:c r="AI3" s="19" t="str"/>
      <x:c r="AJ3" s="19" t="str"/>
      <x:c r="AK3" s="19" t="str">
        <x:v>-</x:v>
      </x:c>
      <x:c r="AL3" s="19" t="str">
        <x:v>-</x:v>
      </x:c>
      <x:c r="AM3" s="19" t="str"/>
      <x:c r="AN3" s="19" t="str"/>
      <x:c r="AO3" s="19" t="str"/>
      <x:c r="AP3" s="19" t="str"/>
      <x:c r="AQ3" s="19" t="str"/>
      <x:c r="AR3" s="19" t="str">
        <x:v>Fan</x:v>
      </x:c>
      <x:c r="AS3" s="19" t="n">
        <x:v>3</x:v>
      </x:c>
      <x:c r="AT3" s="19" t="str"/>
      <x:c r="AU3" s="19" t="str">
        <x:v>Type, Mfg : YKK4003-4 Type, Mfg. : | Speed : 985 Speed : | Power : 355 Kw Capacity : | Bearing Type : Bearing Type : | Inboard Bearing : NU324 Inboard Bearing : - | Outboard Bearing : 6324 Onboard Bearing : - | Rotor Bar : - Total Blade - | Foundation : Rigid</x:v>
      </x:c>
      <x:c r="AV3" t="str">
        <x:f>IF(AS3&lt;=36,"UNIT 1",IF(AS3&lt;=70,"UNIT 2",IF(AS3&lt;=110,"UNIT 3","COMMON")))</x:f>
        <x:v>UNIT 1</x:v>
      </x:c>
    </x:row>
    <x:row r="4">
      <x:c r="A4" s="19" t="str">
        <x:v>REC-003</x:v>
      </x:c>
      <x:c r="B4" s="19" t="str">
        <x:v>AST-003</x:v>
      </x:c>
      <x:c r="C4" s="19" t="str">
        <x:v>Motor Primary Air Fan 1#1</x:v>
      </x:c>
      <x:c r="D4" s="19" t="str">
        <x:v>LJ10HLB10AN001-001</x:v>
      </x:c>
      <x:c r="E4" s="19" t="str">
        <x:v>ISO 10816-3 (GROUP 1 RIGID)</x:v>
      </x:c>
      <x:c r="F4" s="19" t="str">
        <x:v>ISO 10816-3 (GROUP 1 RIGID)</x:v>
      </x:c>
      <x:c r="G4" s="19" t="str">
        <x:v>W37</x:v>
      </x:c>
      <x:c r="H4" s="30" t="n">
        <x:v>45544</x:v>
      </x:c>
      <x:c r="I4" s="19" t="str">
        <x:v>NORMAL</x:v>
      </x:c>
      <x:c r="J4" s="19" t="str">
        <x:v>MOTOR</x:v>
      </x:c>
      <x:c r="K4" s="19" t="str">
        <x:v>FAN</x:v>
      </x:c>
      <x:c r="L4" s="19" t="str">
        <x:v>YKK 4001-4</x:v>
      </x:c>
      <x:c r="M4" s="19" t="str">
        <x:v>1480 r/min</x:v>
      </x:c>
      <x:c r="N4" s="19" t="str">
        <x:v>280 kW</x:v>
      </x:c>
      <x:c r="O4" s="19" t="str">
        <x:v>Roller Bearing</x:v>
      </x:c>
      <x:c r="P4" s="19" t="str">
        <x:v>NU324</x:v>
      </x:c>
      <x:c r="Q4" s="19" t="str">
        <x:v>6224</x:v>
      </x:c>
      <x:c r="R4" s="19" t="str">
        <x:v>-</x:v>
      </x:c>
      <x:c r="S4" s="19" t="str">
        <x:v>Rigid</x:v>
      </x:c>
      <x:c r="T4" s="19" t="str"/>
      <x:c r="U4" s="19" t="str"/>
      <x:c r="V4" s="19" t="str"/>
      <x:c r="W4" s="19" t="str"/>
      <x:c r="X4" s="19" t="str"/>
      <x:c r="Y4" s="19" t="str"/>
      <x:c r="Z4" s="19" t="str"/>
      <x:c r="AA4" s="19" t="str"/>
      <x:c r="AB4" s="19" t="str"/>
      <x:c r="AC4" s="19" t="str">
        <x:v>QALG-217D</x:v>
      </x:c>
      <x:c r="AD4" s="19" t="str"/>
      <x:c r="AE4" s="19" t="str">
        <x:v>1450 r/min</x:v>
      </x:c>
      <x:c r="AF4" s="19" t="str"/>
      <x:c r="AG4" s="19" t="str"/>
      <x:c r="AH4" s="19" t="str">
        <x:v>13500 Pa</x:v>
      </x:c>
      <x:c r="AI4" s="19" t="str">
        <x:v>50000 m2/h</x:v>
      </x:c>
      <x:c r="AJ4" s="19" t="str">
        <x:v>-</x:v>
      </x:c>
      <x:c r="AK4" s="19" t="str">
        <x:v>-</x:v>
      </x:c>
      <x:c r="AL4" s="19" t="str">
        <x:v>-</x:v>
      </x:c>
      <x:c r="AM4" s="19" t="str">
        <x:v>-</x:v>
      </x:c>
      <x:c r="AN4" s="19" t="str"/>
      <x:c r="AO4" s="19" t="str"/>
      <x:c r="AP4" s="19" t="str"/>
      <x:c r="AQ4" s="19" t="str"/>
      <x:c r="AR4" s="19" t="str">
        <x:v>Fan</x:v>
      </x:c>
      <x:c r="AS4" s="19" t="n">
        <x:v>5</x:v>
      </x:c>
      <x:c r="AT4" s="19" t="str"/>
      <x:c r="AU4" s="19" t="str">
        <x:v>Type, Mfg : YKK 4001-4 Type, Mfg. : QALG-217D | Speed : 1480 r/min Speed : 1450 r/min | Power : 280 kW Pressure : 13500 Pa | Bearing Type : Roller Bearing Flow Rate : 50000 m2/h | Inboard Bearing : NU324 Bearing Type : - | Outboard Bearing : 6224 Inboard Bearing : - | Rotor Bar : - Onboard Bearing : - | Foundation : Rigid Total Blade : -</x:v>
      </x:c>
      <x:c r="AV4" t="str">
        <x:f>IF(AS4&lt;=36,"UNIT 1",IF(AS4&lt;=70,"UNIT 2",IF(AS4&lt;=110,"UNIT 3","COMMON")))</x:f>
        <x:v>UNIT 1</x:v>
      </x:c>
    </x:row>
    <x:row r="5">
      <x:c r="A5" s="19" t="str">
        <x:v>REC-004</x:v>
      </x:c>
      <x:c r="B5" s="19" t="str">
        <x:v>AST-004</x:v>
      </x:c>
      <x:c r="C5" s="19" t="str">
        <x:v>Motor Primary Air Fan 2#1</x:v>
      </x:c>
      <x:c r="D5" s="19" t="str">
        <x:v>LJ10HLB10AN002-001</x:v>
      </x:c>
      <x:c r="E5" s="19" t="str">
        <x:v>ISO 10816-3 (GROUP 1 RIGID)</x:v>
      </x:c>
      <x:c r="F5" s="19" t="str">
        <x:v>ISO 10816-3 (GROUP 1 RIGID)</x:v>
      </x:c>
      <x:c r="G5" s="19" t="str">
        <x:v>W39</x:v>
      </x:c>
      <x:c r="H5" s="30" t="n">
        <x:v>45558</x:v>
      </x:c>
      <x:c r="I5" s="19" t="str">
        <x:v>NORMAL</x:v>
      </x:c>
      <x:c r="J5" s="19" t="str">
        <x:v>MOTOR</x:v>
      </x:c>
      <x:c r="K5" s="19" t="str">
        <x:v>FAN</x:v>
      </x:c>
      <x:c r="L5" s="19" t="str">
        <x:v>YKK 4001-4</x:v>
      </x:c>
      <x:c r="M5" s="19" t="str">
        <x:v>1480 r/min</x:v>
      </x:c>
      <x:c r="N5" s="19" t="str">
        <x:v>280 kW</x:v>
      </x:c>
      <x:c r="O5" s="19" t="str">
        <x:v>Roller Bearing</x:v>
      </x:c>
      <x:c r="P5" s="19" t="str">
        <x:v>NU324</x:v>
      </x:c>
      <x:c r="Q5" s="19" t="str">
        <x:v>6224</x:v>
      </x:c>
      <x:c r="R5" s="19" t="str">
        <x:v>-</x:v>
      </x:c>
      <x:c r="S5" s="19" t="str">
        <x:v>Rigid</x:v>
      </x:c>
      <x:c r="T5" s="19" t="str"/>
      <x:c r="U5" s="19" t="str"/>
      <x:c r="V5" s="19" t="str"/>
      <x:c r="W5" s="19" t="str"/>
      <x:c r="X5" s="19" t="str"/>
      <x:c r="Y5" s="19" t="str"/>
      <x:c r="Z5" s="19" t="str"/>
      <x:c r="AA5" s="19" t="str"/>
      <x:c r="AB5" s="19" t="str"/>
      <x:c r="AC5" s="19" t="str">
        <x:v>QALG-217D</x:v>
      </x:c>
      <x:c r="AD5" s="19" t="str"/>
      <x:c r="AE5" s="19" t="str">
        <x:v>1450 r/min</x:v>
      </x:c>
      <x:c r="AF5" s="19" t="str"/>
      <x:c r="AG5" s="19" t="str"/>
      <x:c r="AH5" s="19" t="str">
        <x:v>13500 Pa</x:v>
      </x:c>
      <x:c r="AI5" s="19" t="str">
        <x:v>50000 m2/h</x:v>
      </x:c>
      <x:c r="AJ5" s="19" t="str">
        <x:v>-</x:v>
      </x:c>
      <x:c r="AK5" s="19" t="str">
        <x:v>-</x:v>
      </x:c>
      <x:c r="AL5" s="19" t="str">
        <x:v>-</x:v>
      </x:c>
      <x:c r="AM5" s="19" t="str">
        <x:v>-</x:v>
      </x:c>
      <x:c r="AN5" s="19" t="str"/>
      <x:c r="AO5" s="19" t="str"/>
      <x:c r="AP5" s="19" t="str"/>
      <x:c r="AQ5" s="19" t="str"/>
      <x:c r="AR5" s="19" t="str">
        <x:v>Fan</x:v>
      </x:c>
      <x:c r="AS5" s="19" t="n">
        <x:v>7</x:v>
      </x:c>
      <x:c r="AT5" s="19" t="str"/>
      <x:c r="AU5" s="19" t="str">
        <x:v>Type, Mfg : YKK 4001-4 Type, Mfg. : QALG-217D | Speed : 1480 r/min Speed : 1450 r/min | Power : 280 kW Pressure : 13500 Pa | Bearing Type : Roller Bearing Flow Rate : 50000 m2/h | Inboard Bearing : NU324 Bearing Type : - | Outboard Bearing : 6224 Inboard Bearing : - | Rotor Bar : - Onboard Bearing : - | Foundation : Rigid Total Blade : -</x:v>
      </x:c>
      <x:c r="AV5" t="str">
        <x:f>IF(AS5&lt;=36,"UNIT 1",IF(AS5&lt;=70,"UNIT 2",IF(AS5&lt;=110,"UNIT 3","COMMON")))</x:f>
        <x:v>UNIT 1</x:v>
      </x:c>
    </x:row>
    <x:row r="6">
      <x:c r="A6" s="19" t="str">
        <x:v>REC-005</x:v>
      </x:c>
      <x:c r="B6" s="19" t="str">
        <x:v>AST-005</x:v>
      </x:c>
      <x:c r="C6" s="19" t="str">
        <x:v>Motor Secondary Air Fan 1#1</x:v>
      </x:c>
      <x:c r="D6" s="19" t="str">
        <x:v>LJ10HLB10AN003-001</x:v>
      </x:c>
      <x:c r="E6" s="19" t="str">
        <x:v>ISO 10816-3 (GROUP 1 RIGID)</x:v>
      </x:c>
      <x:c r="F6" s="19" t="str">
        <x:v>ISO 10816-3 (GROUP 1 RIGID)</x:v>
      </x:c>
      <x:c r="G6" s="19" t="str">
        <x:v>W37</x:v>
      </x:c>
      <x:c r="H6" s="30" t="n">
        <x:v>45544</x:v>
      </x:c>
      <x:c r="I6" s="19" t="str">
        <x:v>NORMAL</x:v>
      </x:c>
      <x:c r="J6" s="19" t="str">
        <x:v>MOTOR</x:v>
      </x:c>
      <x:c r="K6" s="19" t="str">
        <x:v>FAN</x:v>
      </x:c>
      <x:c r="L6" s="19" t="str">
        <x:v>YKK 4001-4</x:v>
      </x:c>
      <x:c r="M6" s="19" t="str">
        <x:v>1480 r/min</x:v>
      </x:c>
      <x:c r="N6" s="19" t="str">
        <x:v>280 kW</x:v>
      </x:c>
      <x:c r="O6" s="19" t="str">
        <x:v>Roller Bearing</x:v>
      </x:c>
      <x:c r="P6" s="19" t="str">
        <x:v>NU324</x:v>
      </x:c>
      <x:c r="Q6" s="19" t="str">
        <x:v>6224</x:v>
      </x:c>
      <x:c r="R6" s="19" t="str">
        <x:v>-</x:v>
      </x:c>
      <x:c r="S6" s="19" t="str">
        <x:v>Rigid</x:v>
      </x:c>
      <x:c r="T6" s="19" t="str"/>
      <x:c r="U6" s="19" t="str"/>
      <x:c r="V6" s="19" t="str"/>
      <x:c r="W6" s="19" t="str"/>
      <x:c r="X6" s="19" t="str"/>
      <x:c r="Y6" s="19" t="str"/>
      <x:c r="Z6" s="19" t="str"/>
      <x:c r="AA6" s="19" t="str"/>
      <x:c r="AB6" s="19" t="str"/>
      <x:c r="AC6" s="19" t="str">
        <x:v>QALG-217D</x:v>
      </x:c>
      <x:c r="AD6" s="19" t="str"/>
      <x:c r="AE6" s="19" t="str">
        <x:v>1450 r/min</x:v>
      </x:c>
      <x:c r="AF6" s="19" t="str"/>
      <x:c r="AG6" s="19" t="str"/>
      <x:c r="AH6" s="19" t="str">
        <x:v>13500 Pa</x:v>
      </x:c>
      <x:c r="AI6" s="19" t="str">
        <x:v>50000 m2/h</x:v>
      </x:c>
      <x:c r="AJ6" s="19" t="str">
        <x:v>-</x:v>
      </x:c>
      <x:c r="AK6" s="19" t="str">
        <x:v>-</x:v>
      </x:c>
      <x:c r="AL6" s="19" t="str">
        <x:v>-</x:v>
      </x:c>
      <x:c r="AM6" s="19" t="str">
        <x:v>-</x:v>
      </x:c>
      <x:c r="AN6" s="19" t="str"/>
      <x:c r="AO6" s="19" t="str"/>
      <x:c r="AP6" s="19" t="str"/>
      <x:c r="AQ6" s="19" t="str"/>
      <x:c r="AR6" s="19" t="str">
        <x:v>Fan</x:v>
      </x:c>
      <x:c r="AS6" s="19" t="n">
        <x:v>9</x:v>
      </x:c>
      <x:c r="AT6" s="19" t="str"/>
      <x:c r="AU6" s="19" t="str">
        <x:v>Type, Mfg : YKK 4001-4 Type, Mfg. : QALG-217D | Speed : 1480 r/min Speed : 1450 r/min | Power : 280 kW Pressure : 13500 Pa | Bearing Type : Roller Bearing Flow Rate : 50000 m2/h | Inboard Bearing : NU324 Bearing Type : - | Outboard Bearing : 6224 Inboard Bearing : - | Rotor Bar : - Onboard Bearing : - | Foundation : Rigid Total Blade : -</x:v>
      </x:c>
      <x:c r="AV6" t="str">
        <x:f>IF(AS6&lt;=36,"UNIT 1",IF(AS6&lt;=70,"UNIT 2",IF(AS6&lt;=110,"UNIT 3","COMMON")))</x:f>
        <x:v>UNIT 1</x:v>
      </x:c>
    </x:row>
    <x:row r="7">
      <x:c r="A7" s="19" t="str">
        <x:v>REC-006</x:v>
      </x:c>
      <x:c r="B7" s="19" t="str">
        <x:v>AST-006</x:v>
      </x:c>
      <x:c r="C7" s="19" t="str">
        <x:v>Motor Secondary Air Fan 2#1</x:v>
      </x:c>
      <x:c r="D7" s="19" t="str">
        <x:v>LJ10HLB10AN004-001</x:v>
      </x:c>
      <x:c r="E7" s="19" t="str">
        <x:v>ISO 10816-3 (GROUP 1 RIGID)</x:v>
      </x:c>
      <x:c r="F7" s="19" t="str">
        <x:v>ISO 10816-3 (GROUP 1 RIGID)</x:v>
      </x:c>
      <x:c r="G7" s="19" t="str">
        <x:v>W39</x:v>
      </x:c>
      <x:c r="H7" s="30" t="n">
        <x:v>45558</x:v>
      </x:c>
      <x:c r="I7" s="19" t="str">
        <x:v>PREWARNING</x:v>
      </x:c>
      <x:c r="J7" s="19" t="str">
        <x:v>MOTOR</x:v>
      </x:c>
      <x:c r="K7" s="19" t="str">
        <x:v>FAN</x:v>
      </x:c>
      <x:c r="L7" s="19" t="str">
        <x:v>YKK 4001-4</x:v>
      </x:c>
      <x:c r="M7" s="19" t="str">
        <x:v>1480 r/min</x:v>
      </x:c>
      <x:c r="N7" s="19" t="str">
        <x:v>280 kW</x:v>
      </x:c>
      <x:c r="O7" s="19" t="str">
        <x:v>Roller Bearing</x:v>
      </x:c>
      <x:c r="P7" s="19" t="str">
        <x:v>NU324</x:v>
      </x:c>
      <x:c r="Q7" s="19" t="str">
        <x:v>6224</x:v>
      </x:c>
      <x:c r="R7" s="19" t="str">
        <x:v>-</x:v>
      </x:c>
      <x:c r="S7" s="19" t="str">
        <x:v>Rigid</x:v>
      </x:c>
      <x:c r="T7" s="19" t="str"/>
      <x:c r="U7" s="19" t="str"/>
      <x:c r="V7" s="19" t="str"/>
      <x:c r="W7" s="19" t="str"/>
      <x:c r="X7" s="19" t="str"/>
      <x:c r="Y7" s="19" t="str"/>
      <x:c r="Z7" s="19" t="str"/>
      <x:c r="AA7" s="19" t="str"/>
      <x:c r="AB7" s="19" t="str"/>
      <x:c r="AC7" s="19" t="str">
        <x:v>QALG-217D</x:v>
      </x:c>
      <x:c r="AD7" s="19" t="str"/>
      <x:c r="AE7" s="19" t="str">
        <x:v>1450 r/min</x:v>
      </x:c>
      <x:c r="AF7" s="19" t="str"/>
      <x:c r="AG7" s="19" t="str"/>
      <x:c r="AH7" s="19" t="str">
        <x:v>13500 Pa</x:v>
      </x:c>
      <x:c r="AI7" s="19" t="str">
        <x:v>50000 m2/h</x:v>
      </x:c>
      <x:c r="AJ7" s="19" t="str">
        <x:v>-</x:v>
      </x:c>
      <x:c r="AK7" s="19" t="str">
        <x:v>-</x:v>
      </x:c>
      <x:c r="AL7" s="19" t="str">
        <x:v>-</x:v>
      </x:c>
      <x:c r="AM7" s="19" t="str">
        <x:v>-</x:v>
      </x:c>
      <x:c r="AN7" s="19" t="str"/>
      <x:c r="AO7" s="19" t="str"/>
      <x:c r="AP7" s="19" t="str"/>
      <x:c r="AQ7" s="19" t="str"/>
      <x:c r="AR7" s="19" t="str">
        <x:v>Fan</x:v>
      </x:c>
      <x:c r="AS7" s="19" t="n">
        <x:v>11</x:v>
      </x:c>
      <x:c r="AT7" s="19" t="str"/>
      <x:c r="AU7" s="19" t="str">
        <x:v>Type, Mfg : YKK 4001-4 Type, Mfg. : QALG-217D | Speed : 1480 r/min Speed : 1450 r/min | Power : 280 kW Pressure : 13500 Pa | Bearing Type : Roller Bearing Flow Rate : 50000 m2/h | Inboard Bearing : NU324 Bearing Type : - | Outboard Bearing : 6224 Inboard Bearing : - | Rotor Bar : - Onboard Bearing : - | Foundation : Rigid Total Blade : -</x:v>
      </x:c>
      <x:c r="AV7" t="str">
        <x:f>IF(AS7&lt;=36,"UNIT 1",IF(AS7&lt;=70,"UNIT 2",IF(AS7&lt;=110,"UNIT 3","COMMON")))</x:f>
        <x:v>UNIT 1</x:v>
      </x:c>
    </x:row>
    <x:row r="8">
      <x:c r="A8" s="19" t="str">
        <x:v>REC-007</x:v>
      </x:c>
      <x:c r="B8" s="19" t="str">
        <x:v>AST-007</x:v>
      </x:c>
      <x:c r="C8" s="19" t="str">
        <x:v>Turbin-Generator#1</x:v>
      </x:c>
      <x:c r="D8" s="19" t="str">
        <x:v>LJ10MAA10HB010-001</x:v>
      </x:c>
      <x:c r="E8" s="19" t="str">
        <x:v>ISO 10816-2</x:v>
      </x:c>
      <x:c r="F8" s="19" t="str">
        <x:v>ISO 10816-2</x:v>
      </x:c>
      <x:c r="G8" s="19" t="str">
        <x:v>W37</x:v>
      </x:c>
      <x:c r="H8" s="30" t="n">
        <x:v>45544</x:v>
      </x:c>
      <x:c r="I8" s="19" t="str">
        <x:v>NORMAL</x:v>
      </x:c>
      <x:c r="J8" s="19" t="str">
        <x:v>GENERATOR</x:v>
      </x:c>
      <x:c r="K8" s="19" t="str">
        <x:v>TURBINE</x:v>
      </x:c>
      <x:c r="L8" s="19" t="str">
        <x:v>China Changjiang Energy Corp.</x:v>
      </x:c>
      <x:c r="M8" s="19" t="str"/>
      <x:c r="N8" s="19" t="str"/>
      <x:c r="O8" s="19" t="str"/>
      <x:c r="P8" s="19" t="str"/>
      <x:c r="Q8" s="19" t="str"/>
      <x:c r="R8" s="19" t="str"/>
      <x:c r="S8" s="19" t="str"/>
      <x:c r="T8" s="19" t="str"/>
      <x:c r="U8" s="19" t="str"/>
      <x:c r="V8" s="19" t="str"/>
      <x:c r="W8" s="19" t="str">
        <x:v>37.5 MVA</x:v>
      </x:c>
      <x:c r="X8" s="19" t="str">
        <x:v>30 MW</x:v>
      </x:c>
      <x:c r="Y8" s="19" t="str">
        <x:v>6.3 kV Phase 3 Wire</x:v>
      </x:c>
      <x:c r="Z8" s="19" t="str"/>
      <x:c r="AA8" s="19" t="str">
        <x:v>3000 r/min</x:v>
      </x:c>
      <x:c r="AB8" s="19" t="str">
        <x:v>50 Hz</x:v>
      </x:c>
      <x:c r="AC8" s="19" t="str"/>
      <x:c r="AD8" s="19" t="str">
        <x:v>China Changjiang Energy Corp.</x:v>
      </x:c>
      <x:c r="AE8" s="19" t="str">
        <x:v>3000 r/min</x:v>
      </x:c>
      <x:c r="AF8" s="19" t="str"/>
      <x:c r="AG8" s="19" t="str"/>
      <x:c r="AH8" s="19" t="str"/>
      <x:c r="AI8" s="19" t="str"/>
      <x:c r="AJ8" s="19" t="str"/>
      <x:c r="AK8" s="19" t="str"/>
      <x:c r="AL8" s="19" t="str"/>
      <x:c r="AM8" s="19" t="str"/>
      <x:c r="AN8" s="19" t="str">
        <x:v>30 MW</x:v>
      </x:c>
      <x:c r="AO8" s="19" t="str">
        <x:v>6</x:v>
      </x:c>
      <x:c r="AP8" s="19" t="str">
        <x:v>19</x:v>
      </x:c>
      <x:c r="AQ8" s="19" t="str">
        <x:v>Digital Electric Hidroulic (Woodard 505)</x:v>
      </x:c>
      <x:c r="AR8" s="19" t="str">
        <x:v>Turbine-Generator</x:v>
      </x:c>
      <x:c r="AS8" s="19" t="n">
        <x:v>13</x:v>
      </x:c>
      <x:c r="AT8" s="19" t="str"/>
      <x:c r="AU8" s="19" t="str">
        <x:v>Type, Mfg : China Changjiang Energy Corp. Manufacturer : China Changjiang Energy Corp. | Rated Capacity : 37.5 MVA Speed : 3000 r/min | Rated Active Power : 30 MW Ekstraction : 6 | Rated Stator Voltage : 6.3 kV Phase 3 Wire NCR : 30 MW | Rated Stator Current : Stages : 19 | Rated Speed : 3000 r/min | Governoor Type : Digital Electric Hidroulic (Woodard 505) | Rated Frequency : 50 Hz | :</x:v>
      </x:c>
      <x:c r="AV8" t="str">
        <x:f>IF(AS8&lt;=36,"UNIT 1",IF(AS8&lt;=70,"UNIT 2",IF(AS8&lt;=110,"UNIT 3","COMMON")))</x:f>
        <x:v>UNIT 1</x:v>
      </x:c>
    </x:row>
    <x:row r="9">
      <x:c r="A9" s="19" t="str">
        <x:v>REC-008</x:v>
      </x:c>
      <x:c r="B9" s="19" t="str">
        <x:v>AST-008</x:v>
      </x:c>
      <x:c r="C9" s="19" t="str">
        <x:v>Motor Condensat Pump 2#1</x:v>
      </x:c>
      <x:c r="D9" s="19" t="str">
        <x:v>LJ10LCB10AP020-001</x:v>
      </x:c>
      <x:c r="E9" s="19" t="str">
        <x:v>ISO 10816-3 (GROUP 2 RIGID)</x:v>
      </x:c>
      <x:c r="F9" s="19" t="str">
        <x:v>ISO 10816-3 (GROUP 2 RIGID)</x:v>
      </x:c>
      <x:c r="G9" s="19" t="str">
        <x:v>W36</x:v>
      </x:c>
      <x:c r="H9" s="30" t="n">
        <x:v>45537</x:v>
      </x:c>
      <x:c r="I9" s="19" t="str">
        <x:v>PREWARNING</x:v>
      </x:c>
      <x:c r="J9" s="19" t="str">
        <x:v>MOTOR</x:v>
      </x:c>
      <x:c r="K9" s="19" t="str">
        <x:v>POMPA</x:v>
      </x:c>
      <x:c r="L9" s="19" t="str">
        <x:v>YLB 250-2-4</x:v>
      </x:c>
      <x:c r="M9" s="19" t="str">
        <x:v>1430 rpm</x:v>
      </x:c>
      <x:c r="N9" s="19" t="str">
        <x:v>75 kW</x:v>
      </x:c>
      <x:c r="O9" s="19" t="str">
        <x:v>-</x:v>
      </x:c>
      <x:c r="P9" s="19" t="str">
        <x:v>-</x:v>
      </x:c>
      <x:c r="Q9" s="19" t="str">
        <x:v>-</x:v>
      </x:c>
      <x:c r="R9" s="19" t="str">
        <x:v>-</x:v>
      </x:c>
      <x:c r="S9" s="19" t="str">
        <x:v>Rigid</x:v>
      </x:c>
      <x:c r="T9" s="19" t="str"/>
      <x:c r="U9" s="19" t="str"/>
      <x:c r="V9" s="19" t="str"/>
      <x:c r="W9" s="19" t="str"/>
      <x:c r="X9" s="19" t="str"/>
      <x:c r="Y9" s="19" t="str"/>
      <x:c r="Z9" s="19" t="str"/>
      <x:c r="AA9" s="19" t="str"/>
      <x:c r="AB9" s="19" t="str"/>
      <x:c r="AC9" s="19" t="str">
        <x:v>5LDIN</x:v>
      </x:c>
      <x:c r="AD9" s="19" t="str"/>
      <x:c r="AE9" s="19" t="str">
        <x:v>1480 rpm</x:v>
      </x:c>
      <x:c r="AF9" s="19" t="str">
        <x:v>53 kW</x:v>
      </x:c>
      <x:c r="AG9" s="19" t="str">
        <x:v>120 m3/h</x:v>
      </x:c>
      <x:c r="AH9" s="19" t="str"/>
      <x:c r="AI9" s="19" t="str"/>
      <x:c r="AJ9" s="19" t="str"/>
      <x:c r="AK9" s="19" t="str">
        <x:v>-</x:v>
      </x:c>
      <x:c r="AL9" s="19" t="str">
        <x:v>-</x:v>
      </x:c>
      <x:c r="AM9" s="19" t="str"/>
      <x:c r="AN9" s="19" t="str"/>
      <x:c r="AO9" s="19" t="str"/>
      <x:c r="AP9" s="19" t="str"/>
      <x:c r="AQ9" s="19" t="str"/>
      <x:c r="AR9" s="19" t="str">
        <x:v>Pump</x:v>
      </x:c>
      <x:c r="AS9" s="19" t="n">
        <x:v>15</x:v>
      </x:c>
      <x:c r="AT9" s="19" t="str"/>
      <x:c r="AU9" s="19" t="str">
        <x:v>Type, Mfg : YLB 250-2-4 Type, Mfg. : 5LDIN | Speed : 1430 rpm Speed : 1480 rpm | Power : 75 kW Power : 53 kW | Bearing Type : - Capacity : 120 m3/h | Inboard Bearing : - Type Bearing : | Outboard Bearing : - Inboard Bearing : - | Rotor Bar : - Onboard Bearing : - | Foundation : Rigid Total Impeler 5</x:v>
      </x:c>
      <x:c r="AV9" t="str">
        <x:f>IF(AS9&lt;=36,"UNIT 1",IF(AS9&lt;=70,"UNIT 2",IF(AS9&lt;=110,"UNIT 3","COMMON")))</x:f>
        <x:v>UNIT 1</x:v>
      </x:c>
    </x:row>
    <x:row r="10">
      <x:c r="A10" s="19" t="str">
        <x:v>REC-009</x:v>
      </x:c>
      <x:c r="B10" s="19" t="str">
        <x:v>AST-009</x:v>
      </x:c>
      <x:c r="C10" s="19" t="str">
        <x:v>Motor Vacuum Pump 1#1</x:v>
      </x:c>
      <x:c r="D10" s="19" t="str">
        <x:v>LJ10MAG10AP011-001</x:v>
      </x:c>
      <x:c r="E10" s="19" t="str">
        <x:v>ISO 10816-3 (GROUP 2 RIGID)</x:v>
      </x:c>
      <x:c r="F10" s="19" t="str">
        <x:v>ISO 10816-3 (GROUP 2 RIGID)</x:v>
      </x:c>
      <x:c r="G10" s="19" t="str">
        <x:v>W39</x:v>
      </x:c>
      <x:c r="H10" s="30" t="n">
        <x:v>45558</x:v>
      </x:c>
      <x:c r="I10" s="19" t="str">
        <x:v>NORMAL</x:v>
      </x:c>
      <x:c r="J10" s="19" t="str">
        <x:v>MOTOR</x:v>
      </x:c>
      <x:c r="K10" s="19" t="str">
        <x:v>POMPA</x:v>
      </x:c>
      <x:c r="L10" s="19" t="str">
        <x:v>Y2 - 250-6</x:v>
      </x:c>
      <x:c r="M10" s="19" t="str">
        <x:v>980 rpm</x:v>
      </x:c>
      <x:c r="N10" s="19" t="str">
        <x:v>37 kW</x:v>
      </x:c>
      <x:c r="O10" s="19" t="str"/>
      <x:c r="P10" s="19" t="str"/>
      <x:c r="Q10" s="19" t="str"/>
      <x:c r="R10" s="19" t="str">
        <x:v>-</x:v>
      </x:c>
      <x:c r="S10" s="19" t="str">
        <x:v>Rigid</x:v>
      </x:c>
      <x:c r="T10" s="19" t="str"/>
      <x:c r="U10" s="19" t="str"/>
      <x:c r="V10" s="19" t="str"/>
      <x:c r="W10" s="19" t="str"/>
      <x:c r="X10" s="19" t="str"/>
      <x:c r="Y10" s="19" t="str"/>
      <x:c r="Z10" s="19" t="str"/>
      <x:c r="AA10" s="19" t="str"/>
      <x:c r="AB10" s="19" t="str"/>
      <x:c r="AC10" s="19" t="str"/>
      <x:c r="AD10" s="19" t="str"/>
      <x:c r="AE10" s="19" t="str"/>
      <x:c r="AF10" s="19" t="str"/>
      <x:c r="AG10" s="19" t="str"/>
      <x:c r="AH10" s="19" t="str"/>
      <x:c r="AI10" s="19" t="str"/>
      <x:c r="AJ10" s="19" t="str"/>
      <x:c r="AK10" s="19" t="str">
        <x:v>-</x:v>
      </x:c>
      <x:c r="AL10" s="19" t="str">
        <x:v>-</x:v>
      </x:c>
      <x:c r="AM10" s="19" t="str"/>
      <x:c r="AN10" s="19" t="str"/>
      <x:c r="AO10" s="19" t="str"/>
      <x:c r="AP10" s="19" t="str"/>
      <x:c r="AQ10" s="19" t="str"/>
      <x:c r="AR10" s="19" t="str">
        <x:v>Pump</x:v>
      </x:c>
      <x:c r="AS10" s="19" t="n">
        <x:v>17</x:v>
      </x:c>
      <x:c r="AT10" s="19" t="str"/>
      <x:c r="AU10" s="19" t="str">
        <x:v>Type, Mfg : Y2 - 250-6 Type, Mfg. : | Speed : 980 rpm Speed : | Power : 37 kW Power : | Bearing Type : Capacity : | Inboard Bearing : Type Bearing : | Outboard Bearing : Inboard Bearing : - | Rotor Bar : - Onboard Bearing : - | Foundation : Rigid Total Impeler / blade 18</x:v>
      </x:c>
      <x:c r="AV10" t="str">
        <x:f>IF(AS10&lt;=36,"UNIT 1",IF(AS10&lt;=70,"UNIT 2",IF(AS10&lt;=110,"UNIT 3","COMMON")))</x:f>
        <x:v>UNIT 1</x:v>
      </x:c>
    </x:row>
    <x:row r="11">
      <x:c r="A11" s="19" t="str">
        <x:v>REC-010</x:v>
      </x:c>
      <x:c r="B11" s="19" t="str">
        <x:v>AST-010</x:v>
      </x:c>
      <x:c r="C11" s="19" t="str">
        <x:v>Motor Vacuum Pump 2#1</x:v>
      </x:c>
      <x:c r="D11" s="19" t="str">
        <x:v>LJ10MAG10AP012-001</x:v>
      </x:c>
      <x:c r="E11" s="19" t="str">
        <x:v>ISO 10816-3 (GROUP 2 RIGID)</x:v>
      </x:c>
      <x:c r="F11" s="19" t="str">
        <x:v>ISO 10816-3 (GROUP 2 RIGID)</x:v>
      </x:c>
      <x:c r="G11" s="19" t="str">
        <x:v>W39</x:v>
      </x:c>
      <x:c r="H11" s="30" t="n">
        <x:v>45558</x:v>
      </x:c>
      <x:c r="I11" s="19" t="str">
        <x:v>NORMAL</x:v>
      </x:c>
      <x:c r="J11" s="19" t="str">
        <x:v>MOTOR</x:v>
      </x:c>
      <x:c r="K11" s="19" t="str">
        <x:v>POMPA</x:v>
      </x:c>
      <x:c r="L11" s="19" t="str">
        <x:v>Y2 - 250-6</x:v>
      </x:c>
      <x:c r="M11" s="19" t="str">
        <x:v>980 rpm</x:v>
      </x:c>
      <x:c r="N11" s="19" t="str">
        <x:v>37 kW</x:v>
      </x:c>
      <x:c r="O11" s="19" t="str"/>
      <x:c r="P11" s="19" t="str"/>
      <x:c r="Q11" s="19" t="str"/>
      <x:c r="R11" s="19" t="str">
        <x:v>-</x:v>
      </x:c>
      <x:c r="S11" s="19" t="str">
        <x:v>Rigid</x:v>
      </x:c>
      <x:c r="T11" s="19" t="str"/>
      <x:c r="U11" s="19" t="str"/>
      <x:c r="V11" s="19" t="str"/>
      <x:c r="W11" s="19" t="str"/>
      <x:c r="X11" s="19" t="str"/>
      <x:c r="Y11" s="19" t="str"/>
      <x:c r="Z11" s="19" t="str"/>
      <x:c r="AA11" s="19" t="str"/>
      <x:c r="AB11" s="19" t="str"/>
      <x:c r="AC11" s="19" t="str"/>
      <x:c r="AD11" s="19" t="str"/>
      <x:c r="AE11" s="19" t="str"/>
      <x:c r="AF11" s="19" t="str"/>
      <x:c r="AG11" s="19" t="str"/>
      <x:c r="AH11" s="19" t="str"/>
      <x:c r="AI11" s="19" t="str"/>
      <x:c r="AJ11" s="19" t="str"/>
      <x:c r="AK11" s="19" t="str">
        <x:v>-</x:v>
      </x:c>
      <x:c r="AL11" s="19" t="str">
        <x:v>-</x:v>
      </x:c>
      <x:c r="AM11" s="19" t="str"/>
      <x:c r="AN11" s="19" t="str"/>
      <x:c r="AO11" s="19" t="str"/>
      <x:c r="AP11" s="19" t="str"/>
      <x:c r="AQ11" s="19" t="str"/>
      <x:c r="AR11" s="19" t="str">
        <x:v>Pump</x:v>
      </x:c>
      <x:c r="AS11" s="19" t="n">
        <x:v>19</x:v>
      </x:c>
      <x:c r="AT11" s="19" t="str"/>
      <x:c r="AU11" s="19" t="str">
        <x:v>Type, Mfg : Y2 - 250-6 Type, Mfg. : | Speed : 980 rpm Speed : | Power : 37 kW Power : | Bearing Type : Capacity : | Inboard Bearing : Type Bearing : | Outboard Bearing : Inboard Bearing : - | Rotor Bar : - Onboard Bearing : - | Foundation : Rigid Total Impeler 5</x:v>
      </x:c>
      <x:c r="AV11" t="str">
        <x:f>IF(AS11&lt;=36,"UNIT 1",IF(AS11&lt;=70,"UNIT 2",IF(AS11&lt;=110,"UNIT 3","COMMON")))</x:f>
        <x:v>UNIT 1</x:v>
      </x:c>
    </x:row>
    <x:row r="12">
      <x:c r="A12" s="19" t="str">
        <x:v>REC-011</x:v>
      </x:c>
      <x:c r="B12" s="19" t="str">
        <x:v>AST-011</x:v>
      </x:c>
      <x:c r="C12" s="19" t="str">
        <x:v>Motor Boiler Feed Pump 1#1</x:v>
      </x:c>
      <x:c r="D12" s="19" t="str">
        <x:v>LJ10LAC10AP001-001</x:v>
      </x:c>
      <x:c r="E12" s="19" t="str">
        <x:v>ISO 10816-3 (GROUP 1 RIGID)</x:v>
      </x:c>
      <x:c r="F12" s="19" t="str">
        <x:v>ISO 10816-3 (GROUP 1 RIGID)</x:v>
      </x:c>
      <x:c r="G12" s="19" t="str">
        <x:v>W36</x:v>
      </x:c>
      <x:c r="H12" s="30" t="n">
        <x:v>45537</x:v>
      </x:c>
      <x:c r="I12" s="19" t="str">
        <x:v>NORMAL</x:v>
      </x:c>
      <x:c r="J12" s="19" t="str">
        <x:v>MOTOR</x:v>
      </x:c>
      <x:c r="K12" s="19" t="str">
        <x:v>POMPA</x:v>
      </x:c>
      <x:c r="L12" s="19" t="str">
        <x:v>SY23372-1028, QINGJIANG</x:v>
      </x:c>
      <x:c r="M12" s="19" t="str">
        <x:v>2980 rpm</x:v>
      </x:c>
      <x:c r="N12" s="19" t="str">
        <x:v>1000</x:v>
      </x:c>
      <x:c r="O12" s="19" t="str"/>
      <x:c r="P12" s="19" t="str">
        <x:v>NU 224EC</x:v>
      </x:c>
      <x:c r="Q12" s="19" t="str">
        <x:v>6224/C3</x:v>
      </x:c>
      <x:c r="R12" s="19" t="str">
        <x:v>-</x:v>
      </x:c>
      <x:c r="S12" s="19" t="str">
        <x:v>Rigid</x:v>
      </x:c>
      <x:c r="T12" s="19" t="str"/>
      <x:c r="U12" s="19" t="str"/>
      <x:c r="V12" s="19" t="str"/>
      <x:c r="W12" s="19" t="str"/>
      <x:c r="X12" s="19" t="str"/>
      <x:c r="Y12" s="19" t="str"/>
      <x:c r="Z12" s="19" t="str"/>
      <x:c r="AA12" s="19" t="str"/>
      <x:c r="AB12" s="19" t="str"/>
      <x:c r="AC12" s="19" t="str">
        <x:v>SHENYANG AST PUMP MANUFACTURING CO.,LTD</x:v>
      </x:c>
      <x:c r="AD12" s="19" t="str"/>
      <x:c r="AE12" s="19" t="str">
        <x:v>2980 rpm</x:v>
      </x:c>
      <x:c r="AF12" s="19" t="str"/>
      <x:c r="AG12" s="19" t="str">
        <x:v>140</x:v>
      </x:c>
      <x:c r="AH12" s="19" t="str"/>
      <x:c r="AI12" s="19" t="str"/>
      <x:c r="AJ12" s="19" t="str"/>
      <x:c r="AK12" s="19" t="str">
        <x:v>-</x:v>
      </x:c>
      <x:c r="AL12" s="19" t="str">
        <x:v>-</x:v>
      </x:c>
      <x:c r="AM12" s="19" t="str"/>
      <x:c r="AN12" s="19" t="str"/>
      <x:c r="AO12" s="19" t="str"/>
      <x:c r="AP12" s="19" t="str"/>
      <x:c r="AQ12" s="19" t="str"/>
      <x:c r="AR12" s="19" t="str">
        <x:v>Pump</x:v>
      </x:c>
      <x:c r="AS12" s="19" t="n">
        <x:v>21</x:v>
      </x:c>
      <x:c r="AT12" s="19" t="str"/>
      <x:c r="AU12" s="19" t="str">
        <x:v>Type, Mfg : SY23372-1028, QINGJIANG Type, Mfg. : SHENYANG AST PUMP MANUFACTURING CO.,LTD | Speed : 2980 rpm Speed : 2980 rpm | Power : 1000 Capacity : 140 | Bearing Type : Bearing Type : | Inboard Bearing : NU 224EC Inboard Bearing : - | Outboard Bearing : 6224/C3 Onboard Bearing : - | Rotor Bar : - Total Blade - | Foundation : Rigid</x:v>
      </x:c>
      <x:c r="AV12" t="str">
        <x:f>IF(AS12&lt;=36,"UNIT 1",IF(AS12&lt;=70,"UNIT 2",IF(AS12&lt;=110,"UNIT 3","COMMON")))</x:f>
        <x:v>UNIT 1</x:v>
      </x:c>
    </x:row>
    <x:row r="13">
      <x:c r="A13" s="19" t="str">
        <x:v>REC-012</x:v>
      </x:c>
      <x:c r="B13" s="19" t="str">
        <x:v>AST-012</x:v>
      </x:c>
      <x:c r="C13" s="19" t="str">
        <x:v>Motor CCCWP 1#1</x:v>
      </x:c>
      <x:c r="D13" s="19" t="str">
        <x:v>LJ10PGB10AP001-001</x:v>
      </x:c>
      <x:c r="E13" s="19" t="str">
        <x:v>ISO 10816-3 (GROUP 2 RIGID)</x:v>
      </x:c>
      <x:c r="F13" s="19" t="str">
        <x:v>ISO 10816-3 (GROUP 2 RIGID)</x:v>
      </x:c>
      <x:c r="G13" s="19" t="str">
        <x:v>W37</x:v>
      </x:c>
      <x:c r="H13" s="30" t="n">
        <x:v>45545</x:v>
      </x:c>
      <x:c r="I13" s="19" t="str">
        <x:v>PREWARNING</x:v>
      </x:c>
      <x:c r="J13" s="19" t="str">
        <x:v>MOTOR</x:v>
      </x:c>
      <x:c r="K13" s="19" t="str">
        <x:v>POMPA</x:v>
      </x:c>
      <x:c r="L13" s="19" t="str">
        <x:v>Y2 - 280-4</x:v>
      </x:c>
      <x:c r="M13" s="19" t="str">
        <x:v>980 rpm</x:v>
      </x:c>
      <x:c r="N13" s="19" t="str">
        <x:v>75 kW</x:v>
      </x:c>
      <x:c r="O13" s="19" t="str">
        <x:v>-</x:v>
      </x:c>
      <x:c r="P13" s="19" t="str">
        <x:v>-</x:v>
      </x:c>
      <x:c r="Q13" s="19" t="str">
        <x:v>-</x:v>
      </x:c>
      <x:c r="R13" s="19" t="str">
        <x:v>-</x:v>
      </x:c>
      <x:c r="S13" s="19" t="str">
        <x:v>Rigid</x:v>
      </x:c>
      <x:c r="T13" s="19" t="str"/>
      <x:c r="U13" s="19" t="str"/>
      <x:c r="V13" s="19" t="str"/>
      <x:c r="W13" s="19" t="str"/>
      <x:c r="X13" s="19" t="str"/>
      <x:c r="Y13" s="19" t="str"/>
      <x:c r="Z13" s="19" t="str"/>
      <x:c r="AA13" s="19" t="str"/>
      <x:c r="AB13" s="19" t="str"/>
      <x:c r="AC13" s="19" t="str"/>
      <x:c r="AD13" s="19" t="str"/>
      <x:c r="AE13" s="19" t="str"/>
      <x:c r="AF13" s="19" t="str"/>
      <x:c r="AG13" s="19" t="str"/>
      <x:c r="AH13" s="19" t="str"/>
      <x:c r="AI13" s="19" t="str"/>
      <x:c r="AJ13" s="19" t="str"/>
      <x:c r="AK13" s="19" t="str">
        <x:v>-</x:v>
      </x:c>
      <x:c r="AL13" s="19" t="str">
        <x:v>-</x:v>
      </x:c>
      <x:c r="AM13" s="19" t="str"/>
      <x:c r="AN13" s="19" t="str"/>
      <x:c r="AO13" s="19" t="str"/>
      <x:c r="AP13" s="19" t="str"/>
      <x:c r="AQ13" s="19" t="str"/>
      <x:c r="AR13" s="19" t="str">
        <x:v>Pump</x:v>
      </x:c>
      <x:c r="AS13" s="19" t="n">
        <x:v>23</x:v>
      </x:c>
      <x:c r="AT13" s="19" t="str"/>
      <x:c r="AU13" s="19" t="str">
        <x:v>Type, Mfg : Y2 - 280-4 Type, Mfg. : | Speed : 980 rpm Speed : | Power : 75 kW Power : | Bearing Type : - Capacity : | Inboard Bearing : - Type Bearing : | Outboard Bearing : - Inboard Bearing : - | Rotor Bar : - Onboard Bearing : - | Foundation : Rigid Total Impeler 5</x:v>
      </x:c>
      <x:c r="AV13" t="str">
        <x:f>IF(AS13&lt;=36,"UNIT 1",IF(AS13&lt;=70,"UNIT 2",IF(AS13&lt;=110,"UNIT 3","COMMON")))</x:f>
        <x:v>UNIT 1</x:v>
      </x:c>
    </x:row>
    <x:row r="14">
      <x:c r="A14" s="19" t="str">
        <x:v>REC-013</x:v>
      </x:c>
      <x:c r="B14" s="19" t="str">
        <x:v>AST-013</x:v>
      </x:c>
      <x:c r="C14" s="19" t="str">
        <x:v>Motor CCCWP 2#1</x:v>
      </x:c>
      <x:c r="D14" s="19" t="str">
        <x:v>LJ10PGB10AP002-001</x:v>
      </x:c>
      <x:c r="E14" s="19" t="str">
        <x:v>ISO 10816-3 (GROUP 2 RIGID)</x:v>
      </x:c>
      <x:c r="F14" s="19" t="str">
        <x:v>ISO 10816-3 (GROUP 2 RIGID)</x:v>
      </x:c>
      <x:c r="G14" s="19" t="str">
        <x:v>W39</x:v>
      </x:c>
      <x:c r="H14" s="30" t="n">
        <x:v>45559</x:v>
      </x:c>
      <x:c r="I14" s="19" t="str">
        <x:v>NORMAL</x:v>
      </x:c>
      <x:c r="J14" s="19" t="str">
        <x:v>MOTOR</x:v>
      </x:c>
      <x:c r="K14" s="19" t="str">
        <x:v>POMPA</x:v>
      </x:c>
      <x:c r="L14" s="19" t="str">
        <x:v>Y2 - 280-4</x:v>
      </x:c>
      <x:c r="M14" s="19" t="str">
        <x:v>980 rpm</x:v>
      </x:c>
      <x:c r="N14" s="19" t="str">
        <x:v>75 kW</x:v>
      </x:c>
      <x:c r="O14" s="19" t="str"/>
      <x:c r="P14" s="19" t="str"/>
      <x:c r="Q14" s="19" t="str"/>
      <x:c r="R14" s="19" t="str">
        <x:v>-</x:v>
      </x:c>
      <x:c r="S14" s="19" t="str">
        <x:v>Rigid</x:v>
      </x:c>
      <x:c r="T14" s="19" t="str"/>
      <x:c r="U14" s="19" t="str"/>
      <x:c r="V14" s="19" t="str"/>
      <x:c r="W14" s="19" t="str"/>
      <x:c r="X14" s="19" t="str"/>
      <x:c r="Y14" s="19" t="str"/>
      <x:c r="Z14" s="19" t="str"/>
      <x:c r="AA14" s="19" t="str"/>
      <x:c r="AB14" s="19" t="str"/>
      <x:c r="AC14" s="19" t="str"/>
      <x:c r="AD14" s="19" t="str"/>
      <x:c r="AE14" s="19" t="str"/>
      <x:c r="AF14" s="19" t="str"/>
      <x:c r="AG14" s="19" t="str"/>
      <x:c r="AH14" s="19" t="str"/>
      <x:c r="AI14" s="19" t="str"/>
      <x:c r="AJ14" s="19" t="str"/>
      <x:c r="AK14" s="19" t="str">
        <x:v>-</x:v>
      </x:c>
      <x:c r="AL14" s="19" t="str">
        <x:v>-</x:v>
      </x:c>
      <x:c r="AM14" s="19" t="str"/>
      <x:c r="AN14" s="19" t="str"/>
      <x:c r="AO14" s="19" t="str"/>
      <x:c r="AP14" s="19" t="str"/>
      <x:c r="AQ14" s="19" t="str"/>
      <x:c r="AR14" s="19" t="str">
        <x:v>Pump</x:v>
      </x:c>
      <x:c r="AS14" s="19" t="n">
        <x:v>25</x:v>
      </x:c>
      <x:c r="AT14" s="19" t="str"/>
      <x:c r="AU14" s="19" t="str">
        <x:v>Type, Mfg : Y2 - 280-4 Type, Mfg. : | Speed : 980 rpm Speed : | Power : 75 kW Power : | Bearing Type : Capacity : | Inboard Bearing : Type Bearing : | Outboard Bearing : Inboard Bearing : - | Rotor Bar : - Onboard Bearing : - | Foundation : Rigid Total Impeler 5</x:v>
      </x:c>
      <x:c r="AV14" t="str">
        <x:f>IF(AS14&lt;=36,"UNIT 1",IF(AS14&lt;=70,"UNIT 2",IF(AS14&lt;=110,"UNIT 3","COMMON")))</x:f>
        <x:v>UNIT 1</x:v>
      </x:c>
    </x:row>
    <x:row r="15">
      <x:c r="A15" s="19" t="str">
        <x:v>REC-014</x:v>
      </x:c>
      <x:c r="B15" s="19" t="str">
        <x:v>AST-014</x:v>
      </x:c>
      <x:c r="C15" s="19" t="str">
        <x:v>Motor CWP 355 Kw 1#1</x:v>
      </x:c>
      <x:c r="D15" s="19" t="str">
        <x:v>LJ10PAC10AP001-001</x:v>
      </x:c>
      <x:c r="E15" s="19" t="str">
        <x:v>ISO 10816-3 (GROUP 1 RIGID))</x:v>
      </x:c>
      <x:c r="F15" s="19" t="str">
        <x:v>ISO 10816-3 (GROUP 1 RIGID)</x:v>
      </x:c>
      <x:c r="G15" s="19" t="str">
        <x:v>W39</x:v>
      </x:c>
      <x:c r="H15" s="30" t="n">
        <x:v>45559</x:v>
      </x:c>
      <x:c r="I15" s="19" t="str">
        <x:v>PREWARNING</x:v>
      </x:c>
      <x:c r="J15" s="19" t="str">
        <x:v>MOTOR</x:v>
      </x:c>
      <x:c r="K15" s="19" t="str">
        <x:v>POMPA</x:v>
      </x:c>
      <x:c r="L15" s="19" t="str">
        <x:v>YLKK400-6</x:v>
      </x:c>
      <x:c r="M15" s="19" t="str">
        <x:v>991</x:v>
      </x:c>
      <x:c r="N15" s="19" t="str">
        <x:v>315</x:v>
      </x:c>
      <x:c r="O15" s="19" t="str"/>
      <x:c r="P15" s="19" t="str"/>
      <x:c r="Q15" s="19" t="str"/>
      <x:c r="R15" s="19" t="str">
        <x:v>-</x:v>
      </x:c>
      <x:c r="S15" s="19" t="str">
        <x:v>Rigid</x:v>
      </x:c>
      <x:c r="T15" s="19" t="str"/>
      <x:c r="U15" s="19" t="str"/>
      <x:c r="V15" s="19" t="str"/>
      <x:c r="W15" s="19" t="str"/>
      <x:c r="X15" s="19" t="str"/>
      <x:c r="Y15" s="19" t="str"/>
      <x:c r="Z15" s="19" t="str"/>
      <x:c r="AA15" s="19" t="str"/>
      <x:c r="AB15" s="19" t="str"/>
      <x:c r="AC15" s="19" t="str"/>
      <x:c r="AD15" s="19" t="str"/>
      <x:c r="AE15" s="19" t="str"/>
      <x:c r="AF15" s="19" t="str"/>
      <x:c r="AG15" s="19" t="str"/>
      <x:c r="AH15" s="19" t="str"/>
      <x:c r="AI15" s="19" t="str"/>
      <x:c r="AJ15" s="19" t="str"/>
      <x:c r="AK15" s="19" t="str"/>
      <x:c r="AL15" s="19" t="str"/>
      <x:c r="AM15" s="19" t="str"/>
      <x:c r="AN15" s="19" t="str"/>
      <x:c r="AO15" s="19" t="str"/>
      <x:c r="AP15" s="19" t="str"/>
      <x:c r="AQ15" s="19" t="str"/>
      <x:c r="AR15" s="19" t="str">
        <x:v>Pump</x:v>
      </x:c>
      <x:c r="AS15" s="19" t="n">
        <x:v>27</x:v>
      </x:c>
      <x:c r="AT15" s="19" t="str">
        <x:v>Class dinormalisasi pada kolom terpisah; nilai sumber dipertahankan</x:v>
      </x:c>
      <x:c r="AU15" s="19" t="str">
        <x:v>Type, Mfg : YLKK400-6 Type, Mfg. : | Speed : 991 Speed : | Power : 315 Bearing Type : | Bearing Type : Inboard Bearing : | Inboard Bearing : Onboard Bearing : | Outboard Bearing : Total Blade : | Rotor Bar : - | Foundation : Rigid</x:v>
      </x:c>
      <x:c r="AV15" t="str">
        <x:f>IF(AS15&lt;=36,"UNIT 1",IF(AS15&lt;=70,"UNIT 2",IF(AS15&lt;=110,"UNIT 3","COMMON")))</x:f>
        <x:v>UNIT 1</x:v>
      </x:c>
    </x:row>
    <x:row r="16">
      <x:c r="A16" s="19" t="str">
        <x:v>REC-015</x:v>
      </x:c>
      <x:c r="B16" s="19" t="str">
        <x:v>AST-015</x:v>
      </x:c>
      <x:c r="C16" s="19" t="str">
        <x:v>Motor CWP 355 Kw 2#1</x:v>
      </x:c>
      <x:c r="D16" s="19" t="str">
        <x:v>LJ10PAC10AP002-001</x:v>
      </x:c>
      <x:c r="E16" s="19" t="str">
        <x:v>ISO 10816-3 (GROUP 1 RIGID))</x:v>
      </x:c>
      <x:c r="F16" s="19" t="str">
        <x:v>ISO 10816-3 (GROUP 1 RIGID)</x:v>
      </x:c>
      <x:c r="G16" s="19" t="str">
        <x:v>W37</x:v>
      </x:c>
      <x:c r="H16" s="30" t="n">
        <x:v>45545</x:v>
      </x:c>
      <x:c r="I16" s="19" t="str">
        <x:v>NORMAL</x:v>
      </x:c>
      <x:c r="J16" s="19" t="str">
        <x:v>MOTOR</x:v>
      </x:c>
      <x:c r="K16" s="19" t="str">
        <x:v>POMPA</x:v>
      </x:c>
      <x:c r="L16" s="19" t="str">
        <x:v>YLKK400-6</x:v>
      </x:c>
      <x:c r="M16" s="19" t="str">
        <x:v>991</x:v>
      </x:c>
      <x:c r="N16" s="19" t="str">
        <x:v>315</x:v>
      </x:c>
      <x:c r="O16" s="19" t="str"/>
      <x:c r="P16" s="19" t="str"/>
      <x:c r="Q16" s="19" t="str"/>
      <x:c r="R16" s="19" t="str">
        <x:v>-</x:v>
      </x:c>
      <x:c r="S16" s="19" t="str">
        <x:v>Rigid</x:v>
      </x:c>
      <x:c r="T16" s="19" t="str"/>
      <x:c r="U16" s="19" t="str"/>
      <x:c r="V16" s="19" t="str"/>
      <x:c r="W16" s="19" t="str"/>
      <x:c r="X16" s="19" t="str"/>
      <x:c r="Y16" s="19" t="str"/>
      <x:c r="Z16" s="19" t="str"/>
      <x:c r="AA16" s="19" t="str"/>
      <x:c r="AB16" s="19" t="str"/>
      <x:c r="AC16" s="19" t="str"/>
      <x:c r="AD16" s="19" t="str"/>
      <x:c r="AE16" s="19" t="str"/>
      <x:c r="AF16" s="19" t="str"/>
      <x:c r="AG16" s="19" t="str"/>
      <x:c r="AH16" s="19" t="str"/>
      <x:c r="AI16" s="19" t="str"/>
      <x:c r="AJ16" s="19" t="str"/>
      <x:c r="AK16" s="19" t="str"/>
      <x:c r="AL16" s="19" t="str"/>
      <x:c r="AM16" s="19" t="str"/>
      <x:c r="AN16" s="19" t="str"/>
      <x:c r="AO16" s="19" t="str"/>
      <x:c r="AP16" s="19" t="str"/>
      <x:c r="AQ16" s="19" t="str"/>
      <x:c r="AR16" s="19" t="str">
        <x:v>Pump</x:v>
      </x:c>
      <x:c r="AS16" s="19" t="n">
        <x:v>29</x:v>
      </x:c>
      <x:c r="AT16" s="19" t="str">
        <x:v>Class dinormalisasi pada kolom terpisah; nilai sumber dipertahankan</x:v>
      </x:c>
      <x:c r="AU16" s="19" t="str">
        <x:v>Type, Mfg : YLKK400-6 Type, Mfg. : | Speed : 991 Speed : | Power : 315 Bearing Type : | Bearing Type : Inboard Bearing : | Inboard Bearing : Onboard Bearing : | Outboard Bearing : Total Blade : | Rotor Bar : - | Foundation : Rigid</x:v>
      </x:c>
      <x:c r="AV16" t="str">
        <x:f>IF(AS16&lt;=36,"UNIT 1",IF(AS16&lt;=70,"UNIT 2",IF(AS16&lt;=110,"UNIT 3","COMMON")))</x:f>
        <x:v>UNIT 1</x:v>
      </x:c>
    </x:row>
    <x:row r="17">
      <x:c r="A17" s="19" t="str">
        <x:v>REC-016</x:v>
      </x:c>
      <x:c r="B17" s="19" t="str">
        <x:v>AST-016</x:v>
      </x:c>
      <x:c r="C17" s="19" t="str">
        <x:v>Motor BWRO 1#1</x:v>
      </x:c>
      <x:c r="D17" s="19" t="str">
        <x:v>LJ10GCK10AP005-001</x:v>
      </x:c>
      <x:c r="E17" s="19" t="str">
        <x:v>ISO 10816-3 (GROUP 2 RIGID)</x:v>
      </x:c>
      <x:c r="F17" s="19" t="str">
        <x:v>ISO 10816-3 (GROUP 2 RIGID)</x:v>
      </x:c>
      <x:c r="G17" s="19" t="str">
        <x:v>W37</x:v>
      </x:c>
      <x:c r="H17" s="30" t="n">
        <x:v>45545</x:v>
      </x:c>
      <x:c r="I17" s="19" t="str">
        <x:v>PREWARNING</x:v>
      </x:c>
      <x:c r="J17" s="19" t="str">
        <x:v>MOTOR</x:v>
      </x:c>
      <x:c r="K17" s="19" t="str">
        <x:v>POMPA</x:v>
      </x:c>
      <x:c r="L17" s="19" t="str">
        <x:v>AEUBKG020015FMBP3</x:v>
      </x:c>
      <x:c r="M17" s="19" t="str">
        <x:v>2920 r/min</x:v>
      </x:c>
      <x:c r="N17" s="19" t="str">
        <x:v>11 kw</x:v>
      </x:c>
      <x:c r="O17" s="19" t="str">
        <x:v>Roller Bearing</x:v>
      </x:c>
      <x:c r="P17" s="19" t="str">
        <x:v>7309B</x:v>
      </x:c>
      <x:c r="Q17" s="19" t="str">
        <x:v>6307C3</x:v>
      </x:c>
      <x:c r="R17" s="19" t="str">
        <x:v>-</x:v>
      </x:c>
      <x:c r="S17" s="19" t="str">
        <x:v>Rigid</x:v>
      </x:c>
      <x:c r="T17" s="19" t="str"/>
      <x:c r="U17" s="19" t="str"/>
      <x:c r="V17" s="19" t="str"/>
      <x:c r="W17" s="19" t="str"/>
      <x:c r="X17" s="19" t="str"/>
      <x:c r="Y17" s="19" t="str"/>
      <x:c r="Z17" s="19" t="str"/>
      <x:c r="AA17" s="19" t="str"/>
      <x:c r="AB17" s="19" t="str"/>
      <x:c r="AC17" s="19" t="str">
        <x:v>A96536974P11003</x:v>
      </x:c>
      <x:c r="AD17" s="19" t="str"/>
      <x:c r="AE17" s="19" t="str">
        <x:v>2920 r/min</x:v>
      </x:c>
      <x:c r="AF17" s="19" t="str">
        <x:v>11 Kw</x:v>
      </x:c>
      <x:c r="AG17" s="19" t="str">
        <x:v>21 m3/h</x:v>
      </x:c>
      <x:c r="AH17" s="19" t="str"/>
      <x:c r="AI17" s="19" t="str"/>
      <x:c r="AJ17" s="19" t="str"/>
      <x:c r="AK17" s="19" t="str">
        <x:v>-</x:v>
      </x:c>
      <x:c r="AL17" s="19" t="str">
        <x:v>-</x:v>
      </x:c>
      <x:c r="AM17" s="19" t="str"/>
      <x:c r="AN17" s="19" t="str"/>
      <x:c r="AO17" s="19" t="str"/>
      <x:c r="AP17" s="19" t="str"/>
      <x:c r="AQ17" s="19" t="str"/>
      <x:c r="AR17" s="19" t="str">
        <x:v>Pump</x:v>
      </x:c>
      <x:c r="AS17" s="19" t="n">
        <x:v>32</x:v>
      </x:c>
      <x:c r="AT17" s="19" t="str"/>
      <x:c r="AU17" s="19" t="str">
        <x:v>Type, Mfg : AEUBKG020015FMBP3 Type, Mfg. : A96536974P11003 | Speed : 2920 r/min Speed : 2920 r/min | Power : 11 kw Power : 11 Kw | Bearing Type : Roller Bearing Capacity : 21 m3/h | Inboard Bearing : 7309B Inboard Bearing : - | Outboard Bearing : 6307C3 Onboard Bearing : - | Rotor Bar : - Total Blade - | Foundation : Rigid</x:v>
      </x:c>
      <x:c r="AV17" t="str">
        <x:f>IF(AS17&lt;=36,"UNIT 1",IF(AS17&lt;=70,"UNIT 2",IF(AS17&lt;=110,"UNIT 3","COMMON")))</x:f>
        <x:v>UNIT 1</x:v>
      </x:c>
    </x:row>
    <x:row r="18">
      <x:c r="A18" s="19" t="str">
        <x:v>REC-017</x:v>
      </x:c>
      <x:c r="B18" s="19" t="str">
        <x:v>AST-017</x:v>
      </x:c>
      <x:c r="C18" s="19" t="str">
        <x:v>Motor SWRO 2#1</x:v>
      </x:c>
      <x:c r="D18" s="19" t="str">
        <x:v>LJ10GCK10AP008-001</x:v>
      </x:c>
      <x:c r="E18" s="19" t="str">
        <x:v>ISO 10816-3 (GROUP 2 RIGID)</x:v>
      </x:c>
      <x:c r="F18" s="19" t="str">
        <x:v>ISO 10816-3 (GROUP 2 RIGID)</x:v>
      </x:c>
      <x:c r="G18" s="19" t="str">
        <x:v>W39</x:v>
      </x:c>
      <x:c r="H18" s="30" t="n">
        <x:v>45559</x:v>
      </x:c>
      <x:c r="I18" s="19" t="str">
        <x:v>NORMAL</x:v>
      </x:c>
      <x:c r="J18" s="19" t="str">
        <x:v>MOTOR</x:v>
      </x:c>
      <x:c r="K18" s="19" t="str">
        <x:v>POMPA</x:v>
      </x:c>
      <x:c r="L18" s="19" t="str"/>
      <x:c r="M18" s="19" t="str">
        <x:v>2970 r/min</x:v>
      </x:c>
      <x:c r="N18" s="19" t="str">
        <x:v>75</x:v>
      </x:c>
      <x:c r="O18" s="19" t="str"/>
      <x:c r="P18" s="19" t="str"/>
      <x:c r="Q18" s="19" t="str"/>
      <x:c r="R18" s="19" t="str">
        <x:v>-</x:v>
      </x:c>
      <x:c r="S18" s="19" t="str">
        <x:v>Rigid</x:v>
      </x:c>
      <x:c r="T18" s="19" t="str"/>
      <x:c r="U18" s="19" t="str"/>
      <x:c r="V18" s="19" t="str"/>
      <x:c r="W18" s="19" t="str"/>
      <x:c r="X18" s="19" t="str"/>
      <x:c r="Y18" s="19" t="str"/>
      <x:c r="Z18" s="19" t="str"/>
      <x:c r="AA18" s="19" t="str"/>
      <x:c r="AB18" s="19" t="str"/>
      <x:c r="AC18" s="19" t="str"/>
      <x:c r="AD18" s="19" t="str"/>
      <x:c r="AE18" s="19" t="str"/>
      <x:c r="AF18" s="19" t="str"/>
      <x:c r="AG18" s="19" t="str"/>
      <x:c r="AH18" s="19" t="str"/>
      <x:c r="AI18" s="19" t="str"/>
      <x:c r="AJ18" s="19" t="str"/>
      <x:c r="AK18" s="19" t="str">
        <x:v>-</x:v>
      </x:c>
      <x:c r="AL18" s="19" t="str">
        <x:v>-</x:v>
      </x:c>
      <x:c r="AM18" s="19" t="str"/>
      <x:c r="AN18" s="19" t="str"/>
      <x:c r="AO18" s="19" t="str"/>
      <x:c r="AP18" s="19" t="str"/>
      <x:c r="AQ18" s="19" t="str"/>
      <x:c r="AR18" s="19" t="str">
        <x:v>Pump</x:v>
      </x:c>
      <x:c r="AS18" s="19" t="n">
        <x:v>34</x:v>
      </x:c>
      <x:c r="AT18" s="19" t="str"/>
      <x:c r="AU18" s="19" t="str">
        <x:v>Type, Mfg : Type, Mfg. : | Speed : 2970 r/min Speed : | Power : 75 Power : | Bearing Type : Capacity : | Inboard Bearing : Inboard Bearing : - | Outboard Bearing : Onboard Bearing : - | Rotor Bar : - Total Blade - | Foundation : Rigid</x:v>
      </x:c>
      <x:c r="AV18" t="str">
        <x:f>IF(AS18&lt;=36,"UNIT 1",IF(AS18&lt;=70,"UNIT 2",IF(AS18&lt;=110,"UNIT 3","COMMON")))</x:f>
        <x:v>UNIT 1</x:v>
      </x:c>
    </x:row>
    <x:row r="19">
      <x:c r="A19" s="19" t="str">
        <x:v>REC-018</x:v>
      </x:c>
      <x:c r="B19" s="19" t="str">
        <x:v>AST-018</x:v>
      </x:c>
      <x:c r="C19" s="19" t="str">
        <x:v>AC OIL PUMP UNIT 1</x:v>
      </x:c>
      <x:c r="D19" s="19" t="str"/>
      <x:c r="E19" s="19" t="str">
        <x:v>ISO 10816-3 (GROUP 2 RIGID)</x:v>
      </x:c>
      <x:c r="F19" s="19" t="str">
        <x:v>ISO 10816-3 (GROUP 2 RIGID)</x:v>
      </x:c>
      <x:c r="G19" s="19" t="str">
        <x:v>W38</x:v>
      </x:c>
      <x:c r="H19" s="30" t="n">
        <x:v>45551</x:v>
      </x:c>
      <x:c r="I19" s="19" t="str">
        <x:v>PREWARNING</x:v>
      </x:c>
      <x:c r="J19" s="19" t="str">
        <x:v>MOTOR</x:v>
      </x:c>
      <x:c r="K19" s="19" t="str">
        <x:v>POMPA</x:v>
      </x:c>
      <x:c r="L19" s="19" t="str">
        <x:v>Y2 - 250-6</x:v>
      </x:c>
      <x:c r="M19" s="19" t="str">
        <x:v>980 rpm</x:v>
      </x:c>
      <x:c r="N19" s="19" t="str">
        <x:v>37 kW</x:v>
      </x:c>
      <x:c r="O19" s="19" t="str"/>
      <x:c r="P19" s="19" t="str"/>
      <x:c r="Q19" s="19" t="str"/>
      <x:c r="R19" s="19" t="str">
        <x:v>-</x:v>
      </x:c>
      <x:c r="S19" s="19" t="str">
        <x:v>Rigid</x:v>
      </x:c>
      <x:c r="T19" s="19" t="str"/>
      <x:c r="U19" s="19" t="str"/>
      <x:c r="V19" s="19" t="str"/>
      <x:c r="W19" s="19" t="str"/>
      <x:c r="X19" s="19" t="str"/>
      <x:c r="Y19" s="19" t="str"/>
      <x:c r="Z19" s="19" t="str"/>
      <x:c r="AA19" s="19" t="str"/>
      <x:c r="AB19" s="19" t="str"/>
      <x:c r="AC19" s="19" t="str"/>
      <x:c r="AD19" s="19" t="str"/>
      <x:c r="AE19" s="19" t="str"/>
      <x:c r="AF19" s="19" t="str"/>
      <x:c r="AG19" s="19" t="str"/>
      <x:c r="AH19" s="19" t="str"/>
      <x:c r="AI19" s="19" t="str"/>
      <x:c r="AJ19" s="19" t="str"/>
      <x:c r="AK19" s="19" t="str">
        <x:v>-</x:v>
      </x:c>
      <x:c r="AL19" s="19" t="str">
        <x:v>-</x:v>
      </x:c>
      <x:c r="AM19" s="19" t="str"/>
      <x:c r="AN19" s="19" t="str"/>
      <x:c r="AO19" s="19" t="str"/>
      <x:c r="AP19" s="19" t="str"/>
      <x:c r="AQ19" s="19" t="str"/>
      <x:c r="AR19" s="19" t="str">
        <x:v>Pump</x:v>
      </x:c>
      <x:c r="AS19" s="19" t="n">
        <x:v>36</x:v>
      </x:c>
      <x:c r="AT19" s="19" t="str">
        <x:v>KKS kosong pada sumber PDF</x:v>
      </x:c>
      <x:c r="AU19" s="19" t="str">
        <x:v>Type, Mfg : Y2 - 250-6 Type, Mfg. : | Speed : 980 rpm Speed : | Power : 37 kW Power : | Bearing Type : Capacity : | Inboard Bearing : Type Bearing : | Outboard Bearing : Inboard Bearing : - | Rotor Bar : - Onboard Bearing : - | Foundation : Rigid Total Impeler 5</x:v>
      </x:c>
      <x:c r="AV19" t="str">
        <x:f>IF(AS19&lt;=36,"UNIT 1",IF(AS19&lt;=70,"UNIT 2",IF(AS19&lt;=110,"UNIT 3","COMMON")))</x:f>
        <x:v>UNIT 1</x:v>
      </x:c>
    </x:row>
    <x:row r="20">
      <x:c r="A20" s="19" t="str">
        <x:v>REC-019</x:v>
      </x:c>
      <x:c r="B20" s="19" t="str">
        <x:v>AST-019</x:v>
      </x:c>
      <x:c r="C20" s="19" t="str">
        <x:v>Motor ID Fan 1#2</x:v>
      </x:c>
      <x:c r="D20" s="19" t="str">
        <x:v>LJ20HNC10AN001-001</x:v>
      </x:c>
      <x:c r="E20" s="19" t="str">
        <x:v>ISO 10816-3 (GROUP 1 RIGID)</x:v>
      </x:c>
      <x:c r="F20" s="19" t="str">
        <x:v>ISO 10816-3 (GROUP 1 RIGID)</x:v>
      </x:c>
      <x:c r="G20" s="19" t="str">
        <x:v>W39</x:v>
      </x:c>
      <x:c r="H20" s="30" t="n">
        <x:v>45559</x:v>
      </x:c>
      <x:c r="I20" s="19" t="str">
        <x:v>NORMAL</x:v>
      </x:c>
      <x:c r="J20" s="19" t="str">
        <x:v>MOTOR</x:v>
      </x:c>
      <x:c r="K20" s="19" t="str">
        <x:v>FAN</x:v>
      </x:c>
      <x:c r="L20" s="19" t="str">
        <x:v>YKK4003-4</x:v>
      </x:c>
      <x:c r="M20" s="19" t="str">
        <x:v>985</x:v>
      </x:c>
      <x:c r="N20" s="19" t="str">
        <x:v>355 Kw</x:v>
      </x:c>
      <x:c r="O20" s="19" t="str"/>
      <x:c r="P20" s="19" t="str">
        <x:v>NU324</x:v>
      </x:c>
      <x:c r="Q20" s="19" t="str">
        <x:v>6324</x:v>
      </x:c>
      <x:c r="R20" s="19" t="str">
        <x:v>-</x:v>
      </x:c>
      <x:c r="S20" s="19" t="str">
        <x:v>Rigid</x:v>
      </x:c>
      <x:c r="T20" s="19" t="str"/>
      <x:c r="U20" s="19" t="str"/>
      <x:c r="V20" s="19" t="str"/>
      <x:c r="W20" s="19" t="str"/>
      <x:c r="X20" s="19" t="str"/>
      <x:c r="Y20" s="19" t="str"/>
      <x:c r="Z20" s="19" t="str"/>
      <x:c r="AA20" s="19" t="str"/>
      <x:c r="AB20" s="19" t="str"/>
      <x:c r="AC20" s="19" t="str"/>
      <x:c r="AD20" s="19" t="str"/>
      <x:c r="AE20" s="19" t="str"/>
      <x:c r="AF20" s="19" t="str"/>
      <x:c r="AG20" s="19" t="str"/>
      <x:c r="AH20" s="19" t="str"/>
      <x:c r="AI20" s="19" t="str"/>
      <x:c r="AJ20" s="19" t="str"/>
      <x:c r="AK20" s="19" t="str">
        <x:v>-</x:v>
      </x:c>
      <x:c r="AL20" s="19" t="str">
        <x:v>-</x:v>
      </x:c>
      <x:c r="AM20" s="19" t="str"/>
      <x:c r="AN20" s="19" t="str"/>
      <x:c r="AO20" s="19" t="str"/>
      <x:c r="AP20" s="19" t="str"/>
      <x:c r="AQ20" s="19" t="str"/>
      <x:c r="AR20" s="19" t="str">
        <x:v>Fan</x:v>
      </x:c>
      <x:c r="AS20" s="19" t="n">
        <x:v>38</x:v>
      </x:c>
      <x:c r="AT20" s="19" t="str"/>
      <x:c r="AU20" s="19" t="str">
        <x:v>Type, Mfg : YKK4003-4 Type, Mfg. : | Speed : 985 Speed : | Power : 355 Kw Capacity : | Bearing Type : Bearing Type : | Inboard Bearing : NU324 Inboard Bearing : - | Outboard Bearing : 6324 Onboard Bearing : - | Rotor Bar : - Total Blade - | Foundation : Rigid</x:v>
      </x:c>
      <x:c r="AV20" t="str">
        <x:f>IF(AS20&lt;=36,"UNIT 1",IF(AS20&lt;=70,"UNIT 2",IF(AS20&lt;=110,"UNIT 3","COMMON")))</x:f>
        <x:v>UNIT 2</x:v>
      </x:c>
    </x:row>
    <x:row r="21">
      <x:c r="A21" s="19" t="str">
        <x:v>REC-020</x:v>
      </x:c>
      <x:c r="B21" s="19" t="str">
        <x:v>AST-020</x:v>
      </x:c>
      <x:c r="C21" s="19" t="str">
        <x:v>Motor ID Fan 2#2</x:v>
      </x:c>
      <x:c r="D21" s="19" t="str">
        <x:v>LJ20HNC10AN002-001</x:v>
      </x:c>
      <x:c r="E21" s="19" t="str">
        <x:v>ISO 10816-3 (GROUP 1 RIGID)</x:v>
      </x:c>
      <x:c r="F21" s="19" t="str">
        <x:v>ISO 10816-3 (GROUP 1 RIGID)</x:v>
      </x:c>
      <x:c r="G21" s="19" t="str">
        <x:v>W37</x:v>
      </x:c>
      <x:c r="H21" s="30" t="n">
        <x:v>45545</x:v>
      </x:c>
      <x:c r="I21" s="19" t="str">
        <x:v>PREWARNING</x:v>
      </x:c>
      <x:c r="J21" s="19" t="str">
        <x:v>MOTOR</x:v>
      </x:c>
      <x:c r="K21" s="19" t="str">
        <x:v>FAN</x:v>
      </x:c>
      <x:c r="L21" s="19" t="str">
        <x:v>YKK4003-4</x:v>
      </x:c>
      <x:c r="M21" s="19" t="str">
        <x:v>985</x:v>
      </x:c>
      <x:c r="N21" s="19" t="str">
        <x:v>355 Kw</x:v>
      </x:c>
      <x:c r="O21" s="19" t="str"/>
      <x:c r="P21" s="19" t="str">
        <x:v>NU324</x:v>
      </x:c>
      <x:c r="Q21" s="19" t="str">
        <x:v>6324</x:v>
      </x:c>
      <x:c r="R21" s="19" t="str">
        <x:v>-</x:v>
      </x:c>
      <x:c r="S21" s="19" t="str">
        <x:v>Rigid</x:v>
      </x:c>
      <x:c r="T21" s="19" t="str"/>
      <x:c r="U21" s="19" t="str"/>
      <x:c r="V21" s="19" t="str"/>
      <x:c r="W21" s="19" t="str"/>
      <x:c r="X21" s="19" t="str"/>
      <x:c r="Y21" s="19" t="str"/>
      <x:c r="Z21" s="19" t="str"/>
      <x:c r="AA21" s="19" t="str"/>
      <x:c r="AB21" s="19" t="str"/>
      <x:c r="AC21" s="19" t="str"/>
      <x:c r="AD21" s="19" t="str"/>
      <x:c r="AE21" s="19" t="str"/>
      <x:c r="AF21" s="19" t="str"/>
      <x:c r="AG21" s="19" t="str"/>
      <x:c r="AH21" s="19" t="str"/>
      <x:c r="AI21" s="19" t="str"/>
      <x:c r="AJ21" s="19" t="str"/>
      <x:c r="AK21" s="19" t="str">
        <x:v>-</x:v>
      </x:c>
      <x:c r="AL21" s="19" t="str">
        <x:v>-</x:v>
      </x:c>
      <x:c r="AM21" s="19" t="str"/>
      <x:c r="AN21" s="19" t="str"/>
      <x:c r="AO21" s="19" t="str"/>
      <x:c r="AP21" s="19" t="str"/>
      <x:c r="AQ21" s="19" t="str"/>
      <x:c r="AR21" s="19" t="str">
        <x:v>Fan</x:v>
      </x:c>
      <x:c r="AS21" s="19" t="n">
        <x:v>40</x:v>
      </x:c>
      <x:c r="AT21" s="19" t="str"/>
      <x:c r="AU21" s="19" t="str">
        <x:v>Type, Mfg : YKK4003-4 Type, Mfg. : | Speed : 985 Speed : | Power : 355 Kw Capacity : | Bearing Type : Bearing Type : | Inboard Bearing : NU324 Inboard Bearing : - | Outboard Bearing : 6324 Onboard Bearing : - | Rotor Bar : - Total Blade - | Foundation : Rigid</x:v>
      </x:c>
      <x:c r="AV21" t="str">
        <x:f>IF(AS21&lt;=36,"UNIT 1",IF(AS21&lt;=70,"UNIT 2",IF(AS21&lt;=110,"UNIT 3","COMMON")))</x:f>
        <x:v>UNIT 2</x:v>
      </x:c>
    </x:row>
    <x:row r="22">
      <x:c r="A22" s="19" t="str">
        <x:v>REC-021</x:v>
      </x:c>
      <x:c r="B22" s="19" t="str">
        <x:v>AST-021</x:v>
      </x:c>
      <x:c r="C22" s="19" t="str">
        <x:v>Motor Primary Air Fan 1#2</x:v>
      </x:c>
      <x:c r="D22" s="19" t="str">
        <x:v>LJ20HLB10AN001-001</x:v>
      </x:c>
      <x:c r="E22" s="19" t="str">
        <x:v>ISO 10816-3 (GROUP 1 RIGID)</x:v>
      </x:c>
      <x:c r="F22" s="19" t="str">
        <x:v>ISO 10816-3 (GROUP 1 RIGID)</x:v>
      </x:c>
      <x:c r="G22" s="19" t="str">
        <x:v>W39</x:v>
      </x:c>
      <x:c r="H22" s="30" t="n">
        <x:v>45560</x:v>
      </x:c>
      <x:c r="I22" s="19" t="str">
        <x:v>NORMAL</x:v>
      </x:c>
      <x:c r="J22" s="19" t="str">
        <x:v>MOTOR</x:v>
      </x:c>
      <x:c r="K22" s="19" t="str">
        <x:v>FAN</x:v>
      </x:c>
      <x:c r="L22" s="19" t="str">
        <x:v>YKK 4001-4</x:v>
      </x:c>
      <x:c r="M22" s="19" t="str">
        <x:v>1480 r/min</x:v>
      </x:c>
      <x:c r="N22" s="19" t="str">
        <x:v>280 kW</x:v>
      </x:c>
      <x:c r="O22" s="19" t="str">
        <x:v>Roller Bearing</x:v>
      </x:c>
      <x:c r="P22" s="19" t="str">
        <x:v>NU324</x:v>
      </x:c>
      <x:c r="Q22" s="19" t="str">
        <x:v>6224</x:v>
      </x:c>
      <x:c r="R22" s="19" t="str">
        <x:v>-</x:v>
      </x:c>
      <x:c r="S22" s="19" t="str">
        <x:v>Rigid</x:v>
      </x:c>
      <x:c r="T22" s="19" t="str"/>
      <x:c r="U22" s="19" t="str"/>
      <x:c r="V22" s="19" t="str"/>
      <x:c r="W22" s="19" t="str"/>
      <x:c r="X22" s="19" t="str"/>
      <x:c r="Y22" s="19" t="str"/>
      <x:c r="Z22" s="19" t="str"/>
      <x:c r="AA22" s="19" t="str"/>
      <x:c r="AB22" s="19" t="str"/>
      <x:c r="AC22" s="19" t="str">
        <x:v>QALG-217D</x:v>
      </x:c>
      <x:c r="AD22" s="19" t="str"/>
      <x:c r="AE22" s="19" t="str">
        <x:v>1450 r/min</x:v>
      </x:c>
      <x:c r="AF22" s="19" t="str"/>
      <x:c r="AG22" s="19" t="str"/>
      <x:c r="AH22" s="19" t="str">
        <x:v>13500 Pa</x:v>
      </x:c>
      <x:c r="AI22" s="19" t="str">
        <x:v>50000 m2/h</x:v>
      </x:c>
      <x:c r="AJ22" s="19" t="str">
        <x:v>-</x:v>
      </x:c>
      <x:c r="AK22" s="19" t="str">
        <x:v>-</x:v>
      </x:c>
      <x:c r="AL22" s="19" t="str">
        <x:v>-</x:v>
      </x:c>
      <x:c r="AM22" s="19" t="str">
        <x:v>-</x:v>
      </x:c>
      <x:c r="AN22" s="19" t="str"/>
      <x:c r="AO22" s="19" t="str"/>
      <x:c r="AP22" s="19" t="str"/>
      <x:c r="AQ22" s="19" t="str"/>
      <x:c r="AR22" s="19" t="str">
        <x:v>Fan</x:v>
      </x:c>
      <x:c r="AS22" s="19" t="n">
        <x:v>42</x:v>
      </x:c>
      <x:c r="AT22" s="19" t="str"/>
      <x:c r="AU22" s="19" t="str">
        <x:v>Type, Mfg : YKK 4001-4 Type, Mfg. : QALG-217D | Speed : 1480 r/min Speed : 1450 r/min | Power : 280 kW Pressure : 13500 Pa | Bearing Type : Roller Bearing Flow Rate : 50000 m2/h | Inboard Bearing : NU324 Bearing Type : - | Outboard Bearing : 6224 Inboard Bearing : - | Rotor Bar : - Onboard Bearing : - | Foundation : Rigid Total Blade : -</x:v>
      </x:c>
      <x:c r="AV22" t="str">
        <x:f>IF(AS22&lt;=36,"UNIT 1",IF(AS22&lt;=70,"UNIT 2",IF(AS22&lt;=110,"UNIT 3","COMMON")))</x:f>
        <x:v>UNIT 2</x:v>
      </x:c>
    </x:row>
    <x:row r="23">
      <x:c r="A23" s="19" t="str">
        <x:v>REC-022</x:v>
      </x:c>
      <x:c r="B23" s="19" t="str">
        <x:v>AST-022</x:v>
      </x:c>
      <x:c r="C23" s="19" t="str">
        <x:v>Motor Primary Air Fan 2#2</x:v>
      </x:c>
      <x:c r="D23" s="19" t="str">
        <x:v>LJ20HLB10AN002-001</x:v>
      </x:c>
      <x:c r="E23" s="19" t="str">
        <x:v>ISO 10816-3 (GROUP 1 RIGID)</x:v>
      </x:c>
      <x:c r="F23" s="19" t="str">
        <x:v>ISO 10816-3 (GROUP 1 RIGID)</x:v>
      </x:c>
      <x:c r="G23" s="19" t="str">
        <x:v>W37</x:v>
      </x:c>
      <x:c r="H23" s="30" t="n">
        <x:v>45546</x:v>
      </x:c>
      <x:c r="I23" s="19" t="str">
        <x:v>NORMAL</x:v>
      </x:c>
      <x:c r="J23" s="19" t="str">
        <x:v>MOTOR</x:v>
      </x:c>
      <x:c r="K23" s="19" t="str">
        <x:v>FAN</x:v>
      </x:c>
      <x:c r="L23" s="19" t="str">
        <x:v>YKK 4001-4</x:v>
      </x:c>
      <x:c r="M23" s="19" t="str">
        <x:v>1480 r/min</x:v>
      </x:c>
      <x:c r="N23" s="19" t="str">
        <x:v>280 kW</x:v>
      </x:c>
      <x:c r="O23" s="19" t="str">
        <x:v>Roller Bearing</x:v>
      </x:c>
      <x:c r="P23" s="19" t="str">
        <x:v>NU324</x:v>
      </x:c>
      <x:c r="Q23" s="19" t="str">
        <x:v>6224</x:v>
      </x:c>
      <x:c r="R23" s="19" t="str">
        <x:v>-</x:v>
      </x:c>
      <x:c r="S23" s="19" t="str">
        <x:v>Rigid</x:v>
      </x:c>
      <x:c r="T23" s="19" t="str"/>
      <x:c r="U23" s="19" t="str"/>
      <x:c r="V23" s="19" t="str"/>
      <x:c r="W23" s="19" t="str"/>
      <x:c r="X23" s="19" t="str"/>
      <x:c r="Y23" s="19" t="str"/>
      <x:c r="Z23" s="19" t="str"/>
      <x:c r="AA23" s="19" t="str"/>
      <x:c r="AB23" s="19" t="str"/>
      <x:c r="AC23" s="19" t="str">
        <x:v>QALG-217D</x:v>
      </x:c>
      <x:c r="AD23" s="19" t="str"/>
      <x:c r="AE23" s="19" t="str">
        <x:v>1450 r/min</x:v>
      </x:c>
      <x:c r="AF23" s="19" t="str"/>
      <x:c r="AG23" s="19" t="str"/>
      <x:c r="AH23" s="19" t="str">
        <x:v>13500 Pa</x:v>
      </x:c>
      <x:c r="AI23" s="19" t="str">
        <x:v>50000 m2/h</x:v>
      </x:c>
      <x:c r="AJ23" s="19" t="str">
        <x:v>-</x:v>
      </x:c>
      <x:c r="AK23" s="19" t="str">
        <x:v>-</x:v>
      </x:c>
      <x:c r="AL23" s="19" t="str">
        <x:v>-</x:v>
      </x:c>
      <x:c r="AM23" s="19" t="str">
        <x:v>-</x:v>
      </x:c>
      <x:c r="AN23" s="19" t="str"/>
      <x:c r="AO23" s="19" t="str"/>
      <x:c r="AP23" s="19" t="str"/>
      <x:c r="AQ23" s="19" t="str"/>
      <x:c r="AR23" s="19" t="str">
        <x:v>Fan</x:v>
      </x:c>
      <x:c r="AS23" s="19" t="n">
        <x:v>44</x:v>
      </x:c>
      <x:c r="AT23" s="19" t="str"/>
      <x:c r="AU23" s="19" t="str">
        <x:v>Type, Mfg : YKK 4001-4 Type, Mfg. : QALG-217D | Speed : 1480 r/min Speed : 1450 r/min | Power : 280 kW Pressure : 13500 Pa | Bearing Type : Roller Bearing Flow Rate : 50000 m2/h | Inboard Bearing : NU324 Bearing Type : - | Outboard Bearing : 6224 Inboard Bearing : - | Rotor Bar : - Onboard Bearing : - | Foundation : Rigid Total Blade : -</x:v>
      </x:c>
      <x:c r="AV23" t="str">
        <x:f>IF(AS23&lt;=36,"UNIT 1",IF(AS23&lt;=70,"UNIT 2",IF(AS23&lt;=110,"UNIT 3","COMMON")))</x:f>
        <x:v>UNIT 2</x:v>
      </x:c>
    </x:row>
    <x:row r="24">
      <x:c r="A24" s="19" t="str">
        <x:v>REC-023</x:v>
      </x:c>
      <x:c r="B24" s="19" t="str">
        <x:v>AST-023</x:v>
      </x:c>
      <x:c r="C24" s="19" t="str">
        <x:v>Motor Secondary Air Fan 1#2</x:v>
      </x:c>
      <x:c r="D24" s="19" t="str">
        <x:v>LJ20HLB10AN003-001</x:v>
      </x:c>
      <x:c r="E24" s="19" t="str">
        <x:v>ISO 10816-3 (GROUP 1 RIGID)</x:v>
      </x:c>
      <x:c r="F24" s="19" t="str">
        <x:v>ISO 10816-3 (GROUP 1 RIGID)</x:v>
      </x:c>
      <x:c r="G24" s="19" t="str">
        <x:v>W39</x:v>
      </x:c>
      <x:c r="H24" s="30" t="n">
        <x:v>45560</x:v>
      </x:c>
      <x:c r="I24" s="19" t="str">
        <x:v>PREWARNING</x:v>
      </x:c>
      <x:c r="J24" s="19" t="str">
        <x:v>MOTOR</x:v>
      </x:c>
      <x:c r="K24" s="19" t="str">
        <x:v>FAN</x:v>
      </x:c>
      <x:c r="L24" s="19" t="str">
        <x:v>YKK 4001-4</x:v>
      </x:c>
      <x:c r="M24" s="19" t="str">
        <x:v>1480 r/min</x:v>
      </x:c>
      <x:c r="N24" s="19" t="str">
        <x:v>280 kW</x:v>
      </x:c>
      <x:c r="O24" s="19" t="str">
        <x:v>Roller Bearing</x:v>
      </x:c>
      <x:c r="P24" s="19" t="str">
        <x:v>NU324</x:v>
      </x:c>
      <x:c r="Q24" s="19" t="str">
        <x:v>6224</x:v>
      </x:c>
      <x:c r="R24" s="19" t="str">
        <x:v>-</x:v>
      </x:c>
      <x:c r="S24" s="19" t="str">
        <x:v>Rigid</x:v>
      </x:c>
      <x:c r="T24" s="19" t="str"/>
      <x:c r="U24" s="19" t="str"/>
      <x:c r="V24" s="19" t="str"/>
      <x:c r="W24" s="19" t="str"/>
      <x:c r="X24" s="19" t="str"/>
      <x:c r="Y24" s="19" t="str"/>
      <x:c r="Z24" s="19" t="str"/>
      <x:c r="AA24" s="19" t="str"/>
      <x:c r="AB24" s="19" t="str"/>
      <x:c r="AC24" s="19" t="str">
        <x:v>QALG-217D</x:v>
      </x:c>
      <x:c r="AD24" s="19" t="str"/>
      <x:c r="AE24" s="19" t="str">
        <x:v>1450 r/min</x:v>
      </x:c>
      <x:c r="AF24" s="19" t="str"/>
      <x:c r="AG24" s="19" t="str"/>
      <x:c r="AH24" s="19" t="str">
        <x:v>13500 Pa</x:v>
      </x:c>
      <x:c r="AI24" s="19" t="str">
        <x:v>50000 m2/h</x:v>
      </x:c>
      <x:c r="AJ24" s="19" t="str">
        <x:v>-</x:v>
      </x:c>
      <x:c r="AK24" s="19" t="str">
        <x:v>-</x:v>
      </x:c>
      <x:c r="AL24" s="19" t="str">
        <x:v>-</x:v>
      </x:c>
      <x:c r="AM24" s="19" t="str">
        <x:v>-</x:v>
      </x:c>
      <x:c r="AN24" s="19" t="str"/>
      <x:c r="AO24" s="19" t="str"/>
      <x:c r="AP24" s="19" t="str"/>
      <x:c r="AQ24" s="19" t="str"/>
      <x:c r="AR24" s="19" t="str">
        <x:v>Fan</x:v>
      </x:c>
      <x:c r="AS24" s="19" t="n">
        <x:v>46</x:v>
      </x:c>
      <x:c r="AT24" s="19" t="str"/>
      <x:c r="AU24" s="19" t="str">
        <x:v>Type, Mfg : YKK 4001-4 Type, Mfg. : QALG-217D | Speed : 1480 r/min Speed : 1450 r/min | Power : 280 kW Pressure : 13500 Pa | Bearing Type : Roller Bearing Flow Rate : 50000 m2/h | Inboard Bearing : NU324 Bearing Type : - | Outboard Bearing : 6224 Inboard Bearing : - | Rotor Bar : - Onboard Bearing : - | Foundation : Rigid Total Blade : -</x:v>
      </x:c>
      <x:c r="AV24" t="str">
        <x:f>IF(AS24&lt;=36,"UNIT 1",IF(AS24&lt;=70,"UNIT 2",IF(AS24&lt;=110,"UNIT 3","COMMON")))</x:f>
        <x:v>UNIT 2</x:v>
      </x:c>
    </x:row>
    <x:row r="25">
      <x:c r="A25" s="19" t="str">
        <x:v>REC-024</x:v>
      </x:c>
      <x:c r="B25" s="19" t="str">
        <x:v>AST-024</x:v>
      </x:c>
      <x:c r="C25" s="19" t="str">
        <x:v>Motor Secondary Air Fan 2#2</x:v>
      </x:c>
      <x:c r="D25" s="19" t="str">
        <x:v>LJ20HLB10AN004-001</x:v>
      </x:c>
      <x:c r="E25" s="19" t="str">
        <x:v>ISO 10816-3 (GROUP 1 RIGID)</x:v>
      </x:c>
      <x:c r="F25" s="19" t="str">
        <x:v>ISO 10816-3 (GROUP 1 RIGID)</x:v>
      </x:c>
      <x:c r="G25" s="19" t="str">
        <x:v>W37</x:v>
      </x:c>
      <x:c r="H25" s="30" t="n">
        <x:v>45546</x:v>
      </x:c>
      <x:c r="I25" s="19" t="str">
        <x:v>NORMAL</x:v>
      </x:c>
      <x:c r="J25" s="19" t="str">
        <x:v>MOTOR</x:v>
      </x:c>
      <x:c r="K25" s="19" t="str">
        <x:v>FAN</x:v>
      </x:c>
      <x:c r="L25" s="19" t="str">
        <x:v>YKK 4001-4</x:v>
      </x:c>
      <x:c r="M25" s="19" t="str">
        <x:v>1480 r/min</x:v>
      </x:c>
      <x:c r="N25" s="19" t="str">
        <x:v>280 kW</x:v>
      </x:c>
      <x:c r="O25" s="19" t="str">
        <x:v>Roller Bearing</x:v>
      </x:c>
      <x:c r="P25" s="19" t="str">
        <x:v>NU324</x:v>
      </x:c>
      <x:c r="Q25" s="19" t="str">
        <x:v>6224</x:v>
      </x:c>
      <x:c r="R25" s="19" t="str">
        <x:v>-</x:v>
      </x:c>
      <x:c r="S25" s="19" t="str">
        <x:v>Rigid</x:v>
      </x:c>
      <x:c r="T25" s="19" t="str"/>
      <x:c r="U25" s="19" t="str"/>
      <x:c r="V25" s="19" t="str"/>
      <x:c r="W25" s="19" t="str"/>
      <x:c r="X25" s="19" t="str"/>
      <x:c r="Y25" s="19" t="str"/>
      <x:c r="Z25" s="19" t="str"/>
      <x:c r="AA25" s="19" t="str"/>
      <x:c r="AB25" s="19" t="str"/>
      <x:c r="AC25" s="19" t="str">
        <x:v>QALG-217D</x:v>
      </x:c>
      <x:c r="AD25" s="19" t="str"/>
      <x:c r="AE25" s="19" t="str">
        <x:v>1450 r/min</x:v>
      </x:c>
      <x:c r="AF25" s="19" t="str"/>
      <x:c r="AG25" s="19" t="str"/>
      <x:c r="AH25" s="19" t="str">
        <x:v>13500 Pa</x:v>
      </x:c>
      <x:c r="AI25" s="19" t="str">
        <x:v>50000 m2/h</x:v>
      </x:c>
      <x:c r="AJ25" s="19" t="str">
        <x:v>-</x:v>
      </x:c>
      <x:c r="AK25" s="19" t="str">
        <x:v>-</x:v>
      </x:c>
      <x:c r="AL25" s="19" t="str">
        <x:v>-</x:v>
      </x:c>
      <x:c r="AM25" s="19" t="str">
        <x:v>-</x:v>
      </x:c>
      <x:c r="AN25" s="19" t="str"/>
      <x:c r="AO25" s="19" t="str"/>
      <x:c r="AP25" s="19" t="str"/>
      <x:c r="AQ25" s="19" t="str"/>
      <x:c r="AR25" s="19" t="str">
        <x:v>Fan</x:v>
      </x:c>
      <x:c r="AS25" s="19" t="n">
        <x:v>48</x:v>
      </x:c>
      <x:c r="AT25" s="19" t="str"/>
      <x:c r="AU25" s="19" t="str">
        <x:v>Type, Mfg : YKK 4001-4 Type, Mfg. : QALG-217D | Speed : 1480 r/min Speed : 1450 r/min | Power : 280 kW Pressure : 13500 Pa | Bearing Type : Roller Bearing Flow Rate : 50000 m2/h | Inboard Bearing : NU324 Bearing Type : - | Outboard Bearing : 6224 Inboard Bearing : - | Rotor Bar : - Onboard Bearing : - | Foundation : Rigid Total Blade : -</x:v>
      </x:c>
      <x:c r="AV25" t="str">
        <x:f>IF(AS25&lt;=36,"UNIT 1",IF(AS25&lt;=70,"UNIT 2",IF(AS25&lt;=110,"UNIT 3","COMMON")))</x:f>
        <x:v>UNIT 2</x:v>
      </x:c>
    </x:row>
    <x:row r="26">
      <x:c r="A26" s="19" t="str">
        <x:v>REC-025</x:v>
      </x:c>
      <x:c r="B26" s="19" t="str">
        <x:v>AST-025</x:v>
      </x:c>
      <x:c r="C26" s="19" t="str">
        <x:v>Turbin-Generator#2</x:v>
      </x:c>
      <x:c r="D26" s="19" t="str">
        <x:v>LJ20MAA10HB010-001</x:v>
      </x:c>
      <x:c r="E26" s="19" t="str">
        <x:v>ISO 10816-2</x:v>
      </x:c>
      <x:c r="F26" s="19" t="str">
        <x:v>ISO 10816-2</x:v>
      </x:c>
      <x:c r="G26" s="19" t="str">
        <x:v>W39</x:v>
      </x:c>
      <x:c r="H26" s="30" t="n">
        <x:v>45560</x:v>
      </x:c>
      <x:c r="I26" s="19" t="str">
        <x:v>PREWARNING</x:v>
      </x:c>
      <x:c r="J26" s="19" t="str">
        <x:v>GENERATOR</x:v>
      </x:c>
      <x:c r="K26" s="19" t="str">
        <x:v>TURBINE</x:v>
      </x:c>
      <x:c r="L26" s="19" t="str">
        <x:v>China Changjiang Energy Corp.</x:v>
      </x:c>
      <x:c r="M26" s="19" t="str"/>
      <x:c r="N26" s="19" t="str"/>
      <x:c r="O26" s="19" t="str"/>
      <x:c r="P26" s="19" t="str"/>
      <x:c r="Q26" s="19" t="str"/>
      <x:c r="R26" s="19" t="str"/>
      <x:c r="S26" s="19" t="str"/>
      <x:c r="T26" s="19" t="str"/>
      <x:c r="U26" s="19" t="str"/>
      <x:c r="V26" s="19" t="str"/>
      <x:c r="W26" s="19" t="str">
        <x:v>37.5 MVA</x:v>
      </x:c>
      <x:c r="X26" s="19" t="str">
        <x:v>30 MW</x:v>
      </x:c>
      <x:c r="Y26" s="19" t="str">
        <x:v>6.3 kV Phase 3 Wire</x:v>
      </x:c>
      <x:c r="Z26" s="19" t="str"/>
      <x:c r="AA26" s="19" t="str">
        <x:v>3000 r/min</x:v>
      </x:c>
      <x:c r="AB26" s="19" t="str">
        <x:v>50 Hz</x:v>
      </x:c>
      <x:c r="AC26" s="19" t="str"/>
      <x:c r="AD26" s="19" t="str">
        <x:v>China Changjiang Energy Corp.</x:v>
      </x:c>
      <x:c r="AE26" s="19" t="str">
        <x:v>3000 r/min</x:v>
      </x:c>
      <x:c r="AF26" s="19" t="str"/>
      <x:c r="AG26" s="19" t="str"/>
      <x:c r="AH26" s="19" t="str"/>
      <x:c r="AI26" s="19" t="str"/>
      <x:c r="AJ26" s="19" t="str"/>
      <x:c r="AK26" s="19" t="str"/>
      <x:c r="AL26" s="19" t="str"/>
      <x:c r="AM26" s="19" t="str"/>
      <x:c r="AN26" s="19" t="str">
        <x:v>30 MW</x:v>
      </x:c>
      <x:c r="AO26" s="19" t="str">
        <x:v>6</x:v>
      </x:c>
      <x:c r="AP26" s="19" t="str">
        <x:v>19</x:v>
      </x:c>
      <x:c r="AQ26" s="19" t="str">
        <x:v>Digital Electric Hidroulic (Woodard 505)</x:v>
      </x:c>
      <x:c r="AR26" s="19" t="str">
        <x:v>Turbine-Generator</x:v>
      </x:c>
      <x:c r="AS26" s="19" t="n">
        <x:v>50</x:v>
      </x:c>
      <x:c r="AT26" s="19" t="str"/>
      <x:c r="AU26" s="19" t="str">
        <x:v>Type, Mfg : China Changjiang Energy Corp. Manufacturer : China Changjiang Energy Corp. | Rated Capacity : 37.5 MVA Speed : 3000 r/min | Rated Active Power : 30 MW Ekstraction : 6 | Rated Stator Voltage : 6.3 kV Phase 3 Wire NCR : 30 MW | Rated Stator Current : Stages : 19 | Rated Speed : 3000 r/min | Governoor Type : Digital Electric Hidroulic (Woodard 505) | Rated Frequency : 50 Hz | :</x:v>
      </x:c>
      <x:c r="AV26" t="str">
        <x:f>IF(AS26&lt;=36,"UNIT 1",IF(AS26&lt;=70,"UNIT 2",IF(AS26&lt;=110,"UNIT 3","COMMON")))</x:f>
        <x:v>UNIT 2</x:v>
      </x:c>
    </x:row>
    <x:row r="27">
      <x:c r="A27" s="19" t="str">
        <x:v>REC-026</x:v>
      </x:c>
      <x:c r="B27" s="19" t="str">
        <x:v>AST-026</x:v>
      </x:c>
      <x:c r="C27" s="19" t="str">
        <x:v>Motor Condensat Pump 1#2</x:v>
      </x:c>
      <x:c r="D27" s="19" t="str">
        <x:v>LJ20LCB10AP010-001</x:v>
      </x:c>
      <x:c r="E27" s="19" t="str">
        <x:v>ISO 10816-3 (GROUP 2 RIGID)</x:v>
      </x:c>
      <x:c r="F27" s="19" t="str">
        <x:v>ISO 10816-3 (GROUP 2 RIGID)</x:v>
      </x:c>
      <x:c r="G27" s="19" t="str">
        <x:v>W36</x:v>
      </x:c>
      <x:c r="H27" s="30" t="n">
        <x:v>45537</x:v>
      </x:c>
      <x:c r="I27" s="19" t="str">
        <x:v>NORMAL</x:v>
      </x:c>
      <x:c r="J27" s="19" t="str">
        <x:v>MOTOR</x:v>
      </x:c>
      <x:c r="K27" s="19" t="str">
        <x:v>POMPA</x:v>
      </x:c>
      <x:c r="L27" s="19" t="str">
        <x:v>YLB 250-2-4</x:v>
      </x:c>
      <x:c r="M27" s="19" t="str">
        <x:v>1430 rpm</x:v>
      </x:c>
      <x:c r="N27" s="19" t="str">
        <x:v>75 kW</x:v>
      </x:c>
      <x:c r="O27" s="19" t="str">
        <x:v>-</x:v>
      </x:c>
      <x:c r="P27" s="19" t="str">
        <x:v>-</x:v>
      </x:c>
      <x:c r="Q27" s="19" t="str">
        <x:v>-</x:v>
      </x:c>
      <x:c r="R27" s="19" t="str">
        <x:v>-</x:v>
      </x:c>
      <x:c r="S27" s="19" t="str">
        <x:v>Rigid</x:v>
      </x:c>
      <x:c r="T27" s="19" t="str"/>
      <x:c r="U27" s="19" t="str"/>
      <x:c r="V27" s="19" t="str"/>
      <x:c r="W27" s="19" t="str"/>
      <x:c r="X27" s="19" t="str"/>
      <x:c r="Y27" s="19" t="str"/>
      <x:c r="Z27" s="19" t="str"/>
      <x:c r="AA27" s="19" t="str"/>
      <x:c r="AB27" s="19" t="str"/>
      <x:c r="AC27" s="19" t="str"/>
      <x:c r="AD27" s="19" t="str"/>
      <x:c r="AE27" s="19" t="str"/>
      <x:c r="AF27" s="19" t="str"/>
      <x:c r="AG27" s="19" t="str"/>
      <x:c r="AH27" s="19" t="str"/>
      <x:c r="AI27" s="19" t="str"/>
      <x:c r="AJ27" s="19" t="str"/>
      <x:c r="AK27" s="19" t="str">
        <x:v>-</x:v>
      </x:c>
      <x:c r="AL27" s="19" t="str">
        <x:v>-</x:v>
      </x:c>
      <x:c r="AM27" s="19" t="str"/>
      <x:c r="AN27" s="19" t="str"/>
      <x:c r="AO27" s="19" t="str"/>
      <x:c r="AP27" s="19" t="str"/>
      <x:c r="AQ27" s="19" t="str"/>
      <x:c r="AR27" s="19" t="str">
        <x:v>Pump</x:v>
      </x:c>
      <x:c r="AS27" s="19" t="n">
        <x:v>52</x:v>
      </x:c>
      <x:c r="AT27" s="19" t="str"/>
      <x:c r="AU27" s="19" t="str">
        <x:v>Type, Mfg : YLB 250-2-4 Type, Mfg. : | Speed : 1430 rpm Speed : | Power : 75 kW Power : | Bearing Type : - Capacity : | Inboard Bearing : - Type Bearing : | Outboard Bearing : - Inboard Bearing : - | Rotor Bar : - Onboard Bearing : - | Foundation : Rigid Total Impeler 5</x:v>
      </x:c>
      <x:c r="AV27" t="str">
        <x:f>IF(AS27&lt;=36,"UNIT 1",IF(AS27&lt;=70,"UNIT 2",IF(AS27&lt;=110,"UNIT 3","COMMON")))</x:f>
        <x:v>UNIT 2</x:v>
      </x:c>
    </x:row>
    <x:row r="28">
      <x:c r="A28" s="19" t="str">
        <x:v>REC-027</x:v>
      </x:c>
      <x:c r="B28" s="19" t="str">
        <x:v>AST-027</x:v>
      </x:c>
      <x:c r="C28" s="19" t="str">
        <x:v>Motor Vacuum Pump 1#2</x:v>
      </x:c>
      <x:c r="D28" s="19" t="str">
        <x:v>LJ20MAG10AP011-001</x:v>
      </x:c>
      <x:c r="E28" s="19" t="str">
        <x:v>ISO 10816-3 (GROUP 2 RIGID)</x:v>
      </x:c>
      <x:c r="F28" s="19" t="str">
        <x:v>ISO 10816-3 (GROUP 2 RIGID)</x:v>
      </x:c>
      <x:c r="G28" s="19" t="str">
        <x:v>W39</x:v>
      </x:c>
      <x:c r="H28" s="30" t="n">
        <x:v>45561</x:v>
      </x:c>
      <x:c r="I28" s="19" t="str">
        <x:v>PREWARNING</x:v>
      </x:c>
      <x:c r="J28" s="19" t="str">
        <x:v>MOTOR</x:v>
      </x:c>
      <x:c r="K28" s="19" t="str">
        <x:v>POMPA</x:v>
      </x:c>
      <x:c r="L28" s="19" t="str">
        <x:v>Y2 - 250-6</x:v>
      </x:c>
      <x:c r="M28" s="19" t="str">
        <x:v>980 rpm</x:v>
      </x:c>
      <x:c r="N28" s="19" t="str">
        <x:v>37 kW</x:v>
      </x:c>
      <x:c r="O28" s="19" t="str"/>
      <x:c r="P28" s="19" t="str"/>
      <x:c r="Q28" s="19" t="str"/>
      <x:c r="R28" s="19" t="str">
        <x:v>-</x:v>
      </x:c>
      <x:c r="S28" s="19" t="str">
        <x:v>Rigid</x:v>
      </x:c>
      <x:c r="T28" s="19" t="str"/>
      <x:c r="U28" s="19" t="str"/>
      <x:c r="V28" s="19" t="str"/>
      <x:c r="W28" s="19" t="str"/>
      <x:c r="X28" s="19" t="str"/>
      <x:c r="Y28" s="19" t="str"/>
      <x:c r="Z28" s="19" t="str"/>
      <x:c r="AA28" s="19" t="str"/>
      <x:c r="AB28" s="19" t="str"/>
      <x:c r="AC28" s="19" t="str"/>
      <x:c r="AD28" s="19" t="str"/>
      <x:c r="AE28" s="19" t="str"/>
      <x:c r="AF28" s="19" t="str"/>
      <x:c r="AG28" s="19" t="str"/>
      <x:c r="AH28" s="19" t="str"/>
      <x:c r="AI28" s="19" t="str"/>
      <x:c r="AJ28" s="19" t="str"/>
      <x:c r="AK28" s="19" t="str">
        <x:v>-</x:v>
      </x:c>
      <x:c r="AL28" s="19" t="str">
        <x:v>-</x:v>
      </x:c>
      <x:c r="AM28" s="19" t="str"/>
      <x:c r="AN28" s="19" t="str"/>
      <x:c r="AO28" s="19" t="str"/>
      <x:c r="AP28" s="19" t="str"/>
      <x:c r="AQ28" s="19" t="str"/>
      <x:c r="AR28" s="19" t="str">
        <x:v>Pump</x:v>
      </x:c>
      <x:c r="AS28" s="19" t="n">
        <x:v>54</x:v>
      </x:c>
      <x:c r="AT28" s="19" t="str"/>
      <x:c r="AU28" s="19" t="str">
        <x:v>Type, Mfg : Y2 - 250-6 Type, Mfg. : | Speed : 980 rpm Speed : | Power : 37 kW Power : | Bearing Type : Capacity : | Inboard Bearing : Type Bearing : | Outboard Bearing : Inboard Bearing : - | Rotor Bar : - Onboard Bearing : - | Foundation : Rigid Total Impeler</x:v>
      </x:c>
      <x:c r="AV28" t="str">
        <x:f>IF(AS28&lt;=36,"UNIT 1",IF(AS28&lt;=70,"UNIT 2",IF(AS28&lt;=110,"UNIT 3","COMMON")))</x:f>
        <x:v>UNIT 2</x:v>
      </x:c>
    </x:row>
    <x:row r="29">
      <x:c r="A29" s="19" t="str">
        <x:v>REC-028</x:v>
      </x:c>
      <x:c r="B29" s="19" t="str">
        <x:v>AST-028</x:v>
      </x:c>
      <x:c r="C29" s="19" t="str">
        <x:v>Motor Vacuum Pump 2#2</x:v>
      </x:c>
      <x:c r="D29" s="19" t="str">
        <x:v>LJ20MAG10AP012-001</x:v>
      </x:c>
      <x:c r="E29" s="19" t="str">
        <x:v>ISO 10816-3 (GROUP 2 RIGID)</x:v>
      </x:c>
      <x:c r="F29" s="19" t="str">
        <x:v>ISO 10816-3 (GROUP 2 RIGID)</x:v>
      </x:c>
      <x:c r="G29" s="19" t="str">
        <x:v>W39</x:v>
      </x:c>
      <x:c r="H29" s="30" t="n">
        <x:v>45561</x:v>
      </x:c>
      <x:c r="I29" s="19" t="str">
        <x:v>PREWARNING</x:v>
      </x:c>
      <x:c r="J29" s="19" t="str">
        <x:v>MOTOR</x:v>
      </x:c>
      <x:c r="K29" s="19" t="str">
        <x:v>POMPA</x:v>
      </x:c>
      <x:c r="L29" s="19" t="str">
        <x:v>Y2 - 250-6</x:v>
      </x:c>
      <x:c r="M29" s="19" t="str">
        <x:v>980 rpm</x:v>
      </x:c>
      <x:c r="N29" s="19" t="str">
        <x:v>37 kW</x:v>
      </x:c>
      <x:c r="O29" s="19" t="str"/>
      <x:c r="P29" s="19" t="str"/>
      <x:c r="Q29" s="19" t="str"/>
      <x:c r="R29" s="19" t="str">
        <x:v>-</x:v>
      </x:c>
      <x:c r="S29" s="19" t="str">
        <x:v>Rigid</x:v>
      </x:c>
      <x:c r="T29" s="19" t="str"/>
      <x:c r="U29" s="19" t="str"/>
      <x:c r="V29" s="19" t="str"/>
      <x:c r="W29" s="19" t="str"/>
      <x:c r="X29" s="19" t="str"/>
      <x:c r="Y29" s="19" t="str"/>
      <x:c r="Z29" s="19" t="str"/>
      <x:c r="AA29" s="19" t="str"/>
      <x:c r="AB29" s="19" t="str"/>
      <x:c r="AC29" s="19" t="str"/>
      <x:c r="AD29" s="19" t="str"/>
      <x:c r="AE29" s="19" t="str"/>
      <x:c r="AF29" s="19" t="str"/>
      <x:c r="AG29" s="19" t="str"/>
      <x:c r="AH29" s="19" t="str"/>
      <x:c r="AI29" s="19" t="str"/>
      <x:c r="AJ29" s="19" t="str"/>
      <x:c r="AK29" s="19" t="str">
        <x:v>-</x:v>
      </x:c>
      <x:c r="AL29" s="19" t="str">
        <x:v>-</x:v>
      </x:c>
      <x:c r="AM29" s="19" t="str"/>
      <x:c r="AN29" s="19" t="str"/>
      <x:c r="AO29" s="19" t="str"/>
      <x:c r="AP29" s="19" t="str"/>
      <x:c r="AQ29" s="19" t="str"/>
      <x:c r="AR29" s="19" t="str">
        <x:v>Pump</x:v>
      </x:c>
      <x:c r="AS29" s="19" t="n">
        <x:v>56</x:v>
      </x:c>
      <x:c r="AT29" s="19" t="str"/>
      <x:c r="AU29" s="19" t="str">
        <x:v>Type, Mfg : Y2 - 250-6 Type, Mfg. : | Speed : 980 rpm Speed : | Power : 37 kW Power : | Bearing Type : Capacity : | Inboard Bearing : Type Bearing : | Outboard Bearing : Inboard Bearing : - | Rotor Bar : - Onboard Bearing : - | Foundation : Rigid Total Impeler 5</x:v>
      </x:c>
      <x:c r="AV29" t="str">
        <x:f>IF(AS29&lt;=36,"UNIT 1",IF(AS29&lt;=70,"UNIT 2",IF(AS29&lt;=110,"UNIT 3","COMMON")))</x:f>
        <x:v>UNIT 2</x:v>
      </x:c>
    </x:row>
    <x:row r="30">
      <x:c r="A30" s="19" t="str">
        <x:v>REC-029</x:v>
      </x:c>
      <x:c r="B30" s="19" t="str">
        <x:v>AST-029</x:v>
      </x:c>
      <x:c r="C30" s="19" t="str">
        <x:v>Motor Boiler Feed Pump 2#2</x:v>
      </x:c>
      <x:c r="D30" s="19" t="str">
        <x:v>LJ20LAC10AP002-001</x:v>
      </x:c>
      <x:c r="E30" s="19" t="str">
        <x:v>ISO 10816-3 (GROUP 1 RIGID)</x:v>
      </x:c>
      <x:c r="F30" s="19" t="str">
        <x:v>ISO 10816-3 (GROUP 1 RIGID)</x:v>
      </x:c>
      <x:c r="G30" s="19" t="str">
        <x:v>W36</x:v>
      </x:c>
      <x:c r="H30" s="30" t="n">
        <x:v>45537</x:v>
      </x:c>
      <x:c r="I30" s="19" t="str">
        <x:v>PREWARNING</x:v>
      </x:c>
      <x:c r="J30" s="19" t="str">
        <x:v>MOTOR</x:v>
      </x:c>
      <x:c r="K30" s="19" t="str">
        <x:v>FAN</x:v>
      </x:c>
      <x:c r="L30" s="19" t="str">
        <x:v>SY23372-1028, QINGJIANG</x:v>
      </x:c>
      <x:c r="M30" s="19" t="str">
        <x:v>2980 rpm</x:v>
      </x:c>
      <x:c r="N30" s="19" t="str">
        <x:v>1000</x:v>
      </x:c>
      <x:c r="O30" s="19" t="str"/>
      <x:c r="P30" s="19" t="str">
        <x:v>NU 224EC</x:v>
      </x:c>
      <x:c r="Q30" s="19" t="str">
        <x:v>6224/C3</x:v>
      </x:c>
      <x:c r="R30" s="19" t="str">
        <x:v>-</x:v>
      </x:c>
      <x:c r="S30" s="19" t="str">
        <x:v>Rigid</x:v>
      </x:c>
      <x:c r="T30" s="19" t="str"/>
      <x:c r="U30" s="19" t="str"/>
      <x:c r="V30" s="19" t="str"/>
      <x:c r="W30" s="19" t="str"/>
      <x:c r="X30" s="19" t="str"/>
      <x:c r="Y30" s="19" t="str"/>
      <x:c r="Z30" s="19" t="str"/>
      <x:c r="AA30" s="19" t="str"/>
      <x:c r="AB30" s="19" t="str"/>
      <x:c r="AC30" s="19" t="str">
        <x:v>SHENYANG AST PUMP MANUFACTURING CO.,LTD</x:v>
      </x:c>
      <x:c r="AD30" s="19" t="str"/>
      <x:c r="AE30" s="19" t="str">
        <x:v>2980 rpm</x:v>
      </x:c>
      <x:c r="AF30" s="19" t="str"/>
      <x:c r="AG30" s="19" t="str">
        <x:v>140</x:v>
      </x:c>
      <x:c r="AH30" s="19" t="str"/>
      <x:c r="AI30" s="19" t="str"/>
      <x:c r="AJ30" s="19" t="str"/>
      <x:c r="AK30" s="19" t="str">
        <x:v>-</x:v>
      </x:c>
      <x:c r="AL30" s="19" t="str">
        <x:v>-</x:v>
      </x:c>
      <x:c r="AM30" s="19" t="str"/>
      <x:c r="AN30" s="19" t="str"/>
      <x:c r="AO30" s="19" t="str"/>
      <x:c r="AP30" s="19" t="str"/>
      <x:c r="AQ30" s="19" t="str"/>
      <x:c r="AR30" s="19" t="str">
        <x:v>Pump</x:v>
      </x:c>
      <x:c r="AS30" s="19" t="n">
        <x:v>58</x:v>
      </x:c>
      <x:c r="AT30" s="19" t="str"/>
      <x:c r="AU30" s="19" t="str">
        <x:v>Type, Mfg : SY23372-1028, QINGJIANG Type, Mfg. : SHENYANG AST PUMP MANUFACTURING CO.,LTD | Speed : 2980 rpm Speed : 2980 rpm | Power : 1000 Capacity : 140 | Bearing Type : Bearing Type : | Inboard Bearing : NU 224EC Inboard Bearing : - | Outboard Bearing : 6224/C3 Onboard Bearing : - | Rotor Bar : - Total Blade - | Foundation : Rigid</x:v>
      </x:c>
      <x:c r="AV30" t="str">
        <x:f>IF(AS30&lt;=36,"UNIT 1",IF(AS30&lt;=70,"UNIT 2",IF(AS30&lt;=110,"UNIT 3","COMMON")))</x:f>
        <x:v>UNIT 2</x:v>
      </x:c>
    </x:row>
    <x:row r="31">
      <x:c r="A31" s="19" t="str">
        <x:v>REC-030</x:v>
      </x:c>
      <x:c r="B31" s="19" t="str">
        <x:v>AST-030</x:v>
      </x:c>
      <x:c r="C31" s="19" t="str">
        <x:v>Motor CCCWP 1#2</x:v>
      </x:c>
      <x:c r="D31" s="19" t="str">
        <x:v>LJ20PGB10AP001-001</x:v>
      </x:c>
      <x:c r="E31" s="19" t="str">
        <x:v>ISO 10816-3 (GROUP 2 RIGID)</x:v>
      </x:c>
      <x:c r="F31" s="19" t="str">
        <x:v>ISO 10816-3 (GROUP 2 RIGID)</x:v>
      </x:c>
      <x:c r="G31" s="19" t="str">
        <x:v>W39</x:v>
      </x:c>
      <x:c r="H31" s="30" t="n">
        <x:v>45561</x:v>
      </x:c>
      <x:c r="I31" s="19" t="str">
        <x:v>PREWARNING</x:v>
      </x:c>
      <x:c r="J31" s="19" t="str">
        <x:v>MOTOR</x:v>
      </x:c>
      <x:c r="K31" s="19" t="str">
        <x:v>POMPA</x:v>
      </x:c>
      <x:c r="L31" s="19" t="str">
        <x:v>Y2 - 280-4</x:v>
      </x:c>
      <x:c r="M31" s="19" t="str">
        <x:v>980 rpm</x:v>
      </x:c>
      <x:c r="N31" s="19" t="str">
        <x:v>75 kW</x:v>
      </x:c>
      <x:c r="O31" s="19" t="str">
        <x:v>-</x:v>
      </x:c>
      <x:c r="P31" s="19" t="str">
        <x:v>-</x:v>
      </x:c>
      <x:c r="Q31" s="19" t="str">
        <x:v>-</x:v>
      </x:c>
      <x:c r="R31" s="19" t="str">
        <x:v>-</x:v>
      </x:c>
      <x:c r="S31" s="19" t="str">
        <x:v>Rigid</x:v>
      </x:c>
      <x:c r="T31" s="19" t="str"/>
      <x:c r="U31" s="19" t="str"/>
      <x:c r="V31" s="19" t="str"/>
      <x:c r="W31" s="19" t="str"/>
      <x:c r="X31" s="19" t="str"/>
      <x:c r="Y31" s="19" t="str"/>
      <x:c r="Z31" s="19" t="str"/>
      <x:c r="AA31" s="19" t="str"/>
      <x:c r="AB31" s="19" t="str"/>
      <x:c r="AC31" s="19" t="str"/>
      <x:c r="AD31" s="19" t="str"/>
      <x:c r="AE31" s="19" t="str"/>
      <x:c r="AF31" s="19" t="str"/>
      <x:c r="AG31" s="19" t="str"/>
      <x:c r="AH31" s="19" t="str"/>
      <x:c r="AI31" s="19" t="str"/>
      <x:c r="AJ31" s="19" t="str"/>
      <x:c r="AK31" s="19" t="str">
        <x:v>-</x:v>
      </x:c>
      <x:c r="AL31" s="19" t="str">
        <x:v>-</x:v>
      </x:c>
      <x:c r="AM31" s="19" t="str"/>
      <x:c r="AN31" s="19" t="str"/>
      <x:c r="AO31" s="19" t="str"/>
      <x:c r="AP31" s="19" t="str"/>
      <x:c r="AQ31" s="19" t="str"/>
      <x:c r="AR31" s="19" t="str">
        <x:v>Pump</x:v>
      </x:c>
      <x:c r="AS31" s="19" t="n">
        <x:v>60</x:v>
      </x:c>
      <x:c r="AT31" s="19" t="str"/>
      <x:c r="AU31" s="19" t="str">
        <x:v>Type, Mfg : Y2 - 280-4 Type, Mfg. : | Speed : 980 rpm Speed : | Power : 75 kW Power : | Bearing Type : - Capacity : | Inboard Bearing : - Type Bearing : | Outboard Bearing : - Inboard Bearing : - | Rotor Bar : - Onboard Bearing : - | Foundation : Rigid Total Impeler 5</x:v>
      </x:c>
      <x:c r="AV31" t="str">
        <x:f>IF(AS31&lt;=36,"UNIT 1",IF(AS31&lt;=70,"UNIT 2",IF(AS31&lt;=110,"UNIT 3","COMMON")))</x:f>
        <x:v>UNIT 2</x:v>
      </x:c>
    </x:row>
    <x:row r="32">
      <x:c r="A32" s="19" t="str">
        <x:v>REC-031</x:v>
      </x:c>
      <x:c r="B32" s="19" t="str">
        <x:v>AST-031</x:v>
      </x:c>
      <x:c r="C32" s="19" t="str">
        <x:v>Motor CCCWP 2#2</x:v>
      </x:c>
      <x:c r="D32" s="19" t="str">
        <x:v>LJ20PGB10AP002-001</x:v>
      </x:c>
      <x:c r="E32" s="19" t="str">
        <x:v>ISO 10816-3 (GROUP 2 RIGID)</x:v>
      </x:c>
      <x:c r="F32" s="19" t="str">
        <x:v>ISO 10816-3 (GROUP 2 RIGID)</x:v>
      </x:c>
      <x:c r="G32" s="19" t="str">
        <x:v>W39</x:v>
      </x:c>
      <x:c r="H32" s="30" t="n">
        <x:v>45561</x:v>
      </x:c>
      <x:c r="I32" s="19" t="str">
        <x:v>PREWARNING</x:v>
      </x:c>
      <x:c r="J32" s="19" t="str">
        <x:v>MOTOR</x:v>
      </x:c>
      <x:c r="K32" s="19" t="str">
        <x:v>POMPA</x:v>
      </x:c>
      <x:c r="L32" s="19" t="str">
        <x:v>Y2 - 280-4</x:v>
      </x:c>
      <x:c r="M32" s="19" t="str">
        <x:v>980 rpm</x:v>
      </x:c>
      <x:c r="N32" s="19" t="str">
        <x:v>75 kW</x:v>
      </x:c>
      <x:c r="O32" s="19" t="str"/>
      <x:c r="P32" s="19" t="str"/>
      <x:c r="Q32" s="19" t="str"/>
      <x:c r="R32" s="19" t="str">
        <x:v>-</x:v>
      </x:c>
      <x:c r="S32" s="19" t="str">
        <x:v>Rigid</x:v>
      </x:c>
      <x:c r="T32" s="19" t="str"/>
      <x:c r="U32" s="19" t="str"/>
      <x:c r="V32" s="19" t="str"/>
      <x:c r="W32" s="19" t="str"/>
      <x:c r="X32" s="19" t="str"/>
      <x:c r="Y32" s="19" t="str"/>
      <x:c r="Z32" s="19" t="str"/>
      <x:c r="AA32" s="19" t="str"/>
      <x:c r="AB32" s="19" t="str"/>
      <x:c r="AC32" s="19" t="str"/>
      <x:c r="AD32" s="19" t="str"/>
      <x:c r="AE32" s="19" t="str"/>
      <x:c r="AF32" s="19" t="str"/>
      <x:c r="AG32" s="19" t="str"/>
      <x:c r="AH32" s="19" t="str"/>
      <x:c r="AI32" s="19" t="str"/>
      <x:c r="AJ32" s="19" t="str"/>
      <x:c r="AK32" s="19" t="str">
        <x:v>-</x:v>
      </x:c>
      <x:c r="AL32" s="19" t="str">
        <x:v>-</x:v>
      </x:c>
      <x:c r="AM32" s="19" t="str"/>
      <x:c r="AN32" s="19" t="str"/>
      <x:c r="AO32" s="19" t="str"/>
      <x:c r="AP32" s="19" t="str"/>
      <x:c r="AQ32" s="19" t="str"/>
      <x:c r="AR32" s="19" t="str">
        <x:v>Pump</x:v>
      </x:c>
      <x:c r="AS32" s="19" t="n">
        <x:v>62</x:v>
      </x:c>
      <x:c r="AT32" s="19" t="str"/>
      <x:c r="AU32" s="19" t="str">
        <x:v>Type, Mfg : Y2 - 280-4 Type, Mfg. : | Speed : 980 rpm Speed : | Power : 75 kW Power : | Bearing Type : Capacity : | Inboard Bearing : Type Bearing : | Outboard Bearing : Inboard Bearing : - | Rotor Bar : - Onboard Bearing : - | Foundation : Rigid Total Impeler 5</x:v>
      </x:c>
      <x:c r="AV32" t="str">
        <x:f>IF(AS32&lt;=36,"UNIT 1",IF(AS32&lt;=70,"UNIT 2",IF(AS32&lt;=110,"UNIT 3","COMMON")))</x:f>
        <x:v>UNIT 2</x:v>
      </x:c>
    </x:row>
    <x:row r="33">
      <x:c r="A33" s="19" t="str">
        <x:v>REC-032</x:v>
      </x:c>
      <x:c r="B33" s="19" t="str">
        <x:v>AST-032</x:v>
      </x:c>
      <x:c r="C33" s="19" t="str">
        <x:v>Motor CWP 355 Kw 1#2</x:v>
      </x:c>
      <x:c r="D33" s="19" t="str">
        <x:v>LJ20PAC10AP001-001</x:v>
      </x:c>
      <x:c r="E33" s="19" t="str">
        <x:v>ISO 10816-3 (GROUP 1 RIGID))</x:v>
      </x:c>
      <x:c r="F33" s="19" t="str">
        <x:v>ISO 10816-3 (GROUP 1 RIGID)</x:v>
      </x:c>
      <x:c r="G33" s="19" t="str">
        <x:v>W38</x:v>
      </x:c>
      <x:c r="H33" s="30" t="n">
        <x:v>45552</x:v>
      </x:c>
      <x:c r="I33" s="19" t="str">
        <x:v>NORMAL</x:v>
      </x:c>
      <x:c r="J33" s="19" t="str">
        <x:v>MOTOR</x:v>
      </x:c>
      <x:c r="K33" s="19" t="str">
        <x:v>POMPA</x:v>
      </x:c>
      <x:c r="L33" s="19" t="str">
        <x:v>YLKK400-6</x:v>
      </x:c>
      <x:c r="M33" s="19" t="str">
        <x:v>991</x:v>
      </x:c>
      <x:c r="N33" s="19" t="str">
        <x:v>315</x:v>
      </x:c>
      <x:c r="O33" s="19" t="str"/>
      <x:c r="P33" s="19" t="str"/>
      <x:c r="Q33" s="19" t="str"/>
      <x:c r="R33" s="19" t="str">
        <x:v>-</x:v>
      </x:c>
      <x:c r="S33" s="19" t="str">
        <x:v>Rigid</x:v>
      </x:c>
      <x:c r="T33" s="19" t="str"/>
      <x:c r="U33" s="19" t="str"/>
      <x:c r="V33" s="19" t="str"/>
      <x:c r="W33" s="19" t="str"/>
      <x:c r="X33" s="19" t="str"/>
      <x:c r="Y33" s="19" t="str"/>
      <x:c r="Z33" s="19" t="str"/>
      <x:c r="AA33" s="19" t="str"/>
      <x:c r="AB33" s="19" t="str"/>
      <x:c r="AC33" s="19" t="str"/>
      <x:c r="AD33" s="19" t="str"/>
      <x:c r="AE33" s="19" t="str"/>
      <x:c r="AF33" s="19" t="str"/>
      <x:c r="AG33" s="19" t="str"/>
      <x:c r="AH33" s="19" t="str"/>
      <x:c r="AI33" s="19" t="str"/>
      <x:c r="AJ33" s="19" t="str"/>
      <x:c r="AK33" s="19" t="str"/>
      <x:c r="AL33" s="19" t="str"/>
      <x:c r="AM33" s="19" t="str"/>
      <x:c r="AN33" s="19" t="str"/>
      <x:c r="AO33" s="19" t="str"/>
      <x:c r="AP33" s="19" t="str"/>
      <x:c r="AQ33" s="19" t="str"/>
      <x:c r="AR33" s="19" t="str">
        <x:v>Pump</x:v>
      </x:c>
      <x:c r="AS33" s="19" t="n">
        <x:v>64</x:v>
      </x:c>
      <x:c r="AT33" s="19" t="str">
        <x:v>Class dinormalisasi pada kolom terpisah; nilai sumber dipertahankan</x:v>
      </x:c>
      <x:c r="AU33" s="19" t="str">
        <x:v>Type, Mfg : YLKK400-6 Type, Mfg. : | Speed : 991 Speed : | Power : 315 Bearing Type : | Bearing Type : Inboard Bearing : | Inboard Bearing : Onboard Bearing : | Outboard Bearing : Total Blade : | Rotor Bar : - | Foundation : Rigid</x:v>
      </x:c>
      <x:c r="AV33" t="str">
        <x:f>IF(AS33&lt;=36,"UNIT 1",IF(AS33&lt;=70,"UNIT 2",IF(AS33&lt;=110,"UNIT 3","COMMON")))</x:f>
        <x:v>UNIT 2</x:v>
      </x:c>
    </x:row>
    <x:row r="34">
      <x:c r="A34" s="19" t="str">
        <x:v>REC-033</x:v>
      </x:c>
      <x:c r="B34" s="19" t="str">
        <x:v>AST-033</x:v>
      </x:c>
      <x:c r="C34" s="19" t="str">
        <x:v>Motor CWP 355 Kw 2#2</x:v>
      </x:c>
      <x:c r="D34" s="19" t="str">
        <x:v>LJ20PAC10AP002-001</x:v>
      </x:c>
      <x:c r="E34" s="19" t="str">
        <x:v>ISO 10816-3 (GROUP 1 RIGID))</x:v>
      </x:c>
      <x:c r="F34" s="19" t="str">
        <x:v>ISO 10816-3 (GROUP 1 RIGID)</x:v>
      </x:c>
      <x:c r="G34" s="19" t="str">
        <x:v>W36</x:v>
      </x:c>
      <x:c r="H34" s="30" t="n">
        <x:v>45537</x:v>
      </x:c>
      <x:c r="I34" s="19" t="str">
        <x:v>NORMAL</x:v>
      </x:c>
      <x:c r="J34" s="19" t="str">
        <x:v>MOTOR</x:v>
      </x:c>
      <x:c r="K34" s="19" t="str">
        <x:v>POMPA</x:v>
      </x:c>
      <x:c r="L34" s="19" t="str">
        <x:v>YLKK400-6</x:v>
      </x:c>
      <x:c r="M34" s="19" t="str">
        <x:v>991</x:v>
      </x:c>
      <x:c r="N34" s="19" t="str">
        <x:v>315</x:v>
      </x:c>
      <x:c r="O34" s="19" t="str"/>
      <x:c r="P34" s="19" t="str"/>
      <x:c r="Q34" s="19" t="str"/>
      <x:c r="R34" s="19" t="str">
        <x:v>-</x:v>
      </x:c>
      <x:c r="S34" s="19" t="str">
        <x:v>Rigid</x:v>
      </x:c>
      <x:c r="T34" s="19" t="str"/>
      <x:c r="U34" s="19" t="str"/>
      <x:c r="V34" s="19" t="str"/>
      <x:c r="W34" s="19" t="str"/>
      <x:c r="X34" s="19" t="str"/>
      <x:c r="Y34" s="19" t="str"/>
      <x:c r="Z34" s="19" t="str"/>
      <x:c r="AA34" s="19" t="str"/>
      <x:c r="AB34" s="19" t="str"/>
      <x:c r="AC34" s="19" t="str"/>
      <x:c r="AD34" s="19" t="str"/>
      <x:c r="AE34" s="19" t="str"/>
      <x:c r="AF34" s="19" t="str"/>
      <x:c r="AG34" s="19" t="str"/>
      <x:c r="AH34" s="19" t="str"/>
      <x:c r="AI34" s="19" t="str"/>
      <x:c r="AJ34" s="19" t="str"/>
      <x:c r="AK34" s="19" t="str"/>
      <x:c r="AL34" s="19" t="str"/>
      <x:c r="AM34" s="19" t="str"/>
      <x:c r="AN34" s="19" t="str"/>
      <x:c r="AO34" s="19" t="str"/>
      <x:c r="AP34" s="19" t="str"/>
      <x:c r="AQ34" s="19" t="str"/>
      <x:c r="AR34" s="19" t="str">
        <x:v>Pump</x:v>
      </x:c>
      <x:c r="AS34" s="19" t="n">
        <x:v>66</x:v>
      </x:c>
      <x:c r="AT34" s="19" t="str">
        <x:v>Class dinormalisasi pada kolom terpisah; nilai sumber dipertahankan</x:v>
      </x:c>
      <x:c r="AU34" s="19" t="str">
        <x:v>Type, Mfg : YLKK400-6 Type, Mfg. : | Speed : 991 Speed : | Power : 315 Bearing Type : | Bearing Type : Inboard Bearing : | Inboard Bearing : Onboard Bearing : | Outboard Bearing : Total Blade : | Rotor Bar : - | Foundation : Rigid</x:v>
      </x:c>
      <x:c r="AV34" t="str">
        <x:f>IF(AS34&lt;=36,"UNIT 1",IF(AS34&lt;=70,"UNIT 2",IF(AS34&lt;=110,"UNIT 3","COMMON")))</x:f>
        <x:v>UNIT 2</x:v>
      </x:c>
    </x:row>
    <x:row r="35">
      <x:c r="A35" s="19" t="str">
        <x:v>REC-034</x:v>
      </x:c>
      <x:c r="B35" s="19" t="str">
        <x:v>AST-034</x:v>
      </x:c>
      <x:c r="C35" s="19" t="str">
        <x:v>ACA OIL PUMP UNIT 2</x:v>
      </x:c>
      <x:c r="D35" s="19" t="str"/>
      <x:c r="E35" s="19" t="str">
        <x:v>ISO 10816-3 (GROUP 2 RIGID)</x:v>
      </x:c>
      <x:c r="F35" s="19" t="str">
        <x:v>ISO 10816-3 (GROUP 2 RIGID)</x:v>
      </x:c>
      <x:c r="G35" s="19" t="str">
        <x:v>W38</x:v>
      </x:c>
      <x:c r="H35" s="30" t="n">
        <x:v>45552</x:v>
      </x:c>
      <x:c r="I35" s="19" t="str">
        <x:v>PREWARNING</x:v>
      </x:c>
      <x:c r="J35" s="19" t="str">
        <x:v>MOTOR</x:v>
      </x:c>
      <x:c r="K35" s="19" t="str">
        <x:v>POMPA</x:v>
      </x:c>
      <x:c r="L35" s="19" t="str">
        <x:v>Y2 - 250-6</x:v>
      </x:c>
      <x:c r="M35" s="19" t="str">
        <x:v>980 rpm</x:v>
      </x:c>
      <x:c r="N35" s="19" t="str">
        <x:v>37 kW</x:v>
      </x:c>
      <x:c r="O35" s="19" t="str"/>
      <x:c r="P35" s="19" t="str"/>
      <x:c r="Q35" s="19" t="str"/>
      <x:c r="R35" s="19" t="str">
        <x:v>-</x:v>
      </x:c>
      <x:c r="S35" s="19" t="str">
        <x:v>Rigid</x:v>
      </x:c>
      <x:c r="T35" s="19" t="str"/>
      <x:c r="U35" s="19" t="str"/>
      <x:c r="V35" s="19" t="str"/>
      <x:c r="W35" s="19" t="str"/>
      <x:c r="X35" s="19" t="str"/>
      <x:c r="Y35" s="19" t="str"/>
      <x:c r="Z35" s="19" t="str"/>
      <x:c r="AA35" s="19" t="str"/>
      <x:c r="AB35" s="19" t="str"/>
      <x:c r="AC35" s="19" t="str"/>
      <x:c r="AD35" s="19" t="str"/>
      <x:c r="AE35" s="19" t="str"/>
      <x:c r="AF35" s="19" t="str"/>
      <x:c r="AG35" s="19" t="str"/>
      <x:c r="AH35" s="19" t="str"/>
      <x:c r="AI35" s="19" t="str"/>
      <x:c r="AJ35" s="19" t="str"/>
      <x:c r="AK35" s="19" t="str">
        <x:v>-</x:v>
      </x:c>
      <x:c r="AL35" s="19" t="str">
        <x:v>-</x:v>
      </x:c>
      <x:c r="AM35" s="19" t="str"/>
      <x:c r="AN35" s="19" t="str"/>
      <x:c r="AO35" s="19" t="str"/>
      <x:c r="AP35" s="19" t="str"/>
      <x:c r="AQ35" s="19" t="str"/>
      <x:c r="AR35" s="19" t="str">
        <x:v>Pump</x:v>
      </x:c>
      <x:c r="AS35" s="19" t="n">
        <x:v>68</x:v>
      </x:c>
      <x:c r="AT35" s="19" t="str">
        <x:v>KKS kosong pada sumber PDF; Metadata aset yang sama muncul pada halaman 68, 70</x:v>
      </x:c>
      <x:c r="AU35" s="19" t="str">
        <x:v>Type, Mfg : Y2 - 250-6 Type, Mfg. : | Speed : 980 rpm Speed : | Power : 37 kW Power : | Bearing Type : Capacity : | Inboard Bearing : Type Bearing : | Outboard Bearing : Inboard Bearing : - | Rotor Bar : - Onboard Bearing : - | Foundation : Rigid Total Impeler 5</x:v>
      </x:c>
      <x:c r="AV35" t="str">
        <x:f>IF(AS35&lt;=36,"UNIT 1",IF(AS35&lt;=70,"UNIT 2",IF(AS35&lt;=110,"UNIT 3","COMMON")))</x:f>
        <x:v>UNIT 2</x:v>
      </x:c>
    </x:row>
    <x:row r="36">
      <x:c r="A36" s="19" t="str">
        <x:v>REC-035</x:v>
      </x:c>
      <x:c r="B36" s="19" t="str">
        <x:v>AST-034</x:v>
      </x:c>
      <x:c r="C36" s="19" t="str">
        <x:v>ACA OIL PUMP UNIT 2</x:v>
      </x:c>
      <x:c r="D36" s="19" t="str"/>
      <x:c r="E36" s="19" t="str">
        <x:v>ISO 10816-3 (GROUP 2 RIGID)</x:v>
      </x:c>
      <x:c r="F36" s="19" t="str">
        <x:v>ISO 10816-3 (GROUP 2 RIGID)</x:v>
      </x:c>
      <x:c r="G36" s="19" t="str">
        <x:v>W38</x:v>
      </x:c>
      <x:c r="H36" s="30" t="n">
        <x:v>45552</x:v>
      </x:c>
      <x:c r="I36" s="19" t="str">
        <x:v>PREWARNING</x:v>
      </x:c>
      <x:c r="J36" s="19" t="str">
        <x:v>MOTOR</x:v>
      </x:c>
      <x:c r="K36" s="19" t="str">
        <x:v>POMPA</x:v>
      </x:c>
      <x:c r="L36" s="19" t="str">
        <x:v>Y2 - 250-6</x:v>
      </x:c>
      <x:c r="M36" s="19" t="str">
        <x:v>980 rpm</x:v>
      </x:c>
      <x:c r="N36" s="19" t="str">
        <x:v>37 kW</x:v>
      </x:c>
      <x:c r="O36" s="19" t="str"/>
      <x:c r="P36" s="19" t="str"/>
      <x:c r="Q36" s="19" t="str"/>
      <x:c r="R36" s="19" t="str">
        <x:v>-</x:v>
      </x:c>
      <x:c r="S36" s="19" t="str">
        <x:v>Rigid</x:v>
      </x:c>
      <x:c r="T36" s="19" t="str"/>
      <x:c r="U36" s="19" t="str"/>
      <x:c r="V36" s="19" t="str"/>
      <x:c r="W36" s="19" t="str"/>
      <x:c r="X36" s="19" t="str"/>
      <x:c r="Y36" s="19" t="str"/>
      <x:c r="Z36" s="19" t="str"/>
      <x:c r="AA36" s="19" t="str"/>
      <x:c r="AB36" s="19" t="str"/>
      <x:c r="AC36" s="19" t="str"/>
      <x:c r="AD36" s="19" t="str"/>
      <x:c r="AE36" s="19" t="str"/>
      <x:c r="AF36" s="19" t="str"/>
      <x:c r="AG36" s="19" t="str"/>
      <x:c r="AH36" s="19" t="str"/>
      <x:c r="AI36" s="19" t="str"/>
      <x:c r="AJ36" s="19" t="str"/>
      <x:c r="AK36" s="19" t="str">
        <x:v>-</x:v>
      </x:c>
      <x:c r="AL36" s="19" t="str">
        <x:v>-</x:v>
      </x:c>
      <x:c r="AM36" s="19" t="str"/>
      <x:c r="AN36" s="19" t="str"/>
      <x:c r="AO36" s="19" t="str"/>
      <x:c r="AP36" s="19" t="str"/>
      <x:c r="AQ36" s="19" t="str"/>
      <x:c r="AR36" s="19" t="str">
        <x:v>Pump</x:v>
      </x:c>
      <x:c r="AS36" s="19" t="n">
        <x:v>70</x:v>
      </x:c>
      <x:c r="AT36" s="19" t="str">
        <x:v>KKS kosong pada sumber PDF; Metadata aset yang sama muncul pada halaman 68, 70</x:v>
      </x:c>
      <x:c r="AU36" s="19" t="str">
        <x:v>Type, Mfg : Y2 - 250-6 Type, Mfg. : | Speed : 980 rpm Speed : | Power : 37 kW Power : | Bearing Type : Capacity : | Inboard Bearing : Type Bearing : | Outboard Bearing : Inboard Bearing : - | Rotor Bar : - Onboard Bearing : - | Foundation : Rigid Total Impeler 5</x:v>
      </x:c>
      <x:c r="AV36" t="str">
        <x:f>IF(AS36&lt;=36,"UNIT 1",IF(AS36&lt;=70,"UNIT 2",IF(AS36&lt;=110,"UNIT 3","COMMON")))</x:f>
        <x:v>UNIT 2</x:v>
      </x:c>
    </x:row>
    <x:row r="37">
      <x:c r="A37" s="19" t="str">
        <x:v>REC-036</x:v>
      </x:c>
      <x:c r="B37" s="19" t="str">
        <x:v>AST-035</x:v>
      </x:c>
      <x:c r="C37" s="19" t="str">
        <x:v>Motor ID Fan 1#3</x:v>
      </x:c>
      <x:c r="D37" s="19" t="str">
        <x:v>LJ03HNC10AN001-001</x:v>
      </x:c>
      <x:c r="E37" s="19" t="str">
        <x:v>ISO 10816-3 (GROUP 1 RIGID)</x:v>
      </x:c>
      <x:c r="F37" s="19" t="str">
        <x:v>ISO 10816-3 (GROUP 1 RIGID)</x:v>
      </x:c>
      <x:c r="G37" s="19" t="str">
        <x:v>W38</x:v>
      </x:c>
      <x:c r="H37" s="30" t="n">
        <x:v>45552</x:v>
      </x:c>
      <x:c r="I37" s="19" t="str">
        <x:v>NORMAL</x:v>
      </x:c>
      <x:c r="J37" s="19" t="str">
        <x:v>MOTOR</x:v>
      </x:c>
      <x:c r="K37" s="19" t="str">
        <x:v>FAN</x:v>
      </x:c>
      <x:c r="L37" s="19" t="str">
        <x:v>YKK 4504-6</x:v>
      </x:c>
      <x:c r="M37" s="19" t="str">
        <x:v>990</x:v>
      </x:c>
      <x:c r="N37" s="19" t="str">
        <x:v>450</x:v>
      </x:c>
      <x:c r="O37" s="19" t="str">
        <x:v>Roller Bearing</x:v>
      </x:c>
      <x:c r="P37" s="19" t="str">
        <x:v>NU228E/C3</x:v>
      </x:c>
      <x:c r="Q37" s="19" t="str">
        <x:v>6226/C3</x:v>
      </x:c>
      <x:c r="R37" s="19" t="str">
        <x:v>-</x:v>
      </x:c>
      <x:c r="S37" s="19" t="str">
        <x:v>Rigid</x:v>
      </x:c>
      <x:c r="T37" s="19" t="str"/>
      <x:c r="U37" s="19" t="str"/>
      <x:c r="V37" s="19" t="str"/>
      <x:c r="W37" s="19" t="str"/>
      <x:c r="X37" s="19" t="str"/>
      <x:c r="Y37" s="19" t="str"/>
      <x:c r="Z37" s="19" t="str"/>
      <x:c r="AA37" s="19" t="str"/>
      <x:c r="AB37" s="19" t="str"/>
      <x:c r="AC37" s="19" t="str">
        <x:v>25 SB-P</x:v>
      </x:c>
      <x:c r="AD37" s="19" t="str"/>
      <x:c r="AE37" s="19" t="str">
        <x:v>2980 r/min</x:v>
      </x:c>
      <x:c r="AF37" s="19" t="str"/>
      <x:c r="AG37" s="19" t="str">
        <x:v>165 m3/h</x:v>
      </x:c>
      <x:c r="AH37" s="19" t="str"/>
      <x:c r="AI37" s="19" t="str"/>
      <x:c r="AJ37" s="19" t="str">
        <x:v>Journal Bearing</x:v>
      </x:c>
      <x:c r="AK37" s="19" t="str">
        <x:v>-</x:v>
      </x:c>
      <x:c r="AL37" s="19" t="str">
        <x:v>-</x:v>
      </x:c>
      <x:c r="AM37" s="19" t="str"/>
      <x:c r="AN37" s="19" t="str"/>
      <x:c r="AO37" s="19" t="str"/>
      <x:c r="AP37" s="19" t="str"/>
      <x:c r="AQ37" s="19" t="str"/>
      <x:c r="AR37" s="19" t="str">
        <x:v>Fan</x:v>
      </x:c>
      <x:c r="AS37" s="19" t="n">
        <x:v>72</x:v>
      </x:c>
      <x:c r="AT37" s="19" t="str"/>
      <x:c r="AU37" s="19" t="str">
        <x:v>Type, Mfg : YKK 4504-6 Type, Mfg. : 25 SB-P | Speed : 990 Speed : 2980 r/min | Power : 450 Capacity : 165 m3/h | Bearing Type : Roller Bearing Bearing Type : Journal Bearing | Inboard Bearing : NU228E/C3 Inboard Bearing : - | Outboard Bearing : 6226/C3 Onboard Bearing : - | Rotor Bar : - Total Blade - | Foundation : Rigid</x:v>
      </x:c>
      <x:c r="AV37" t="str">
        <x:f>IF(AS37&lt;=36,"UNIT 1",IF(AS37&lt;=70,"UNIT 2",IF(AS37&lt;=110,"UNIT 3","COMMON")))</x:f>
        <x:v>UNIT 3</x:v>
      </x:c>
    </x:row>
    <x:row r="38">
      <x:c r="A38" s="19" t="str">
        <x:v>REC-037</x:v>
      </x:c>
      <x:c r="B38" s="19" t="str">
        <x:v>AST-036</x:v>
      </x:c>
      <x:c r="C38" s="19" t="str">
        <x:v>Motor ID Fan 2#3</x:v>
      </x:c>
      <x:c r="D38" s="19" t="str">
        <x:v>LJ03HNC20AN001-001</x:v>
      </x:c>
      <x:c r="E38" s="19" t="str">
        <x:v>ISO 10816-3 (GROUP 1 RIGID)</x:v>
      </x:c>
      <x:c r="F38" s="19" t="str">
        <x:v>ISO 10816-3 (GROUP 1 RIGID)</x:v>
      </x:c>
      <x:c r="G38" s="19" t="str">
        <x:v>W36</x:v>
      </x:c>
      <x:c r="H38" s="30" t="n">
        <x:v>45538</x:v>
      </x:c>
      <x:c r="I38" s="19" t="str">
        <x:v>NORMAL</x:v>
      </x:c>
      <x:c r="J38" s="19" t="str">
        <x:v>MOTOR</x:v>
      </x:c>
      <x:c r="K38" s="19" t="str">
        <x:v>FAN</x:v>
      </x:c>
      <x:c r="L38" s="19" t="str">
        <x:v>YKK 4504-6</x:v>
      </x:c>
      <x:c r="M38" s="19" t="str">
        <x:v>990</x:v>
      </x:c>
      <x:c r="N38" s="19" t="str">
        <x:v>450</x:v>
      </x:c>
      <x:c r="O38" s="19" t="str">
        <x:v>Roller Bearing</x:v>
      </x:c>
      <x:c r="P38" s="19" t="str">
        <x:v>NU228E/C3</x:v>
      </x:c>
      <x:c r="Q38" s="19" t="str">
        <x:v>6226/C3</x:v>
      </x:c>
      <x:c r="R38" s="19" t="str">
        <x:v>-</x:v>
      </x:c>
      <x:c r="S38" s="19" t="str">
        <x:v>Rigid</x:v>
      </x:c>
      <x:c r="T38" s="19" t="str"/>
      <x:c r="U38" s="19" t="str"/>
      <x:c r="V38" s="19" t="str"/>
      <x:c r="W38" s="19" t="str"/>
      <x:c r="X38" s="19" t="str"/>
      <x:c r="Y38" s="19" t="str"/>
      <x:c r="Z38" s="19" t="str"/>
      <x:c r="AA38" s="19" t="str"/>
      <x:c r="AB38" s="19" t="str"/>
      <x:c r="AC38" s="19" t="str">
        <x:v>25 SB-P</x:v>
      </x:c>
      <x:c r="AD38" s="19" t="str"/>
      <x:c r="AE38" s="19" t="str">
        <x:v>2980 r/min</x:v>
      </x:c>
      <x:c r="AF38" s="19" t="str"/>
      <x:c r="AG38" s="19" t="str">
        <x:v>165 m3/h</x:v>
      </x:c>
      <x:c r="AH38" s="19" t="str"/>
      <x:c r="AI38" s="19" t="str"/>
      <x:c r="AJ38" s="19" t="str">
        <x:v>Journal Bearing</x:v>
      </x:c>
      <x:c r="AK38" s="19" t="str">
        <x:v>-</x:v>
      </x:c>
      <x:c r="AL38" s="19" t="str">
        <x:v>-</x:v>
      </x:c>
      <x:c r="AM38" s="19" t="str"/>
      <x:c r="AN38" s="19" t="str"/>
      <x:c r="AO38" s="19" t="str"/>
      <x:c r="AP38" s="19" t="str"/>
      <x:c r="AQ38" s="19" t="str"/>
      <x:c r="AR38" s="19" t="str">
        <x:v>Fan</x:v>
      </x:c>
      <x:c r="AS38" s="19" t="n">
        <x:v>74</x:v>
      </x:c>
      <x:c r="AT38" s="19" t="str"/>
      <x:c r="AU38" s="19" t="str">
        <x:v>Type, Mfg : YKK 4504-6 Type, Mfg. : 25 SB-P | Speed : 990 Speed : 2980 r/min | Power : 450 Capacity : 165 m3/h | Bearing Type : Roller Bearing Bearing Type : Journal Bearing | Inboard Bearing : NU228E/C3 Inboard Bearing : - | Outboard Bearing : 6226/C3 Onboard Bearing : - | Rotor Bar : - Total Blade - | Foundation : Rigid</x:v>
      </x:c>
      <x:c r="AV38" t="str">
        <x:f>IF(AS38&lt;=36,"UNIT 1",IF(AS38&lt;=70,"UNIT 2",IF(AS38&lt;=110,"UNIT 3","COMMON")))</x:f>
        <x:v>UNIT 3</x:v>
      </x:c>
    </x:row>
    <x:row r="39">
      <x:c r="A39" s="19" t="str">
        <x:v>REC-038</x:v>
      </x:c>
      <x:c r="B39" s="19" t="str">
        <x:v>AST-037</x:v>
      </x:c>
      <x:c r="C39" s="19" t="str">
        <x:v>Motor Primary Air Fan#3</x:v>
      </x:c>
      <x:c r="D39" s="19" t="str">
        <x:v>LJ03HLB10AN001-001</x:v>
      </x:c>
      <x:c r="E39" s="19" t="str">
        <x:v>ISO 10816-3 (GROUP 1 RIGID)</x:v>
      </x:c>
      <x:c r="F39" s="19" t="str">
        <x:v>ISO 10816-3 (GROUP 1 RIGID)</x:v>
      </x:c>
      <x:c r="G39" s="19" t="str">
        <x:v>W36</x:v>
      </x:c>
      <x:c r="H39" s="30" t="n">
        <x:v>45538</x:v>
      </x:c>
      <x:c r="I39" s="19" t="str">
        <x:v>PREWARNING</x:v>
      </x:c>
      <x:c r="J39" s="19" t="str">
        <x:v>MOTOR</x:v>
      </x:c>
      <x:c r="K39" s="19" t="str">
        <x:v>FAN</x:v>
      </x:c>
      <x:c r="L39" s="19" t="str">
        <x:v>YKK 4504-4</x:v>
      </x:c>
      <x:c r="M39" s="19" t="str">
        <x:v>1490</x:v>
      </x:c>
      <x:c r="N39" s="19" t="str">
        <x:v>630</x:v>
      </x:c>
      <x:c r="O39" s="19" t="str">
        <x:v>Roller Bearing</x:v>
      </x:c>
      <x:c r="P39" s="19" t="str">
        <x:v>NU226E/C3</x:v>
      </x:c>
      <x:c r="Q39" s="19" t="str">
        <x:v>6228/C3</x:v>
      </x:c>
      <x:c r="R39" s="19" t="str">
        <x:v>-</x:v>
      </x:c>
      <x:c r="S39" s="19" t="str">
        <x:v>Rigid</x:v>
      </x:c>
      <x:c r="T39" s="19" t="str"/>
      <x:c r="U39" s="19" t="str"/>
      <x:c r="V39" s="19" t="str"/>
      <x:c r="W39" s="19" t="str"/>
      <x:c r="X39" s="19" t="str"/>
      <x:c r="Y39" s="19" t="str"/>
      <x:c r="Z39" s="19" t="str"/>
      <x:c r="AA39" s="19" t="str"/>
      <x:c r="AB39" s="19" t="str"/>
      <x:c r="AC39" s="19" t="str">
        <x:v>G6-30 19.50</x:v>
      </x:c>
      <x:c r="AD39" s="19" t="str"/>
      <x:c r="AE39" s="19" t="str">
        <x:v>1485 r/min</x:v>
      </x:c>
      <x:c r="AF39" s="19" t="str">
        <x:v>630 Kw</x:v>
      </x:c>
      <x:c r="AG39" s="19" t="str"/>
      <x:c r="AH39" s="19" t="str"/>
      <x:c r="AI39" s="19" t="str">
        <x:v>400871 m2/h</x:v>
      </x:c>
      <x:c r="AJ39" s="19" t="str">
        <x:v>Journal Bearing</x:v>
      </x:c>
      <x:c r="AK39" s="19" t="str">
        <x:v>-</x:v>
      </x:c>
      <x:c r="AL39" s="19" t="str">
        <x:v>-</x:v>
      </x:c>
      <x:c r="AM39" s="19" t="str">
        <x:v>-</x:v>
      </x:c>
      <x:c r="AN39" s="19" t="str"/>
      <x:c r="AO39" s="19" t="str"/>
      <x:c r="AP39" s="19" t="str"/>
      <x:c r="AQ39" s="19" t="str"/>
      <x:c r="AR39" s="19" t="str">
        <x:v>Fan</x:v>
      </x:c>
      <x:c r="AS39" s="19" t="n">
        <x:v>76</x:v>
      </x:c>
      <x:c r="AT39" s="19" t="str"/>
      <x:c r="AU39" s="19" t="str">
        <x:v>Type, Mfg : YKK 4504-4 Type, Mfg. : G6-30 19.50 | Speed : 1490 Speed : 1485 r/min | Power : 630 Power : 630 Kw | Bearing Type : Roller Bearing Flow Rate : 400871 m2/h | Inboard Bearing : NU226E/C3 Bearing Type : Journal Bearing | Outboard Bearing : 6228/C3 Inboard Bearing : - | Rotor Bar : - Onboard Bearing : - | Foundation : Rigid Total Blade : -</x:v>
      </x:c>
      <x:c r="AV39" t="str">
        <x:f>IF(AS39&lt;=36,"UNIT 1",IF(AS39&lt;=70,"UNIT 2",IF(AS39&lt;=110,"UNIT 3","COMMON")))</x:f>
        <x:v>UNIT 3</x:v>
      </x:c>
    </x:row>
    <x:row r="40">
      <x:c r="A40" s="19" t="str">
        <x:v>REC-039</x:v>
      </x:c>
      <x:c r="B40" s="19" t="str">
        <x:v>AST-038</x:v>
      </x:c>
      <x:c r="C40" s="19" t="str">
        <x:v>Motor Secondary Air Fan#3</x:v>
      </x:c>
      <x:c r="D40" s="19" t="str">
        <x:v>LJ03HLB20AN001-001</x:v>
      </x:c>
      <x:c r="E40" s="19" t="str">
        <x:v>ISO 10816-3 (GROUP 1 RIGID)</x:v>
      </x:c>
      <x:c r="F40" s="19" t="str">
        <x:v>ISO 10816-3 (GROUP 1 RIGID)</x:v>
      </x:c>
      <x:c r="G40" s="19" t="str">
        <x:v>W39</x:v>
      </x:c>
      <x:c r="H40" s="30" t="n">
        <x:v>45561</x:v>
      </x:c>
      <x:c r="I40" s="19" t="str">
        <x:v>PREWARNING</x:v>
      </x:c>
      <x:c r="J40" s="19" t="str">
        <x:v>MOTOR</x:v>
      </x:c>
      <x:c r="K40" s="19" t="str">
        <x:v>FAN</x:v>
      </x:c>
      <x:c r="L40" s="19" t="str">
        <x:v>YKK 4504-4</x:v>
      </x:c>
      <x:c r="M40" s="19" t="str">
        <x:v>1485</x:v>
      </x:c>
      <x:c r="N40" s="19" t="str">
        <x:v>400</x:v>
      </x:c>
      <x:c r="O40" s="19" t="str">
        <x:v>Roller Bearing</x:v>
      </x:c>
      <x:c r="P40" s="19" t="str">
        <x:v>NU224EC</x:v>
      </x:c>
      <x:c r="Q40" s="19" t="str">
        <x:v>6224/C3</x:v>
      </x:c>
      <x:c r="R40" s="19" t="str">
        <x:v>-</x:v>
      </x:c>
      <x:c r="S40" s="19" t="str">
        <x:v>Rigid</x:v>
      </x:c>
      <x:c r="T40" s="19" t="str"/>
      <x:c r="U40" s="19" t="str"/>
      <x:c r="V40" s="19" t="str"/>
      <x:c r="W40" s="19" t="str"/>
      <x:c r="X40" s="19" t="str"/>
      <x:c r="Y40" s="19" t="str"/>
      <x:c r="Z40" s="19" t="str"/>
      <x:c r="AA40" s="19" t="str"/>
      <x:c r="AB40" s="19" t="str"/>
      <x:c r="AC40" s="19" t="str">
        <x:v>G6-40 16.20</x:v>
      </x:c>
      <x:c r="AD40" s="19" t="str"/>
      <x:c r="AE40" s="19" t="str">
        <x:v>1485 r/min</x:v>
      </x:c>
      <x:c r="AF40" s="19" t="str">
        <x:v>400 Kw</x:v>
      </x:c>
      <x:c r="AG40" s="19" t="str"/>
      <x:c r="AH40" s="19" t="str"/>
      <x:c r="AI40" s="19" t="str">
        <x:v>87120 m2/h</x:v>
      </x:c>
      <x:c r="AJ40" s="19" t="str">
        <x:v>Journal Bearing</x:v>
      </x:c>
      <x:c r="AK40" s="19" t="str">
        <x:v>-</x:v>
      </x:c>
      <x:c r="AL40" s="19" t="str">
        <x:v>-</x:v>
      </x:c>
      <x:c r="AM40" s="19" t="str">
        <x:v>-</x:v>
      </x:c>
      <x:c r="AN40" s="19" t="str"/>
      <x:c r="AO40" s="19" t="str"/>
      <x:c r="AP40" s="19" t="str"/>
      <x:c r="AQ40" s="19" t="str"/>
      <x:c r="AR40" s="19" t="str">
        <x:v>Fan</x:v>
      </x:c>
      <x:c r="AS40" s="19" t="n">
        <x:v>78</x:v>
      </x:c>
      <x:c r="AT40" s="19" t="str"/>
      <x:c r="AU40" s="19" t="str">
        <x:v>Type, Mfg : YKK 4504-4 Type, Mfg. : G6-40 16.20 | Speed : 1485 Speed : 1485 r/min | Power : 400 Power : 400 Kw | Bearing Type : Roller Bearing Flow Rate : 87120 m2/h | Inboard Bearing : NU224EC Bearing Type : Journal Bearing | Outboard Bearing : 6224/C3 Inboard Bearing : - | Rotor Bar : - Onboard Bearing : - | Foundation : Rigid Total Blade : -</x:v>
      </x:c>
      <x:c r="AV40" t="str">
        <x:f>IF(AS40&lt;=36,"UNIT 1",IF(AS40&lt;=70,"UNIT 2",IF(AS40&lt;=110,"UNIT 3","COMMON")))</x:f>
        <x:v>UNIT 3</x:v>
      </x:c>
    </x:row>
    <x:row r="41">
      <x:c r="A41" s="19" t="str">
        <x:v>REC-040</x:v>
      </x:c>
      <x:c r="B41" s="19" t="str">
        <x:v>AST-039</x:v>
      </x:c>
      <x:c r="C41" s="19" t="str">
        <x:v>Motor Recirculating Air Fan 2#3</x:v>
      </x:c>
      <x:c r="D41" s="19" t="str">
        <x:v>LJ03PAD11AN001-001</x:v>
      </x:c>
      <x:c r="E41" s="19" t="str">
        <x:v>ISO 10816-3 (GROUP 2 RIGID)</x:v>
      </x:c>
      <x:c r="F41" s="19" t="str">
        <x:v>ISO 10816-3 (GROUP 2 RIGID)</x:v>
      </x:c>
      <x:c r="G41" s="19" t="str">
        <x:v>W36</x:v>
      </x:c>
      <x:c r="H41" s="30" t="n">
        <x:v>45538</x:v>
      </x:c>
      <x:c r="I41" s="19" t="str">
        <x:v>PREWARNING</x:v>
      </x:c>
      <x:c r="J41" s="19" t="str">
        <x:v>MOTOR</x:v>
      </x:c>
      <x:c r="K41" s="19" t="str">
        <x:v>FAN</x:v>
      </x:c>
      <x:c r="L41" s="19" t="str">
        <x:v>Y2-250M-4-B3</x:v>
      </x:c>
      <x:c r="M41" s="19" t="str">
        <x:v>1480</x:v>
      </x:c>
      <x:c r="N41" s="19" t="str">
        <x:v>55</x:v>
      </x:c>
      <x:c r="O41" s="19" t="str">
        <x:v>Ball Bearing</x:v>
      </x:c>
      <x:c r="P41" s="19" t="str">
        <x:v>6314/CM</x:v>
      </x:c>
      <x:c r="Q41" s="19" t="str">
        <x:v>6313/CM</x:v>
      </x:c>
      <x:c r="R41" s="19" t="str">
        <x:v>-</x:v>
      </x:c>
      <x:c r="S41" s="19" t="str">
        <x:v>Rigid</x:v>
      </x:c>
      <x:c r="T41" s="19" t="str"/>
      <x:c r="U41" s="19" t="str"/>
      <x:c r="V41" s="19" t="str"/>
      <x:c r="W41" s="19" t="str"/>
      <x:c r="X41" s="19" t="str"/>
      <x:c r="Y41" s="19" t="str"/>
      <x:c r="Z41" s="19" t="str"/>
      <x:c r="AA41" s="19" t="str"/>
      <x:c r="AB41" s="19" t="str"/>
      <x:c r="AC41" s="19" t="str"/>
      <x:c r="AD41" s="19" t="str"/>
      <x:c r="AE41" s="19" t="str"/>
      <x:c r="AF41" s="19" t="str"/>
      <x:c r="AG41" s="19" t="str"/>
      <x:c r="AH41" s="19" t="str"/>
      <x:c r="AI41" s="19" t="str"/>
      <x:c r="AJ41" s="19" t="str"/>
      <x:c r="AK41" s="19" t="str"/>
      <x:c r="AL41" s="19" t="str"/>
      <x:c r="AM41" s="19" t="str"/>
      <x:c r="AN41" s="19" t="str"/>
      <x:c r="AO41" s="19" t="str"/>
      <x:c r="AP41" s="19" t="str"/>
      <x:c r="AQ41" s="19" t="str"/>
      <x:c r="AR41" s="19" t="str">
        <x:v>Fan</x:v>
      </x:c>
      <x:c r="AS41" s="19" t="n">
        <x:v>80</x:v>
      </x:c>
      <x:c r="AT41" s="19" t="str"/>
      <x:c r="AU41" s="19" t="str">
        <x:v>Type, Mfg : Y2-250M-4-B3 Type, Mfg. : | Speed : 1480 Speed : | Power : 55 Bearing Type : | Bearing Type : Ball Bearing Inboard Bearing : | Inboard Bearing : 6314/CM Onboard Bearing : | Outboard Bearing : 6313/CM Total Blade : | Rotor Bar : - | Foundation : Rigid</x:v>
      </x:c>
      <x:c r="AV41" t="str">
        <x:f>IF(AS41&lt;=36,"UNIT 1",IF(AS41&lt;=70,"UNIT 2",IF(AS41&lt;=110,"UNIT 3","COMMON")))</x:f>
        <x:v>UNIT 3</x:v>
      </x:c>
    </x:row>
    <x:row r="42">
      <x:c r="A42" s="19" t="str">
        <x:v>REC-041</x:v>
      </x:c>
      <x:c r="B42" s="19" t="str">
        <x:v>AST-040</x:v>
      </x:c>
      <x:c r="C42" s="19" t="str">
        <x:v>Turbin-Generator#3</x:v>
      </x:c>
      <x:c r="D42" s="19" t="str"/>
      <x:c r="E42" s="19" t="str">
        <x:v>ISO 10816-2 (GROUP 2 RIGID)</x:v>
      </x:c>
      <x:c r="F42" s="19" t="str">
        <x:v>ISO 10816-2 (GROUP 2 RIGID)</x:v>
      </x:c>
      <x:c r="G42" s="19" t="str">
        <x:v>W37</x:v>
      </x:c>
      <x:c r="H42" s="30" t="n">
        <x:v>45546</x:v>
      </x:c>
      <x:c r="I42" s="19" t="str">
        <x:v>NORMAL</x:v>
      </x:c>
      <x:c r="J42" s="19" t="str">
        <x:v>TURBINE</x:v>
      </x:c>
      <x:c r="K42" s="19" t="str">
        <x:v>GENERATOR</x:v>
      </x:c>
      <x:c r="L42" s="19" t="str">
        <x:v>Luoyang Generating Equipment Co., Ltd</x:v>
      </x:c>
      <x:c r="M42" s="19" t="str"/>
      <x:c r="N42" s="19" t="str"/>
      <x:c r="O42" s="19" t="str"/>
      <x:c r="P42" s="19" t="str"/>
      <x:c r="Q42" s="19" t="str"/>
      <x:c r="R42" s="19" t="str"/>
      <x:c r="S42" s="19" t="str"/>
      <x:c r="T42" s="19" t="str"/>
      <x:c r="U42" s="19" t="str"/>
      <x:c r="V42" s="19" t="str"/>
      <x:c r="W42" s="19" t="str">
        <x:v>37.5 MVA</x:v>
      </x:c>
      <x:c r="X42" s="19" t="str">
        <x:v>30 MW</x:v>
      </x:c>
      <x:c r="Y42" s="19" t="str">
        <x:v>6.3 kV</x:v>
      </x:c>
      <x:c r="Z42" s="19" t="str">
        <x:v>3437 A</x:v>
      </x:c>
      <x:c r="AA42" s="19" t="str">
        <x:v>3000 r/min</x:v>
      </x:c>
      <x:c r="AB42" s="19" t="str">
        <x:v>50 Hz</x:v>
      </x:c>
      <x:c r="AC42" s="19" t="str"/>
      <x:c r="AD42" s="19" t="str">
        <x:v>Qingdao Jieneng Steam Turbine</x:v>
      </x:c>
      <x:c r="AE42" s="19" t="str">
        <x:v>3000 r/min</x:v>
      </x:c>
      <x:c r="AF42" s="19" t="str"/>
      <x:c r="AG42" s="19" t="str"/>
      <x:c r="AH42" s="19" t="str"/>
      <x:c r="AI42" s="19" t="str"/>
      <x:c r="AJ42" s="19" t="str"/>
      <x:c r="AK42" s="19" t="str"/>
      <x:c r="AL42" s="19" t="str"/>
      <x:c r="AM42" s="19" t="str"/>
      <x:c r="AN42" s="19" t="str">
        <x:v>30 MW</x:v>
      </x:c>
      <x:c r="AO42" s="19" t="str">
        <x:v>6</x:v>
      </x:c>
      <x:c r="AP42" s="19" t="str">
        <x:v>18</x:v>
      </x:c>
      <x:c r="AQ42" s="19" t="str"/>
      <x:c r="AR42" s="19" t="str">
        <x:v>Turbine-Generator</x:v>
      </x:c>
      <x:c r="AS42" s="19" t="n">
        <x:v>82</x:v>
      </x:c>
      <x:c r="AT42" s="19" t="str">
        <x:v>KKS kosong pada sumber PDF</x:v>
      </x:c>
      <x:c r="AU42" s="19" t="str">
        <x:v>Type, Mfg : Luoyang Generating Equipment Co., Ltd Manufacturer : Qingdao Jieneng Steam Turbine | Rated Capacity : 37.5 MVA Speed : 3000 r/min | Rated Active Power : 30 MW Ekstraction : 6 | Rated Stator Voltage : 6.3 kV NCR : 30 MW | Rated Stator Current : 3437 A Stages : 18 | Rated Speed : 3000 r/min Digital electric Hidraulic (Woodward | Governoor Type : | Rated Frequency : 50 Hz 505) | :</x:v>
      </x:c>
      <x:c r="AV42" t="str">
        <x:f>IF(AS42&lt;=36,"UNIT 1",IF(AS42&lt;=70,"UNIT 2",IF(AS42&lt;=110,"UNIT 3","COMMON")))</x:f>
        <x:v>UNIT 3</x:v>
      </x:c>
    </x:row>
    <x:row r="43">
      <x:c r="A43" s="19" t="str">
        <x:v>REC-042</x:v>
      </x:c>
      <x:c r="B43" s="19" t="str">
        <x:v>AST-041</x:v>
      </x:c>
      <x:c r="C43" s="19" t="str">
        <x:v>Motor Condensat Pump 1#3</x:v>
      </x:c>
      <x:c r="D43" s="19" t="str">
        <x:v>LJ03LCB10AP001-001</x:v>
      </x:c>
      <x:c r="E43" s="19" t="str">
        <x:v>ISO 10816-3 (GROUP 2 RIGID)</x:v>
      </x:c>
      <x:c r="F43" s="19" t="str">
        <x:v>ISO 10816-3 (GROUP 2 RIGID)</x:v>
      </x:c>
      <x:c r="G43" s="19" t="str">
        <x:v>W36</x:v>
      </x:c>
      <x:c r="H43" s="30" t="n">
        <x:v>45538</x:v>
      </x:c>
      <x:c r="I43" s="19" t="str">
        <x:v>PREWARNING</x:v>
      </x:c>
      <x:c r="J43" s="19" t="str">
        <x:v>MOTOR</x:v>
      </x:c>
      <x:c r="K43" s="19" t="str">
        <x:v>POMPA</x:v>
      </x:c>
      <x:c r="L43" s="19" t="str">
        <x:v>HN2-225</x:v>
      </x:c>
      <x:c r="M43" s="19" t="str">
        <x:v>2970 r/min</x:v>
      </x:c>
      <x:c r="N43" s="19" t="str">
        <x:v>45 Kw</x:v>
      </x:c>
      <x:c r="O43" s="19" t="str">
        <x:v>Roller Bearing</x:v>
      </x:c>
      <x:c r="P43" s="19" t="str">
        <x:v>6313-2z</x:v>
      </x:c>
      <x:c r="Q43" s="19" t="str">
        <x:v>6313-2z</x:v>
      </x:c>
      <x:c r="R43" s="19" t="str">
        <x:v>-</x:v>
      </x:c>
      <x:c r="S43" s="19" t="str">
        <x:v>Rigid</x:v>
      </x:c>
      <x:c r="T43" s="19" t="str"/>
      <x:c r="U43" s="19" t="str"/>
      <x:c r="V43" s="19" t="str"/>
      <x:c r="W43" s="19" t="str"/>
      <x:c r="X43" s="19" t="str"/>
      <x:c r="Y43" s="19" t="str"/>
      <x:c r="Z43" s="19" t="str"/>
      <x:c r="AA43" s="19" t="str"/>
      <x:c r="AB43" s="19" t="str"/>
      <x:c r="AC43" s="19" t="str">
        <x:v>Shandong Shuanglun Group Co.,Ltd</x:v>
      </x:c>
      <x:c r="AD43" s="19" t="str"/>
      <x:c r="AE43" s="19" t="str">
        <x:v>2950 r/min</x:v>
      </x:c>
      <x:c r="AF43" s="19" t="str">
        <x:v>45 Kw</x:v>
      </x:c>
      <x:c r="AG43" s="19" t="str">
        <x:v>52.5 m2/h</x:v>
      </x:c>
      <x:c r="AH43" s="19" t="str"/>
      <x:c r="AI43" s="19" t="str"/>
      <x:c r="AJ43" s="19" t="str">
        <x:v>Roller Bearing</x:v>
      </x:c>
      <x:c r="AK43" s="19" t="str">
        <x:v>-</x:v>
      </x:c>
      <x:c r="AL43" s="19" t="str">
        <x:v>-</x:v>
      </x:c>
      <x:c r="AM43" s="19" t="str"/>
      <x:c r="AN43" s="19" t="str"/>
      <x:c r="AO43" s="19" t="str"/>
      <x:c r="AP43" s="19" t="str"/>
      <x:c r="AQ43" s="19" t="str"/>
      <x:c r="AR43" s="19" t="str">
        <x:v>Pump</x:v>
      </x:c>
      <x:c r="AS43" s="19" t="n">
        <x:v>84</x:v>
      </x:c>
      <x:c r="AT43" s="19" t="str"/>
      <x:c r="AU43" s="19" t="str">
        <x:v>Type, Mfg : HN2-225 Type, Mfg. : Shandong Shuanglun Group Co.,Ltd | Speed : 2970 r/min Speed : 2950 r/min | Power : 45 Kw Power : 45 Kw | Bearing Type : Roller Bearing Capacity : 52.5 m2/h | Inboard Bearing : 6313-2z Type Bearing : Roller Bearing | Outboard Bearing : 6313-2z Inboard Bearing : - | Rotor Bar : - Onboard Bearing : - | Foundation : Rigid Total Impeler 5</x:v>
      </x:c>
      <x:c r="AV43" t="str">
        <x:f>IF(AS43&lt;=36,"UNIT 1",IF(AS43&lt;=70,"UNIT 2",IF(AS43&lt;=110,"UNIT 3","COMMON")))</x:f>
        <x:v>UNIT 3</x:v>
      </x:c>
    </x:row>
    <x:row r="44">
      <x:c r="A44" s="19" t="str">
        <x:v>REC-043</x:v>
      </x:c>
      <x:c r="B44" s="19" t="str">
        <x:v>AST-042</x:v>
      </x:c>
      <x:c r="C44" s="19" t="str">
        <x:v>Motor Condensat Pump 2#3</x:v>
      </x:c>
      <x:c r="D44" s="19" t="str">
        <x:v>LJ03LCB10AP002-001</x:v>
      </x:c>
      <x:c r="E44" s="19" t="str">
        <x:v>ISO 10816-3 (GROUP 2 RIGID)</x:v>
      </x:c>
      <x:c r="F44" s="19" t="str">
        <x:v>ISO 10816-3 (GROUP 2 RIGID)</x:v>
      </x:c>
      <x:c r="G44" s="19" t="str">
        <x:v>W38</x:v>
      </x:c>
      <x:c r="H44" s="30" t="n">
        <x:v>45553</x:v>
      </x:c>
      <x:c r="I44" s="19" t="str">
        <x:v>PREWARNING</x:v>
      </x:c>
      <x:c r="J44" s="19" t="str">
        <x:v>MOTOR</x:v>
      </x:c>
      <x:c r="K44" s="19" t="str">
        <x:v>POMPA</x:v>
      </x:c>
      <x:c r="L44" s="19" t="str">
        <x:v>HN2-225</x:v>
      </x:c>
      <x:c r="M44" s="19" t="str">
        <x:v>2970 r/min</x:v>
      </x:c>
      <x:c r="N44" s="19" t="str">
        <x:v>45 Kw</x:v>
      </x:c>
      <x:c r="O44" s="19" t="str">
        <x:v>Roller Bearing</x:v>
      </x:c>
      <x:c r="P44" s="19" t="str">
        <x:v>6313-2z</x:v>
      </x:c>
      <x:c r="Q44" s="19" t="str">
        <x:v>6313-2z</x:v>
      </x:c>
      <x:c r="R44" s="19" t="str">
        <x:v>-</x:v>
      </x:c>
      <x:c r="S44" s="19" t="str">
        <x:v>Rigid</x:v>
      </x:c>
      <x:c r="T44" s="19" t="str"/>
      <x:c r="U44" s="19" t="str"/>
      <x:c r="V44" s="19" t="str"/>
      <x:c r="W44" s="19" t="str"/>
      <x:c r="X44" s="19" t="str"/>
      <x:c r="Y44" s="19" t="str"/>
      <x:c r="Z44" s="19" t="str"/>
      <x:c r="AA44" s="19" t="str"/>
      <x:c r="AB44" s="19" t="str"/>
      <x:c r="AC44" s="19" t="str">
        <x:v>Shandong Shuanglun Group Co.,Ltd</x:v>
      </x:c>
      <x:c r="AD44" s="19" t="str"/>
      <x:c r="AE44" s="19" t="str">
        <x:v>2950 r/min</x:v>
      </x:c>
      <x:c r="AF44" s="19" t="str">
        <x:v>45 Kw</x:v>
      </x:c>
      <x:c r="AG44" s="19" t="str">
        <x:v>52.5 m2/h</x:v>
      </x:c>
      <x:c r="AH44" s="19" t="str"/>
      <x:c r="AI44" s="19" t="str"/>
      <x:c r="AJ44" s="19" t="str"/>
      <x:c r="AK44" s="19" t="str">
        <x:v>-</x:v>
      </x:c>
      <x:c r="AL44" s="19" t="str">
        <x:v>-</x:v>
      </x:c>
      <x:c r="AM44" s="19" t="str"/>
      <x:c r="AN44" s="19" t="str"/>
      <x:c r="AO44" s="19" t="str"/>
      <x:c r="AP44" s="19" t="str"/>
      <x:c r="AQ44" s="19" t="str"/>
      <x:c r="AR44" s="19" t="str">
        <x:v>Pump</x:v>
      </x:c>
      <x:c r="AS44" s="19" t="n">
        <x:v>86</x:v>
      </x:c>
      <x:c r="AT44" s="19" t="str"/>
      <x:c r="AU44" s="19" t="str">
        <x:v>Type, Mfg : HN2-225 Type, Mfg. : Shandong Shuanglun Group Co.,Ltd | Speed : 2970 r/min Speed : 2950 r/min | Power : 45 Kw Power : 45 Kw | Bearing Type : Roller Bearing Capacity : 52.5 m2/h | Inboard Bearing : 6313-2z Inboard Bearing : - | Outboard Bearing : 6313-2z Onboard Bearing : - | Rotor Bar : - Total Blade - | Foundation : Rigid</x:v>
      </x:c>
      <x:c r="AV44" t="str">
        <x:f>IF(AS44&lt;=36,"UNIT 1",IF(AS44&lt;=70,"UNIT 2",IF(AS44&lt;=110,"UNIT 3","COMMON")))</x:f>
        <x:v>UNIT 3</x:v>
      </x:c>
    </x:row>
    <x:row r="45">
      <x:c r="A45" s="19" t="str">
        <x:v>REC-044</x:v>
      </x:c>
      <x:c r="B45" s="19" t="str">
        <x:v>AST-043</x:v>
      </x:c>
      <x:c r="C45" s="19" t="str">
        <x:v>Motor Water jet Pump 2#3</x:v>
      </x:c>
      <x:c r="D45" s="19" t="str">
        <x:v>LJ03MAJ10AP002-001</x:v>
      </x:c>
      <x:c r="E45" s="19" t="str">
        <x:v>ISO 10816-3 (GROUP 2 RIGID)</x:v>
      </x:c>
      <x:c r="F45" s="19" t="str">
        <x:v>ISO 10816-3 (GROUP 2 RIGID)</x:v>
      </x:c>
      <x:c r="G45" s="19" t="str">
        <x:v>W38</x:v>
      </x:c>
      <x:c r="H45" s="30" t="n">
        <x:v>45553</x:v>
      </x:c>
      <x:c r="I45" s="19" t="str">
        <x:v>NORMAL</x:v>
      </x:c>
      <x:c r="J45" s="19" t="str">
        <x:v>MOTOR</x:v>
      </x:c>
      <x:c r="K45" s="19" t="str">
        <x:v>POMPA</x:v>
      </x:c>
      <x:c r="L45" s="19" t="str">
        <x:v>HM2-20012-2</x:v>
      </x:c>
      <x:c r="M45" s="19" t="str">
        <x:v>2950 r/min</x:v>
      </x:c>
      <x:c r="N45" s="19" t="str">
        <x:v>37 Kw</x:v>
      </x:c>
      <x:c r="O45" s="19" t="str">
        <x:v>Roller Bearing</x:v>
      </x:c>
      <x:c r="P45" s="19" t="str">
        <x:v>6313</x:v>
      </x:c>
      <x:c r="Q45" s="19" t="str">
        <x:v>6313</x:v>
      </x:c>
      <x:c r="R45" s="19" t="str">
        <x:v>-</x:v>
      </x:c>
      <x:c r="S45" s="19" t="str">
        <x:v>Rigid</x:v>
      </x:c>
      <x:c r="T45" s="19" t="str"/>
      <x:c r="U45" s="19" t="str"/>
      <x:c r="V45" s="19" t="str"/>
      <x:c r="W45" s="19" t="str"/>
      <x:c r="X45" s="19" t="str"/>
      <x:c r="Y45" s="19" t="str"/>
      <x:c r="Z45" s="19" t="str"/>
      <x:c r="AA45" s="19" t="str"/>
      <x:c r="AB45" s="19" t="str"/>
      <x:c r="AC45" s="19" t="str">
        <x:v>S125.100-200A</x:v>
      </x:c>
      <x:c r="AD45" s="19" t="str"/>
      <x:c r="AE45" s="19" t="str">
        <x:v>2900 r/min</x:v>
      </x:c>
      <x:c r="AF45" s="19" t="str">
        <x:v>37 Kw</x:v>
      </x:c>
      <x:c r="AG45" s="19" t="str">
        <x:v>160 m2/h</x:v>
      </x:c>
      <x:c r="AH45" s="19" t="str"/>
      <x:c r="AI45" s="19" t="str"/>
      <x:c r="AJ45" s="19" t="str"/>
      <x:c r="AK45" s="19" t="str">
        <x:v>-</x:v>
      </x:c>
      <x:c r="AL45" s="19" t="str">
        <x:v>-</x:v>
      </x:c>
      <x:c r="AM45" s="19" t="str"/>
      <x:c r="AN45" s="19" t="str"/>
      <x:c r="AO45" s="19" t="str"/>
      <x:c r="AP45" s="19" t="str"/>
      <x:c r="AQ45" s="19" t="str"/>
      <x:c r="AR45" s="19" t="str">
        <x:v>Pump</x:v>
      </x:c>
      <x:c r="AS45" s="19" t="n">
        <x:v>88</x:v>
      </x:c>
      <x:c r="AT45" s="19" t="str"/>
      <x:c r="AU45" s="19" t="str">
        <x:v>Type, Mfg : HM2-20012-2 Type, Mfg. : S125.100-200A | Speed : 2950 r/min Speed : 2900 r/min | Power : 37 Kw Power : 37 Kw | Bearing Type : Roller Bearing Capacity : 160 m2/h | Inboard Bearing : 6313 Inboard Bearing : - | Outboard Bearing : 6313 Onboard Bearing : - | Rotor Bar : - Total Blade - | Foundation : Rigid</x:v>
      </x:c>
      <x:c r="AV45" t="str">
        <x:f>IF(AS45&lt;=36,"UNIT 1",IF(AS45&lt;=70,"UNIT 2",IF(AS45&lt;=110,"UNIT 3","COMMON")))</x:f>
        <x:v>UNIT 3</x:v>
      </x:c>
    </x:row>
    <x:row r="46">
      <x:c r="A46" s="19" t="str">
        <x:v>REC-045</x:v>
      </x:c>
      <x:c r="B46" s="19" t="str">
        <x:v>AST-044</x:v>
      </x:c>
      <x:c r="C46" s="19" t="str">
        <x:v>Motor Boiler Feed Pump 1#3</x:v>
      </x:c>
      <x:c r="D46" s="19" t="str">
        <x:v>LJ03LAB11AP001-001</x:v>
      </x:c>
      <x:c r="E46" s="19" t="str">
        <x:v>ISO 10816-3 (GROUP 1 RIGID)</x:v>
      </x:c>
      <x:c r="F46" s="19" t="str">
        <x:v>ISO 10816-3 (GROUP 1 RIGID)</x:v>
      </x:c>
      <x:c r="G46" s="19" t="str">
        <x:v>W38</x:v>
      </x:c>
      <x:c r="H46" s="30" t="n">
        <x:v>45553</x:v>
      </x:c>
      <x:c r="I46" s="19" t="str">
        <x:v>PREWARNING</x:v>
      </x:c>
      <x:c r="J46" s="19" t="str">
        <x:v>MOTOR</x:v>
      </x:c>
      <x:c r="K46" s="19" t="str">
        <x:v>POMPA</x:v>
      </x:c>
      <x:c r="L46" s="19" t="str">
        <x:v>YKS450-2</x:v>
      </x:c>
      <x:c r="M46" s="19" t="str">
        <x:v>2979 r/min</x:v>
      </x:c>
      <x:c r="N46" s="19" t="str">
        <x:v>1000 Kw</x:v>
      </x:c>
      <x:c r="O46" s="19" t="str">
        <x:v>Roller Bearing</x:v>
      </x:c>
      <x:c r="P46" s="19" t="str">
        <x:v>NU1022M/C3 6022/c3</x:v>
      </x:c>
      <x:c r="Q46" s="19" t="str">
        <x:v>NU1022M/C3 6022/c3</x:v>
      </x:c>
      <x:c r="R46" s="19" t="str">
        <x:v>-</x:v>
      </x:c>
      <x:c r="S46" s="19" t="str">
        <x:v>Rigid</x:v>
      </x:c>
      <x:c r="T46" s="19" t="str"/>
      <x:c r="U46" s="19" t="str"/>
      <x:c r="V46" s="19" t="str"/>
      <x:c r="W46" s="19" t="str"/>
      <x:c r="X46" s="19" t="str"/>
      <x:c r="Y46" s="19" t="str"/>
      <x:c r="Z46" s="19" t="str"/>
      <x:c r="AA46" s="19" t="str"/>
      <x:c r="AB46" s="19" t="str"/>
      <x:c r="AC46" s="19" t="str">
        <x:v>25SB-P</x:v>
      </x:c>
      <x:c r="AD46" s="19" t="str"/>
      <x:c r="AE46" s="19" t="str">
        <x:v>2980 r/min</x:v>
      </x:c>
      <x:c r="AF46" s="19" t="str">
        <x:v>822 Kw</x:v>
      </x:c>
      <x:c r="AG46" s="19" t="str">
        <x:v>165 m2/h</x:v>
      </x:c>
      <x:c r="AH46" s="19" t="str"/>
      <x:c r="AI46" s="19" t="str"/>
      <x:c r="AJ46" s="19" t="str"/>
      <x:c r="AK46" s="19" t="str">
        <x:v>-</x:v>
      </x:c>
      <x:c r="AL46" s="19" t="str">
        <x:v>-</x:v>
      </x:c>
      <x:c r="AM46" s="19" t="str"/>
      <x:c r="AN46" s="19" t="str"/>
      <x:c r="AO46" s="19" t="str"/>
      <x:c r="AP46" s="19" t="str"/>
      <x:c r="AQ46" s="19" t="str"/>
      <x:c r="AR46" s="19" t="str">
        <x:v>Pump</x:v>
      </x:c>
      <x:c r="AS46" s="19" t="n">
        <x:v>90</x:v>
      </x:c>
      <x:c r="AT46" s="19" t="str"/>
      <x:c r="AU46" s="19" t="str">
        <x:v>Type, Mfg : YKS450-2 Type, Mfg. : 25SB-P | Speed : 2979 r/min Speed : 2980 r/min | Power : 1000 Kw Power : 822 Kw | Bearing Type : Roller Bearing Capacity : 165 m2/h | Inboard Bearing : NU1022M/C3 6022/c3 Inboard Bearing : - | Outboard Bearing : NU1022M/C3 6022/c3 Onboard Bearing : - | Rotor Bar : - Total Blade - | Foundation : Rigid</x:v>
      </x:c>
      <x:c r="AV46" t="str">
        <x:f>IF(AS46&lt;=36,"UNIT 1",IF(AS46&lt;=70,"UNIT 2",IF(AS46&lt;=110,"UNIT 3","COMMON")))</x:f>
        <x:v>UNIT 3</x:v>
      </x:c>
    </x:row>
    <x:row r="47">
      <x:c r="A47" s="19" t="str">
        <x:v>REC-046</x:v>
      </x:c>
      <x:c r="B47" s="19" t="str">
        <x:v>AST-045</x:v>
      </x:c>
      <x:c r="C47" s="19" t="str">
        <x:v>Motor CCWP 1#3</x:v>
      </x:c>
      <x:c r="D47" s="19" t="str">
        <x:v>LJ00PGB11AP001-001</x:v>
      </x:c>
      <x:c r="E47" s="19" t="str">
        <x:v>ISO 10816-3 (GROUP 2 RIGID)</x:v>
      </x:c>
      <x:c r="F47" s="19" t="str">
        <x:v>ISO 10816-3 (GROUP 2 RIGID)</x:v>
      </x:c>
      <x:c r="G47" s="19" t="str">
        <x:v>W39</x:v>
      </x:c>
      <x:c r="H47" s="30" t="n">
        <x:v>45561</x:v>
      </x:c>
      <x:c r="I47" s="19" t="str">
        <x:v>PREWARNING</x:v>
      </x:c>
      <x:c r="J47" s="19" t="str">
        <x:v>MOTOR</x:v>
      </x:c>
      <x:c r="K47" s="19" t="str">
        <x:v>POMPA</x:v>
      </x:c>
      <x:c r="L47" s="19" t="str">
        <x:v>EN60034 IEC 60034/60072</x:v>
      </x:c>
      <x:c r="M47" s="19" t="str">
        <x:v>1480 r/min</x:v>
      </x:c>
      <x:c r="N47" s="19" t="str">
        <x:v>55 Kw</x:v>
      </x:c>
      <x:c r="O47" s="19" t="str">
        <x:v>Roller Bearing</x:v>
      </x:c>
      <x:c r="P47" s="19" t="str">
        <x:v>-</x:v>
      </x:c>
      <x:c r="Q47" s="19" t="str">
        <x:v>-</x:v>
      </x:c>
      <x:c r="R47" s="19" t="str">
        <x:v>-</x:v>
      </x:c>
      <x:c r="S47" s="19" t="str">
        <x:v>Rigid</x:v>
      </x:c>
      <x:c r="T47" s="19" t="str"/>
      <x:c r="U47" s="19" t="str"/>
      <x:c r="V47" s="19" t="str"/>
      <x:c r="W47" s="19" t="str"/>
      <x:c r="X47" s="19" t="str"/>
      <x:c r="Y47" s="19" t="str"/>
      <x:c r="Z47" s="19" t="str"/>
      <x:c r="AA47" s="19" t="str"/>
      <x:c r="AB47" s="19" t="str"/>
      <x:c r="AC47" s="19" t="str">
        <x:v>200SS35</x:v>
      </x:c>
      <x:c r="AD47" s="19" t="str"/>
      <x:c r="AE47" s="19" t="str">
        <x:v>1480 r/min</x:v>
      </x:c>
      <x:c r="AF47" s="19" t="str">
        <x:v>55 Kw</x:v>
      </x:c>
      <x:c r="AG47" s="19" t="str">
        <x:v>500 m2/h</x:v>
      </x:c>
      <x:c r="AH47" s="19" t="str"/>
      <x:c r="AI47" s="19" t="str"/>
      <x:c r="AJ47" s="19" t="str"/>
      <x:c r="AK47" s="19" t="str">
        <x:v>-</x:v>
      </x:c>
      <x:c r="AL47" s="19" t="str">
        <x:v>-</x:v>
      </x:c>
      <x:c r="AM47" s="19" t="str"/>
      <x:c r="AN47" s="19" t="str"/>
      <x:c r="AO47" s="19" t="str"/>
      <x:c r="AP47" s="19" t="str"/>
      <x:c r="AQ47" s="19" t="str"/>
      <x:c r="AR47" s="19" t="str">
        <x:v>Pump</x:v>
      </x:c>
      <x:c r="AS47" s="19" t="n">
        <x:v>92</x:v>
      </x:c>
      <x:c r="AT47" s="19" t="str"/>
      <x:c r="AU47" s="19" t="str">
        <x:v>Type, Mfg : EN60034 IEC 60034/60072 Type, Mfg. : 200SS35 | Speed : 1480 r/min Speed : 1480 r/min | Power : 55 Kw Power : 55 Kw | Bearing Type : Roller Bearing Capacity : 500 m2/h | Inboard Bearing : - Inboard Bearing : - | Outboard Bearing : - Onboard Bearing : - | Rotor Bar : - Total Blade 6 | Foundation : Rigid</x:v>
      </x:c>
      <x:c r="AV47" t="str">
        <x:f>IF(AS47&lt;=36,"UNIT 1",IF(AS47&lt;=70,"UNIT 2",IF(AS47&lt;=110,"UNIT 3","COMMON")))</x:f>
        <x:v>UNIT 3</x:v>
      </x:c>
    </x:row>
    <x:row r="48">
      <x:c r="A48" s="19" t="str">
        <x:v>REC-047</x:v>
      </x:c>
      <x:c r="B48" s="19" t="str">
        <x:v>AST-046</x:v>
      </x:c>
      <x:c r="C48" s="19" t="str">
        <x:v>Motor CCWP 2#3</x:v>
      </x:c>
      <x:c r="D48" s="19" t="str">
        <x:v>LJ00PGB21AP001-001</x:v>
      </x:c>
      <x:c r="E48" s="19" t="str">
        <x:v>ISO 10816-3 (GROUP 2 RIGID)</x:v>
      </x:c>
      <x:c r="F48" s="19" t="str">
        <x:v>ISO 10816-3 (GROUP 2 RIGID)</x:v>
      </x:c>
      <x:c r="G48" s="19" t="str">
        <x:v>W36</x:v>
      </x:c>
      <x:c r="H48" s="30" t="n">
        <x:v>45539</x:v>
      </x:c>
      <x:c r="I48" s="19" t="str">
        <x:v>PREWARNING</x:v>
      </x:c>
      <x:c r="J48" s="19" t="str">
        <x:v>MOTOR</x:v>
      </x:c>
      <x:c r="K48" s="19" t="str">
        <x:v>POMPA</x:v>
      </x:c>
      <x:c r="L48" s="19" t="str">
        <x:v>EN60034 IEC 60034/60072</x:v>
      </x:c>
      <x:c r="M48" s="19" t="str">
        <x:v>1480 r/min</x:v>
      </x:c>
      <x:c r="N48" s="19" t="str">
        <x:v>55 Kw</x:v>
      </x:c>
      <x:c r="O48" s="19" t="str">
        <x:v>Roller Bearing</x:v>
      </x:c>
      <x:c r="P48" s="19" t="str">
        <x:v>-</x:v>
      </x:c>
      <x:c r="Q48" s="19" t="str">
        <x:v>-</x:v>
      </x:c>
      <x:c r="R48" s="19" t="str">
        <x:v>-</x:v>
      </x:c>
      <x:c r="S48" s="19" t="str">
        <x:v>Rigid</x:v>
      </x:c>
      <x:c r="T48" s="19" t="str"/>
      <x:c r="U48" s="19" t="str"/>
      <x:c r="V48" s="19" t="str"/>
      <x:c r="W48" s="19" t="str"/>
      <x:c r="X48" s="19" t="str"/>
      <x:c r="Y48" s="19" t="str"/>
      <x:c r="Z48" s="19" t="str"/>
      <x:c r="AA48" s="19" t="str"/>
      <x:c r="AB48" s="19" t="str"/>
      <x:c r="AC48" s="19" t="str">
        <x:v>200SS35</x:v>
      </x:c>
      <x:c r="AD48" s="19" t="str"/>
      <x:c r="AE48" s="19" t="str">
        <x:v>1480 r/min</x:v>
      </x:c>
      <x:c r="AF48" s="19" t="str">
        <x:v>55 Kw</x:v>
      </x:c>
      <x:c r="AG48" s="19" t="str">
        <x:v>500 m2/h</x:v>
      </x:c>
      <x:c r="AH48" s="19" t="str"/>
      <x:c r="AI48" s="19" t="str"/>
      <x:c r="AJ48" s="19" t="str"/>
      <x:c r="AK48" s="19" t="str">
        <x:v>-</x:v>
      </x:c>
      <x:c r="AL48" s="19" t="str">
        <x:v>-</x:v>
      </x:c>
      <x:c r="AM48" s="19" t="str"/>
      <x:c r="AN48" s="19" t="str"/>
      <x:c r="AO48" s="19" t="str"/>
      <x:c r="AP48" s="19" t="str"/>
      <x:c r="AQ48" s="19" t="str"/>
      <x:c r="AR48" s="19" t="str">
        <x:v>Pump</x:v>
      </x:c>
      <x:c r="AS48" s="19" t="n">
        <x:v>94</x:v>
      </x:c>
      <x:c r="AT48" s="19" t="str"/>
      <x:c r="AU48" s="19" t="str">
        <x:v>Type, Mfg : EN60034 IEC 60034/60072 Type, Mfg. : 200SS35 | Speed : 1480 r/min Speed : 1480 r/min | Power : 55 Kw Power : 55 Kw | Bearing Type : Roller Bearing Capacity : 500 m2/h | Inboard Bearing : - Inboard Bearing : - | Outboard Bearing : - Onboard Bearing : - | Rotor Bar : - Total Blade 6 | Foundation : Rigid</x:v>
      </x:c>
      <x:c r="AV48" t="str">
        <x:f>IF(AS48&lt;=36,"UNIT 1",IF(AS48&lt;=70,"UNIT 2",IF(AS48&lt;=110,"UNIT 3","COMMON")))</x:f>
        <x:v>UNIT 3</x:v>
      </x:c>
    </x:row>
    <x:row r="49">
      <x:c r="A49" s="19" t="str">
        <x:v>REC-048</x:v>
      </x:c>
      <x:c r="B49" s="19" t="str">
        <x:v>AST-047</x:v>
      </x:c>
      <x:c r="C49" s="19" t="str">
        <x:v>Motor CWP 355 Kw 1#3</x:v>
      </x:c>
      <x:c r="D49" s="19" t="str">
        <x:v>LJ00PAB11AP001-001</x:v>
      </x:c>
      <x:c r="E49" s="19" t="str">
        <x:v>ISO 10816-3 (GROUP 1 RIGID))</x:v>
      </x:c>
      <x:c r="F49" s="19" t="str">
        <x:v>ISO 10816-3 (GROUP 1 RIGID)</x:v>
      </x:c>
      <x:c r="G49" s="19" t="str">
        <x:v>W38</x:v>
      </x:c>
      <x:c r="H49" s="30" t="n">
        <x:v>45554</x:v>
      </x:c>
      <x:c r="I49" s="19" t="str">
        <x:v>PREWARNING</x:v>
      </x:c>
      <x:c r="J49" s="19" t="str">
        <x:v>MOTOR</x:v>
      </x:c>
      <x:c r="K49" s="19" t="str">
        <x:v>POMPA</x:v>
      </x:c>
      <x:c r="L49" s="19" t="str">
        <x:v>YKKL-450-6TH</x:v>
      </x:c>
      <x:c r="M49" s="19" t="str">
        <x:v>989</x:v>
      </x:c>
      <x:c r="N49" s="19" t="str">
        <x:v>355</x:v>
      </x:c>
      <x:c r="O49" s="19" t="str">
        <x:v>Roller Bearing</x:v>
      </x:c>
      <x:c r="P49" s="19" t="str">
        <x:v>6226</x:v>
      </x:c>
      <x:c r="Q49" s="19" t="str">
        <x:v>7330B</x:v>
      </x:c>
      <x:c r="R49" s="19" t="str">
        <x:v>-</x:v>
      </x:c>
      <x:c r="S49" s="19" t="str">
        <x:v>Rigid</x:v>
      </x:c>
      <x:c r="T49" s="19" t="str"/>
      <x:c r="U49" s="19" t="str"/>
      <x:c r="V49" s="19" t="str"/>
      <x:c r="W49" s="19" t="str"/>
      <x:c r="X49" s="19" t="str"/>
      <x:c r="Y49" s="19" t="str"/>
      <x:c r="Z49" s="19" t="str"/>
      <x:c r="AA49" s="19" t="str"/>
      <x:c r="AB49" s="19" t="str"/>
      <x:c r="AC49" s="19" t="str"/>
      <x:c r="AD49" s="19" t="str"/>
      <x:c r="AE49" s="19" t="str"/>
      <x:c r="AF49" s="19" t="str"/>
      <x:c r="AG49" s="19" t="str"/>
      <x:c r="AH49" s="19" t="str"/>
      <x:c r="AI49" s="19" t="str"/>
      <x:c r="AJ49" s="19" t="str"/>
      <x:c r="AK49" s="19" t="str"/>
      <x:c r="AL49" s="19" t="str"/>
      <x:c r="AM49" s="19" t="str"/>
      <x:c r="AN49" s="19" t="str"/>
      <x:c r="AO49" s="19" t="str"/>
      <x:c r="AP49" s="19" t="str"/>
      <x:c r="AQ49" s="19" t="str"/>
      <x:c r="AR49" s="19" t="str">
        <x:v>Pump</x:v>
      </x:c>
      <x:c r="AS49" s="19" t="n">
        <x:v>96</x:v>
      </x:c>
      <x:c r="AT49" s="19" t="str">
        <x:v>Class dinormalisasi pada kolom terpisah; nilai sumber dipertahankan</x:v>
      </x:c>
      <x:c r="AU49" s="19" t="str">
        <x:v>Type, Mfg : YKKL-450-6TH Type, Mfg. : | Speed : 989 Speed : | Power : 355 Bearing Type : | Bearing Type : Roller Bearing Inboard Bearing : | Inboard Bearing : 6226 Onboard Bearing : | Outboard Bearing : 7330B Total Blade : | Rotor Bar : - | Foundation : Rigid</x:v>
      </x:c>
      <x:c r="AV49" t="str">
        <x:f>IF(AS49&lt;=36,"UNIT 1",IF(AS49&lt;=70,"UNIT 2",IF(AS49&lt;=110,"UNIT 3","COMMON")))</x:f>
        <x:v>UNIT 3</x:v>
      </x:c>
    </x:row>
    <x:row r="50">
      <x:c r="A50" s="19" t="str">
        <x:v>REC-049</x:v>
      </x:c>
      <x:c r="B50" s="19" t="str">
        <x:v>AST-048</x:v>
      </x:c>
      <x:c r="C50" s="19" t="str">
        <x:v>Motor BWRO 1#3</x:v>
      </x:c>
      <x:c r="D50" s="19" t="str">
        <x:v>LJ00GCK21AP001-001</x:v>
      </x:c>
      <x:c r="E50" s="19" t="str">
        <x:v>ISO 10816-3 (GROUP 2 RIGID)</x:v>
      </x:c>
      <x:c r="F50" s="19" t="str">
        <x:v>ISO 10816-3 (GROUP 2 RIGID)</x:v>
      </x:c>
      <x:c r="G50" s="19" t="str">
        <x:v>W39</x:v>
      </x:c>
      <x:c r="H50" s="30" t="n">
        <x:v>45561</x:v>
      </x:c>
      <x:c r="I50" s="19" t="str">
        <x:v>PREWARNING</x:v>
      </x:c>
      <x:c r="J50" s="19" t="str">
        <x:v>MOTOR</x:v>
      </x:c>
      <x:c r="K50" s="19" t="str">
        <x:v>POMPA</x:v>
      </x:c>
      <x:c r="L50" s="19" t="str">
        <x:v>DPVSF18-120</x:v>
      </x:c>
      <x:c r="M50" s="19" t="str">
        <x:v>2924</x:v>
      </x:c>
      <x:c r="N50" s="19" t="str">
        <x:v>11</x:v>
      </x:c>
      <x:c r="O50" s="19" t="str">
        <x:v>Roller Bearing</x:v>
      </x:c>
      <x:c r="P50" s="19" t="str"/>
      <x:c r="Q50" s="19" t="str"/>
      <x:c r="R50" s="19" t="str">
        <x:v>-</x:v>
      </x:c>
      <x:c r="S50" s="19" t="str">
        <x:v>Rigid</x:v>
      </x:c>
      <x:c r="T50" s="19" t="str"/>
      <x:c r="U50" s="19" t="str"/>
      <x:c r="V50" s="19" t="str"/>
      <x:c r="W50" s="19" t="str"/>
      <x:c r="X50" s="19" t="str"/>
      <x:c r="Y50" s="19" t="str"/>
      <x:c r="Z50" s="19" t="str"/>
      <x:c r="AA50" s="19" t="str"/>
      <x:c r="AB50" s="19" t="str"/>
      <x:c r="AC50" s="19" t="str"/>
      <x:c r="AD50" s="19" t="str"/>
      <x:c r="AE50" s="19" t="str"/>
      <x:c r="AF50" s="19" t="str"/>
      <x:c r="AG50" s="19" t="str"/>
      <x:c r="AH50" s="19" t="str"/>
      <x:c r="AI50" s="19" t="str"/>
      <x:c r="AJ50" s="19" t="str"/>
      <x:c r="AK50" s="19" t="str">
        <x:v>-</x:v>
      </x:c>
      <x:c r="AL50" s="19" t="str">
        <x:v>-</x:v>
      </x:c>
      <x:c r="AM50" s="19" t="str"/>
      <x:c r="AN50" s="19" t="str"/>
      <x:c r="AO50" s="19" t="str"/>
      <x:c r="AP50" s="19" t="str"/>
      <x:c r="AQ50" s="19" t="str"/>
      <x:c r="AR50" s="19" t="str">
        <x:v>Pump</x:v>
      </x:c>
      <x:c r="AS50" s="19" t="n">
        <x:v>98</x:v>
      </x:c>
      <x:c r="AT50" s="19" t="str"/>
      <x:c r="AU50" s="19" t="str">
        <x:v>Type, Mfg : DPVSF18-120 Type, Mfg. : | Speed : 2924 Speed : | Power : 11 Power : | Bearing Type : Roller Bearing Capacity : | Inboard Bearing : Inboard Bearing : - | Outboard Bearing : Onboard Bearing : - | Rotor Bar : - Total Blade - | Foundation : Rigid</x:v>
      </x:c>
      <x:c r="AV50" t="str">
        <x:f>IF(AS50&lt;=36,"UNIT 1",IF(AS50&lt;=70,"UNIT 2",IF(AS50&lt;=110,"UNIT 3","COMMON")))</x:f>
        <x:v>UNIT 3</x:v>
      </x:c>
    </x:row>
    <x:row r="51">
      <x:c r="A51" s="19" t="str">
        <x:v>REC-050</x:v>
      </x:c>
      <x:c r="B51" s="19" t="str">
        <x:v>AST-049</x:v>
      </x:c>
      <x:c r="C51" s="19" t="str">
        <x:v>Motor SWRO 1#3</x:v>
      </x:c>
      <x:c r="D51" s="19" t="str">
        <x:v>LJ00GCF11AT002-001</x:v>
      </x:c>
      <x:c r="E51" s="19" t="str">
        <x:v>ISO 10816-3 (GROUP 2 RIGID)</x:v>
      </x:c>
      <x:c r="F51" s="19" t="str">
        <x:v>ISO 10816-3 (GROUP 2 RIGID)</x:v>
      </x:c>
      <x:c r="G51" s="19" t="str">
        <x:v>W39</x:v>
      </x:c>
      <x:c r="H51" s="30" t="n">
        <x:v>45561</x:v>
      </x:c>
      <x:c r="I51" s="19" t="str">
        <x:v>NORMAL</x:v>
      </x:c>
      <x:c r="J51" s="19" t="str">
        <x:v>MOTOR</x:v>
      </x:c>
      <x:c r="K51" s="19" t="str">
        <x:v>POMPA</x:v>
      </x:c>
      <x:c r="L51" s="19" t="str"/>
      <x:c r="M51" s="19" t="str"/>
      <x:c r="N51" s="19" t="str"/>
      <x:c r="O51" s="19" t="str"/>
      <x:c r="P51" s="19" t="str"/>
      <x:c r="Q51" s="19" t="str"/>
      <x:c r="R51" s="19" t="str">
        <x:v>-</x:v>
      </x:c>
      <x:c r="S51" s="19" t="str">
        <x:v>Rigid</x:v>
      </x:c>
      <x:c r="T51" s="19" t="str"/>
      <x:c r="U51" s="19" t="str"/>
      <x:c r="V51" s="19" t="str"/>
      <x:c r="W51" s="19" t="str"/>
      <x:c r="X51" s="19" t="str"/>
      <x:c r="Y51" s="19" t="str"/>
      <x:c r="Z51" s="19" t="str"/>
      <x:c r="AA51" s="19" t="str"/>
      <x:c r="AB51" s="19" t="str"/>
      <x:c r="AC51" s="19" t="str"/>
      <x:c r="AD51" s="19" t="str"/>
      <x:c r="AE51" s="19" t="str"/>
      <x:c r="AF51" s="19" t="str"/>
      <x:c r="AG51" s="19" t="str"/>
      <x:c r="AH51" s="19" t="str"/>
      <x:c r="AI51" s="19" t="str"/>
      <x:c r="AJ51" s="19" t="str"/>
      <x:c r="AK51" s="19" t="str">
        <x:v>-</x:v>
      </x:c>
      <x:c r="AL51" s="19" t="str">
        <x:v>-</x:v>
      </x:c>
      <x:c r="AM51" s="19" t="str"/>
      <x:c r="AN51" s="19" t="str"/>
      <x:c r="AO51" s="19" t="str"/>
      <x:c r="AP51" s="19" t="str"/>
      <x:c r="AQ51" s="19" t="str"/>
      <x:c r="AR51" s="19" t="str">
        <x:v>Pump</x:v>
      </x:c>
      <x:c r="AS51" s="19" t="n">
        <x:v>100</x:v>
      </x:c>
      <x:c r="AT51" s="19" t="str"/>
      <x:c r="AU51" s="19" t="str">
        <x:v>Type, Mfg : Type, Mfg. : | Speed : Speed : | Power : Power : | Bearing Type : Capacity : | Inboard Bearing : Inboard Bearing : - | Outboard Bearing : Onboard Bearing : - | Rotor Bar : - Total Blade - | Foundation : Rigid</x:v>
      </x:c>
      <x:c r="AV51" t="str">
        <x:f>IF(AS51&lt;=36,"UNIT 1",IF(AS51&lt;=70,"UNIT 2",IF(AS51&lt;=110,"UNIT 3","COMMON")))</x:f>
        <x:v>UNIT 3</x:v>
      </x:c>
    </x:row>
    <x:row r="52">
      <x:c r="A52" s="19" t="str">
        <x:v>REC-051</x:v>
      </x:c>
      <x:c r="B52" s="19" t="str">
        <x:v>AST-050</x:v>
      </x:c>
      <x:c r="C52" s="19" t="str">
        <x:v>FIRE FIGHTING JOCKEY PUMP 3B</x:v>
      </x:c>
      <x:c r="D52" s="19" t="str"/>
      <x:c r="E52" s="19" t="str">
        <x:v>ISO 10816-3 (GROUP 2 RIGID)</x:v>
      </x:c>
      <x:c r="F52" s="19" t="str">
        <x:v>ISO 10816-3 (GROUP 2 RIGID)</x:v>
      </x:c>
      <x:c r="G52" s="19" t="str">
        <x:v>W37</x:v>
      </x:c>
      <x:c r="H52" s="30" t="n">
        <x:v>45548</x:v>
      </x:c>
      <x:c r="I52" s="19" t="str">
        <x:v>NORMAL</x:v>
      </x:c>
      <x:c r="J52" s="19" t="str">
        <x:v>MOTOR</x:v>
      </x:c>
      <x:c r="K52" s="19" t="str">
        <x:v>POMPA</x:v>
      </x:c>
      <x:c r="L52" s="19" t="str">
        <x:v>FSV2H15A0T65B</x:v>
      </x:c>
      <x:c r="M52" s="19" t="str">
        <x:v>2930</x:v>
      </x:c>
      <x:c r="N52" s="19" t="str">
        <x:v>11 kW</x:v>
      </x:c>
      <x:c r="O52" s="19" t="str"/>
      <x:c r="P52" s="19" t="str">
        <x:v>6310 C3</x:v>
      </x:c>
      <x:c r="Q52" s="19" t="str">
        <x:v>6308 C3</x:v>
      </x:c>
      <x:c r="R52" s="19" t="str"/>
      <x:c r="S52" s="19" t="str">
        <x:v>Rigid</x:v>
      </x:c>
      <x:c r="T52" s="19" t="str">
        <x:v>15 HP</x:v>
      </x:c>
      <x:c r="U52" s="19" t="str"/>
      <x:c r="V52" s="19" t="str">
        <x:v>22,2 / 12,8 A</x:v>
      </x:c>
      <x:c r="W52" s="19" t="str"/>
      <x:c r="X52" s="19" t="str"/>
      <x:c r="Y52" s="19" t="str"/>
      <x:c r="Z52" s="19" t="str"/>
      <x:c r="AA52" s="19" t="str"/>
      <x:c r="AB52" s="19" t="str"/>
      <x:c r="AC52" s="19" t="str"/>
      <x:c r="AD52" s="19" t="str"/>
      <x:c r="AE52" s="19" t="str"/>
      <x:c r="AF52" s="19" t="str"/>
      <x:c r="AG52" s="19" t="str"/>
      <x:c r="AH52" s="19" t="str"/>
      <x:c r="AI52" s="19" t="str"/>
      <x:c r="AJ52" s="19" t="str"/>
      <x:c r="AK52" s="19" t="str">
        <x:v>-</x:v>
      </x:c>
      <x:c r="AL52" s="19" t="str">
        <x:v>-</x:v>
      </x:c>
      <x:c r="AM52" s="19" t="str"/>
      <x:c r="AN52" s="19" t="str"/>
      <x:c r="AO52" s="19" t="str"/>
      <x:c r="AP52" s="19" t="str"/>
      <x:c r="AQ52" s="19" t="str"/>
      <x:c r="AR52" s="19" t="str">
        <x:v>Pump</x:v>
      </x:c>
      <x:c r="AS52" s="19" t="n">
        <x:v>102</x:v>
      </x:c>
      <x:c r="AT52" s="19" t="str">
        <x:v>KKS kosong pada sumber PDF</x:v>
      </x:c>
      <x:c r="AU52" s="19" t="str">
        <x:v>Type, Mfg : FSV2H15A0T65B Type, Mfg. : | Speed : 2930 Speed : | Power : 11 kW Power : | House Power : 15 HP Capacity : | Inboard Bearing : 6310 C3 Inboard Bearing : - | Outboard Bearing : 6308 C3 Onboard Bearing : - | Current : 22,2 / 12,8 A Total Blade - | Foundation : Rigid</x:v>
      </x:c>
      <x:c r="AV52" t="str">
        <x:f>IF(AS52&lt;=36,"UNIT 1",IF(AS52&lt;=70,"UNIT 2",IF(AS52&lt;=110,"UNIT 3","COMMON")))</x:f>
        <x:v>UNIT 3</x:v>
      </x:c>
    </x:row>
    <x:row r="53">
      <x:c r="A53" s="19" t="str">
        <x:v>REC-052</x:v>
      </x:c>
      <x:c r="B53" s="19" t="str">
        <x:v>AST-051</x:v>
      </x:c>
      <x:c r="C53" s="19" t="str">
        <x:v>FIRE FIGHTING PUMP WITH MOTOR UNIT 3</x:v>
      </x:c>
      <x:c r="D53" s="19" t="str"/>
      <x:c r="E53" s="19" t="str">
        <x:v>ISO 10816-3 (GROUP 2 RIGID)</x:v>
      </x:c>
      <x:c r="F53" s="19" t="str">
        <x:v>ISO 10816-3 (GROUP 2 RIGID)</x:v>
      </x:c>
      <x:c r="G53" s="19" t="str">
        <x:v>W37</x:v>
      </x:c>
      <x:c r="H53" s="30" t="n">
        <x:v>45548</x:v>
      </x:c>
      <x:c r="I53" s="19" t="str">
        <x:v>PREWARNING</x:v>
      </x:c>
      <x:c r="J53" s="19" t="str">
        <x:v>MOTOR</x:v>
      </x:c>
      <x:c r="K53" s="19" t="str">
        <x:v>POMPA</x:v>
      </x:c>
      <x:c r="L53" s="19" t="str">
        <x:v>AEEBKB020175FM</x:v>
      </x:c>
      <x:c r="M53" s="19" t="str">
        <x:v>2955</x:v>
      </x:c>
      <x:c r="N53" s="19" t="str">
        <x:v>132 kW</x:v>
      </x:c>
      <x:c r="O53" s="19" t="str"/>
      <x:c r="P53" s="19" t="str">
        <x:v>6314 C3</x:v>
      </x:c>
      <x:c r="Q53" s="19" t="str">
        <x:v>6314 C3</x:v>
      </x:c>
      <x:c r="R53" s="19" t="str"/>
      <x:c r="S53" s="19" t="str">
        <x:v>Rigid</x:v>
      </x:c>
      <x:c r="T53" s="19" t="str">
        <x:v>175 HP</x:v>
      </x:c>
      <x:c r="U53" s="19" t="str"/>
      <x:c r="V53" s="19" t="str">
        <x:v>239 - 219 A</x:v>
      </x:c>
      <x:c r="W53" s="19" t="str"/>
      <x:c r="X53" s="19" t="str"/>
      <x:c r="Y53" s="19" t="str"/>
      <x:c r="Z53" s="19" t="str"/>
      <x:c r="AA53" s="19" t="str"/>
      <x:c r="AB53" s="19" t="str"/>
      <x:c r="AC53" s="19" t="str"/>
      <x:c r="AD53" s="19" t="str"/>
      <x:c r="AE53" s="19" t="str"/>
      <x:c r="AF53" s="19" t="str"/>
      <x:c r="AG53" s="19" t="str"/>
      <x:c r="AH53" s="19" t="str"/>
      <x:c r="AI53" s="19" t="str"/>
      <x:c r="AJ53" s="19" t="str"/>
      <x:c r="AK53" s="19" t="str"/>
      <x:c r="AL53" s="19" t="str"/>
      <x:c r="AM53" s="19" t="str"/>
      <x:c r="AN53" s="19" t="str"/>
      <x:c r="AO53" s="19" t="str"/>
      <x:c r="AP53" s="19" t="str"/>
      <x:c r="AQ53" s="19" t="str"/>
      <x:c r="AR53" s="19" t="str">
        <x:v>Pump</x:v>
      </x:c>
      <x:c r="AS53" s="19" t="n">
        <x:v>104</x:v>
      </x:c>
      <x:c r="AT53" s="19" t="str">
        <x:v>KKS kosong pada sumber PDF</x:v>
      </x:c>
      <x:c r="AU53" s="19" t="str">
        <x:v>Type, Mfg : AEEBKB020175FM Type, Mfg. : | Speed : 2955 Speed : | Power : 132 kW Power : | House Power : 175 HP Capacity : | Inboard Bearing : 6314 C3 Inboard Bearing : | Outboard Bearing : 6314 C3 Onboard Bearing : | Current : 239 - 219 A Total Blade | Foundation : Rigid</x:v>
      </x:c>
      <x:c r="AV53" t="str">
        <x:f>IF(AS53&lt;=36,"UNIT 1",IF(AS53&lt;=70,"UNIT 2",IF(AS53&lt;=110,"UNIT 3","COMMON")))</x:f>
        <x:v>UNIT 3</x:v>
      </x:c>
    </x:row>
    <x:row r="54">
      <x:c r="A54" s="19" t="str">
        <x:v>REC-053</x:v>
      </x:c>
      <x:c r="B54" s="19" t="str">
        <x:v>AST-052</x:v>
      </x:c>
      <x:c r="C54" s="19" t="str">
        <x:v>FIRE FIGHTING PUMP WITH DIESEL UNIT 3</x:v>
      </x:c>
      <x:c r="D54" s="19" t="str"/>
      <x:c r="E54" s="19" t="str">
        <x:v>ISO 10816-3 (GROUP 2 RIGID)</x:v>
      </x:c>
      <x:c r="F54" s="19" t="str">
        <x:v>ISO 10816-3 (GROUP 2 RIGID)</x:v>
      </x:c>
      <x:c r="G54" s="19" t="str">
        <x:v>W37</x:v>
      </x:c>
      <x:c r="H54" s="30" t="n">
        <x:v>45548</x:v>
      </x:c>
      <x:c r="I54" s="19" t="str">
        <x:v>PREWARNING</x:v>
      </x:c>
      <x:c r="J54" s="19" t="str">
        <x:v>MOTOR</x:v>
      </x:c>
      <x:c r="K54" s="19" t="str">
        <x:v>POMPA</x:v>
      </x:c>
      <x:c r="L54" s="19" t="str">
        <x:v>JU6HUE3A</x:v>
      </x:c>
      <x:c r="M54" s="19" t="str">
        <x:v>3000 r/min</x:v>
      </x:c>
      <x:c r="N54" s="19" t="str"/>
      <x:c r="O54" s="19" t="str"/>
      <x:c r="P54" s="19" t="str">
        <x:v>-</x:v>
      </x:c>
      <x:c r="Q54" s="19" t="str">
        <x:v>-</x:v>
      </x:c>
      <x:c r="R54" s="19" t="str">
        <x:v>-</x:v>
      </x:c>
      <x:c r="S54" s="19" t="str">
        <x:v>Rigid</x:v>
      </x:c>
      <x:c r="T54" s="19" t="str"/>
      <x:c r="U54" s="19" t="str">
        <x:v>175 BHP</x:v>
      </x:c>
      <x:c r="V54" s="19" t="str"/>
      <x:c r="W54" s="19" t="str"/>
      <x:c r="X54" s="19" t="str"/>
      <x:c r="Y54" s="19" t="str"/>
      <x:c r="Z54" s="19" t="str"/>
      <x:c r="AA54" s="19" t="str"/>
      <x:c r="AB54" s="19" t="str"/>
      <x:c r="AC54" s="19" t="str"/>
      <x:c r="AD54" s="19" t="str"/>
      <x:c r="AE54" s="19" t="str"/>
      <x:c r="AF54" s="19" t="str"/>
      <x:c r="AG54" s="19" t="str"/>
      <x:c r="AH54" s="19" t="str"/>
      <x:c r="AI54" s="19" t="str"/>
      <x:c r="AJ54" s="19" t="str"/>
      <x:c r="AK54" s="19" t="str"/>
      <x:c r="AL54" s="19" t="str"/>
      <x:c r="AM54" s="19" t="str"/>
      <x:c r="AN54" s="19" t="str"/>
      <x:c r="AO54" s="19" t="str"/>
      <x:c r="AP54" s="19" t="str"/>
      <x:c r="AQ54" s="19" t="str"/>
      <x:c r="AR54" s="19" t="str">
        <x:v>Pump</x:v>
      </x:c>
      <x:c r="AS54" s="19" t="n">
        <x:v>106</x:v>
      </x:c>
      <x:c r="AT54" s="19" t="str">
        <x:v>KKS kosong pada sumber PDF</x:v>
      </x:c>
      <x:c r="AU54" s="19" t="str">
        <x:v>Type, Mfg : JU6HUE3A Type, Mfg. : | Speed : 3000 r/min Speed : | Brake Horse Power : 175 BHP Power : | Bearing Type : Capacity : | Inboard Bearing : - Inboard Bearing : | Outboard Bearing : - Onboard Bearing : | Rotor Bar : - Total Blade | Foundation : Rigid</x:v>
      </x:c>
      <x:c r="AV54" t="str">
        <x:f>IF(AS54&lt;=36,"UNIT 1",IF(AS54&lt;=70,"UNIT 2",IF(AS54&lt;=110,"UNIT 3","COMMON")))</x:f>
        <x:v>UNIT 3</x:v>
      </x:c>
    </x:row>
    <x:row r="55">
      <x:c r="A55" s="19" t="str">
        <x:v>REC-054</x:v>
      </x:c>
      <x:c r="B55" s="19" t="str">
        <x:v>AST-053</x:v>
      </x:c>
      <x:c r="C55" s="19" t="str">
        <x:v>AC OIL PUMP UNIT 3</x:v>
      </x:c>
      <x:c r="D55" s="19" t="str"/>
      <x:c r="E55" s="19" t="str">
        <x:v>ISO 10816-3 (GROUP 2 RIGID)</x:v>
      </x:c>
      <x:c r="F55" s="19" t="str">
        <x:v>ISO 10816-3 (GROUP 2 RIGID)</x:v>
      </x:c>
      <x:c r="G55" s="19" t="str">
        <x:v>W37</x:v>
      </x:c>
      <x:c r="H55" s="30" t="n">
        <x:v>45547</x:v>
      </x:c>
      <x:c r="I55" s="19" t="str">
        <x:v>ALARM</x:v>
      </x:c>
      <x:c r="J55" s="19" t="str">
        <x:v>MOTOR</x:v>
      </x:c>
      <x:c r="K55" s="19" t="str">
        <x:v>POMPA</x:v>
      </x:c>
      <x:c r="L55" s="19" t="str">
        <x:v>AEEBKB020175FM</x:v>
      </x:c>
      <x:c r="M55" s="19" t="str">
        <x:v>2955</x:v>
      </x:c>
      <x:c r="N55" s="19" t="str">
        <x:v>132 kW</x:v>
      </x:c>
      <x:c r="O55" s="19" t="str"/>
      <x:c r="P55" s="19" t="str">
        <x:v>6314 C3</x:v>
      </x:c>
      <x:c r="Q55" s="19" t="str">
        <x:v>6314 C3</x:v>
      </x:c>
      <x:c r="R55" s="19" t="str"/>
      <x:c r="S55" s="19" t="str">
        <x:v>Rigid</x:v>
      </x:c>
      <x:c r="T55" s="19" t="str">
        <x:v>175 HP</x:v>
      </x:c>
      <x:c r="U55" s="19" t="str"/>
      <x:c r="V55" s="19" t="str">
        <x:v>239 - 219 A</x:v>
      </x:c>
      <x:c r="W55" s="19" t="str"/>
      <x:c r="X55" s="19" t="str"/>
      <x:c r="Y55" s="19" t="str"/>
      <x:c r="Z55" s="19" t="str"/>
      <x:c r="AA55" s="19" t="str"/>
      <x:c r="AB55" s="19" t="str"/>
      <x:c r="AC55" s="19" t="str"/>
      <x:c r="AD55" s="19" t="str"/>
      <x:c r="AE55" s="19" t="str"/>
      <x:c r="AF55" s="19" t="str"/>
      <x:c r="AG55" s="19" t="str"/>
      <x:c r="AH55" s="19" t="str"/>
      <x:c r="AI55" s="19" t="str"/>
      <x:c r="AJ55" s="19" t="str"/>
      <x:c r="AK55" s="19" t="str"/>
      <x:c r="AL55" s="19" t="str"/>
      <x:c r="AM55" s="19" t="str"/>
      <x:c r="AN55" s="19" t="str"/>
      <x:c r="AO55" s="19" t="str"/>
      <x:c r="AP55" s="19" t="str"/>
      <x:c r="AQ55" s="19" t="str"/>
      <x:c r="AR55" s="19" t="str">
        <x:v>Pump</x:v>
      </x:c>
      <x:c r="AS55" s="19" t="n">
        <x:v>108</x:v>
      </x:c>
      <x:c r="AT55" s="19" t="str">
        <x:v>KKS kosong pada sumber PDF</x:v>
      </x:c>
      <x:c r="AU55" s="19" t="str">
        <x:v>Type, Mfg : AEEBKB020175FM Type, Mfg. : | Speed : 2955 Speed : | Power : 132 kW Power : | House Power : 175 HP Capacity : | Inboard Bearing : 6314 C3 Inboard Bearing : | Outboard Bearing : 6314 C3 Onboard Bearing : | Current : 239 - 219 A Total Blade | Foundation : Rigid</x:v>
      </x:c>
      <x:c r="AV55" t="str">
        <x:f>IF(AS55&lt;=36,"UNIT 1",IF(AS55&lt;=70,"UNIT 2",IF(AS55&lt;=110,"UNIT 3","COMMON")))</x:f>
        <x:v>UNIT 3</x:v>
      </x:c>
    </x:row>
    <x:row r="56">
      <x:c r="A56" s="19" t="str">
        <x:v>REC-055</x:v>
      </x:c>
      <x:c r="B56" s="19" t="str">
        <x:v>AST-054</x:v>
      </x:c>
      <x:c r="C56" s="19" t="str">
        <x:v>JACKING OIL PUMP 3A</x:v>
      </x:c>
      <x:c r="D56" s="19" t="str"/>
      <x:c r="E56" s="19" t="str">
        <x:v>ISO 10816-3 (GROUP 2 RIGID)</x:v>
      </x:c>
      <x:c r="F56" s="19" t="str">
        <x:v>ISO 10816-3 (GROUP 2 RIGID)</x:v>
      </x:c>
      <x:c r="G56" s="19" t="str">
        <x:v>W37</x:v>
      </x:c>
      <x:c r="H56" s="30" t="n">
        <x:v>45547</x:v>
      </x:c>
      <x:c r="I56" s="19" t="str">
        <x:v>NORMAL</x:v>
      </x:c>
      <x:c r="J56" s="19" t="str">
        <x:v>MOTOR</x:v>
      </x:c>
      <x:c r="K56" s="19" t="str">
        <x:v>POMPA</x:v>
      </x:c>
      <x:c r="L56" s="19" t="str">
        <x:v>AEEBKB020175FM</x:v>
      </x:c>
      <x:c r="M56" s="19" t="str">
        <x:v>2955</x:v>
      </x:c>
      <x:c r="N56" s="19" t="str">
        <x:v>132 kW</x:v>
      </x:c>
      <x:c r="O56" s="19" t="str"/>
      <x:c r="P56" s="19" t="str">
        <x:v>6314 C3</x:v>
      </x:c>
      <x:c r="Q56" s="19" t="str">
        <x:v>6314 C3</x:v>
      </x:c>
      <x:c r="R56" s="19" t="str"/>
      <x:c r="S56" s="19" t="str">
        <x:v>Rigid</x:v>
      </x:c>
      <x:c r="T56" s="19" t="str">
        <x:v>175 HP</x:v>
      </x:c>
      <x:c r="U56" s="19" t="str"/>
      <x:c r="V56" s="19" t="str">
        <x:v>239 - 219 A</x:v>
      </x:c>
      <x:c r="W56" s="19" t="str"/>
      <x:c r="X56" s="19" t="str"/>
      <x:c r="Y56" s="19" t="str"/>
      <x:c r="Z56" s="19" t="str"/>
      <x:c r="AA56" s="19" t="str"/>
      <x:c r="AB56" s="19" t="str"/>
      <x:c r="AC56" s="19" t="str"/>
      <x:c r="AD56" s="19" t="str"/>
      <x:c r="AE56" s="19" t="str"/>
      <x:c r="AF56" s="19" t="str"/>
      <x:c r="AG56" s="19" t="str"/>
      <x:c r="AH56" s="19" t="str"/>
      <x:c r="AI56" s="19" t="str"/>
      <x:c r="AJ56" s="19" t="str"/>
      <x:c r="AK56" s="19" t="str"/>
      <x:c r="AL56" s="19" t="str"/>
      <x:c r="AM56" s="19" t="str"/>
      <x:c r="AN56" s="19" t="str"/>
      <x:c r="AO56" s="19" t="str"/>
      <x:c r="AP56" s="19" t="str"/>
      <x:c r="AQ56" s="19" t="str"/>
      <x:c r="AR56" s="19" t="str">
        <x:v>Pump</x:v>
      </x:c>
      <x:c r="AS56" s="19" t="n">
        <x:v>110</x:v>
      </x:c>
      <x:c r="AT56" s="19" t="str">
        <x:v>KKS kosong pada sumber PDF</x:v>
      </x:c>
      <x:c r="AU56" s="19" t="str">
        <x:v>Type, Mfg : AEEBKB020175FM Type, Mfg. : | Speed : 2955 Speed : | Power : 132 kW Power : | House Power : 175 HP Capacity : | Inboard Bearing : 6314 C3 Inboard Bearing : | Outboard Bearing : 6314 C3 Onboard Bearing : | Current : 239 - 219 A Total Blade | Foundation : Rigid</x:v>
      </x:c>
      <x:c r="AV56" t="str">
        <x:f>IF(AS56&lt;=36,"UNIT 1",IF(AS56&lt;=70,"UNIT 2",IF(AS56&lt;=110,"UNIT 3","COMMON")))</x:f>
        <x:v>UNIT 3</x:v>
      </x:c>
    </x:row>
    <x:row r="57">
      <x:c r="A57" s="19" t="str">
        <x:v>REC-056</x:v>
      </x:c>
      <x:c r="B57" s="19" t="str">
        <x:v>AST-055</x:v>
      </x:c>
      <x:c r="C57" s="19" t="str">
        <x:v>BC 4.1</x:v>
      </x:c>
      <x:c r="D57" s="19" t="str">
        <x:v>LJ00EBA11AF004-001</x:v>
      </x:c>
      <x:c r="E57" s="19" t="str">
        <x:v>ISO 10816-3 (GROUP 2 EXLIBLE)</x:v>
      </x:c>
      <x:c r="F57" s="19" t="str">
        <x:v>ISO 10816-3 (GROUP 2 FLEXIBLE)</x:v>
      </x:c>
      <x:c r="G57" s="19" t="str">
        <x:v>W38</x:v>
      </x:c>
      <x:c r="H57" s="30" t="n">
        <x:v>45554</x:v>
      </x:c>
      <x:c r="I57" s="19" t="str">
        <x:v>PREWARNING</x:v>
      </x:c>
      <x:c r="J57" s="19" t="str">
        <x:v>MOTOR</x:v>
      </x:c>
      <x:c r="K57" s="19" t="str">
        <x:v>POMPA</x:v>
      </x:c>
      <x:c r="L57" s="19" t="str">
        <x:v>Y2-200L-4</x:v>
      </x:c>
      <x:c r="M57" s="19" t="str">
        <x:v>1470 r/min</x:v>
      </x:c>
      <x:c r="N57" s="19" t="str">
        <x:v>30 Kw</x:v>
      </x:c>
      <x:c r="O57" s="19" t="str">
        <x:v>Roller Bearing</x:v>
      </x:c>
      <x:c r="P57" s="19" t="str">
        <x:v>-</x:v>
      </x:c>
      <x:c r="Q57" s="19" t="str">
        <x:v>-</x:v>
      </x:c>
      <x:c r="R57" s="19" t="str">
        <x:v>-</x:v>
      </x:c>
      <x:c r="S57" s="19" t="str">
        <x:v>Rigid</x:v>
      </x:c>
      <x:c r="T57" s="19" t="str"/>
      <x:c r="U57" s="19" t="str"/>
      <x:c r="V57" s="19" t="str"/>
      <x:c r="W57" s="19" t="str"/>
      <x:c r="X57" s="19" t="str"/>
      <x:c r="Y57" s="19" t="str"/>
      <x:c r="Z57" s="19" t="str"/>
      <x:c r="AA57" s="19" t="str"/>
      <x:c r="AB57" s="19" t="str"/>
      <x:c r="AC57" s="19" t="str">
        <x:v>290820</x:v>
      </x:c>
      <x:c r="AD57" s="19" t="str"/>
      <x:c r="AE57" s="19" t="str">
        <x:v>-</x:v>
      </x:c>
      <x:c r="AF57" s="19" t="str">
        <x:v>30 Kw</x:v>
      </x:c>
      <x:c r="AG57" s="19" t="str">
        <x:v>300 t/h</x:v>
      </x:c>
      <x:c r="AH57" s="19" t="str"/>
      <x:c r="AI57" s="19" t="str"/>
      <x:c r="AJ57" s="19" t="str">
        <x:v>Roller Bearing</x:v>
      </x:c>
      <x:c r="AK57" s="19" t="str">
        <x:v>-</x:v>
      </x:c>
      <x:c r="AL57" s="19" t="str">
        <x:v>-</x:v>
      </x:c>
      <x:c r="AM57" s="19" t="str"/>
      <x:c r="AN57" s="19" t="str"/>
      <x:c r="AO57" s="19" t="str"/>
      <x:c r="AP57" s="19" t="str"/>
      <x:c r="AQ57" s="19" t="str"/>
      <x:c r="AR57" s="19" t="str">
        <x:v>Belt Conveyor</x:v>
      </x:c>
      <x:c r="AS57" s="19" t="n">
        <x:v>112</x:v>
      </x:c>
      <x:c r="AT57" s="19" t="str">
        <x:v>Class dinormalisasi pada kolom terpisah; nilai sumber dipertahankan</x:v>
      </x:c>
      <x:c r="AU57" s="19" t="str">
        <x:v>Type, Mfg : Y2-200L-4 Type, Mfg. : 290820 | Speed : 1470 r/min Speed : - | Power : 30 Kw Power : 30 Kw | Bearing Type : Roller Bearing Capacity : 300 t/h | Inboard Bearing : - Type Bearing : Roller Bearing | Outboard Bearing : - Inboard Bearing : - | Rotor Bar : - Onboard Bearing : - | Foundation : Rigid</x:v>
      </x:c>
      <x:c r="AV57" t="str">
        <x:f>IF(AS57&lt;=36,"UNIT 1",IF(AS57&lt;=70,"UNIT 2",IF(AS57&lt;=110,"UNIT 3","COMMON")))</x:f>
        <x:v>COMMON</x:v>
      </x:c>
    </x:row>
    <x:row r="58">
      <x:c r="A58" s="19" t="str">
        <x:v>REC-057</x:v>
      </x:c>
      <x:c r="B58" s="19" t="str">
        <x:v>AST-056</x:v>
      </x:c>
      <x:c r="C58" s="19" t="str">
        <x:v>BC 4.2</x:v>
      </x:c>
      <x:c r="D58" s="19" t="str">
        <x:v>LJ00EBA21AF004-001</x:v>
      </x:c>
      <x:c r="E58" s="19" t="str">
        <x:v>ISO 10816-3 (GROUP 2 EXLIBLE)</x:v>
      </x:c>
      <x:c r="F58" s="19" t="str">
        <x:v>ISO 10816-3 (GROUP 2 FLEXIBLE)</x:v>
      </x:c>
      <x:c r="G58" s="19" t="str">
        <x:v>W36</x:v>
      </x:c>
      <x:c r="H58" s="30" t="n">
        <x:v>45540</x:v>
      </x:c>
      <x:c r="I58" s="19" t="str">
        <x:v>PREWARNING</x:v>
      </x:c>
      <x:c r="J58" s="19" t="str">
        <x:v>MOTOR</x:v>
      </x:c>
      <x:c r="K58" s="19" t="str">
        <x:v>DRIVE</x:v>
      </x:c>
      <x:c r="L58" s="19" t="str">
        <x:v>Y2-200L-4</x:v>
      </x:c>
      <x:c r="M58" s="19" t="str">
        <x:v>1470 r/min</x:v>
      </x:c>
      <x:c r="N58" s="19" t="str">
        <x:v>30 Kw</x:v>
      </x:c>
      <x:c r="O58" s="19" t="str">
        <x:v>Roller Bearing</x:v>
      </x:c>
      <x:c r="P58" s="19" t="str">
        <x:v>-</x:v>
      </x:c>
      <x:c r="Q58" s="19" t="str">
        <x:v>-</x:v>
      </x:c>
      <x:c r="R58" s="19" t="str">
        <x:v>-</x:v>
      </x:c>
      <x:c r="S58" s="19" t="str">
        <x:v>Rigid</x:v>
      </x:c>
      <x:c r="T58" s="19" t="str"/>
      <x:c r="U58" s="19" t="str"/>
      <x:c r="V58" s="19" t="str"/>
      <x:c r="W58" s="19" t="str"/>
      <x:c r="X58" s="19" t="str"/>
      <x:c r="Y58" s="19" t="str"/>
      <x:c r="Z58" s="19" t="str"/>
      <x:c r="AA58" s="19" t="str"/>
      <x:c r="AB58" s="19" t="str"/>
      <x:c r="AC58" s="19" t="str">
        <x:v>290820</x:v>
      </x:c>
      <x:c r="AD58" s="19" t="str"/>
      <x:c r="AE58" s="19" t="str">
        <x:v>-</x:v>
      </x:c>
      <x:c r="AF58" s="19" t="str">
        <x:v>30 Kw</x:v>
      </x:c>
      <x:c r="AG58" s="19" t="str">
        <x:v>300 t/h</x:v>
      </x:c>
      <x:c r="AH58" s="19" t="str"/>
      <x:c r="AI58" s="19" t="str"/>
      <x:c r="AJ58" s="19" t="str">
        <x:v>Roller Bearing</x:v>
      </x:c>
      <x:c r="AK58" s="19" t="str">
        <x:v>-</x:v>
      </x:c>
      <x:c r="AL58" s="19" t="str">
        <x:v>-</x:v>
      </x:c>
      <x:c r="AM58" s="19" t="str"/>
      <x:c r="AN58" s="19" t="str"/>
      <x:c r="AO58" s="19" t="str"/>
      <x:c r="AP58" s="19" t="str"/>
      <x:c r="AQ58" s="19" t="str"/>
      <x:c r="AR58" s="19" t="str">
        <x:v>Belt Conveyor</x:v>
      </x:c>
      <x:c r="AS58" s="19" t="n">
        <x:v>114</x:v>
      </x:c>
      <x:c r="AT58" s="19" t="str">
        <x:v>Class dinormalisasi pada kolom terpisah; nilai sumber dipertahankan</x:v>
      </x:c>
      <x:c r="AU58" s="19" t="str">
        <x:v>Type, Mfg : Y2-200L-4 Type, Mfg. : 290820 | Speed : 1470 r/min Speed : - | Power : 30 Kw Power : 30 Kw | Bearing Type : Roller Bearing Capacity : 300 t/h | Inboard Bearing : - Type Bearing : Roller Bearing | Outboard Bearing : - Inboard Bearing : - | Rotor Bar : - Onboard Bearing : - | Foundation : Rigid</x:v>
      </x:c>
      <x:c r="AV58" t="str">
        <x:f>IF(AS58&lt;=36,"UNIT 1",IF(AS58&lt;=70,"UNIT 2",IF(AS58&lt;=110,"UNIT 3","COMMON")))</x:f>
        <x:v>COMMON</x:v>
      </x:c>
    </x:row>
    <x:row r="59">
      <x:c r="A59" s="19" t="str">
        <x:v>REC-058</x:v>
      </x:c>
      <x:c r="B59" s="19" t="str">
        <x:v>AST-057</x:v>
      </x:c>
      <x:c r="C59" s="19" t="str">
        <x:v>BC 5.1</x:v>
      </x:c>
      <x:c r="D59" s="19" t="str">
        <x:v>LJ00EBA11AF005-001</x:v>
      </x:c>
      <x:c r="E59" s="19" t="str">
        <x:v>ISO 10816-3 (GROUP 2 EXLIBLE)</x:v>
      </x:c>
      <x:c r="F59" s="19" t="str">
        <x:v>ISO 10816-3 (GROUP 2 FLEXIBLE)</x:v>
      </x:c>
      <x:c r="G59" s="19" t="str">
        <x:v>W38</x:v>
      </x:c>
      <x:c r="H59" s="30" t="n">
        <x:v>45555</x:v>
      </x:c>
      <x:c r="I59" s="19" t="str">
        <x:v>PREWARNING</x:v>
      </x:c>
      <x:c r="J59" s="19" t="str">
        <x:v>MOTOR</x:v>
      </x:c>
      <x:c r="K59" s="19" t="str">
        <x:v>DRIVE</x:v>
      </x:c>
      <x:c r="L59" s="19" t="str">
        <x:v>Y2-2805-6</x:v>
      </x:c>
      <x:c r="M59" s="19" t="str">
        <x:v>980 r/min</x:v>
      </x:c>
      <x:c r="N59" s="19" t="str">
        <x:v>45 Kw</x:v>
      </x:c>
      <x:c r="O59" s="19" t="str">
        <x:v>Roller Bearing</x:v>
      </x:c>
      <x:c r="P59" s="19" t="str">
        <x:v>-</x:v>
      </x:c>
      <x:c r="Q59" s="19" t="str">
        <x:v>-</x:v>
      </x:c>
      <x:c r="R59" s="19" t="str">
        <x:v>-</x:v>
      </x:c>
      <x:c r="S59" s="19" t="str">
        <x:v>Rigid</x:v>
      </x:c>
      <x:c r="T59" s="19" t="str"/>
      <x:c r="U59" s="19" t="str"/>
      <x:c r="V59" s="19" t="str"/>
      <x:c r="W59" s="19" t="str"/>
      <x:c r="X59" s="19" t="str"/>
      <x:c r="Y59" s="19" t="str"/>
      <x:c r="Z59" s="19" t="str"/>
      <x:c r="AA59" s="19" t="str"/>
      <x:c r="AB59" s="19" t="str"/>
      <x:c r="AC59" s="19" t="str">
        <x:v>290822</x:v>
      </x:c>
      <x:c r="AD59" s="19" t="str"/>
      <x:c r="AE59" s="19" t="str">
        <x:v>-</x:v>
      </x:c>
      <x:c r="AF59" s="19" t="str">
        <x:v>45 Kw</x:v>
      </x:c>
      <x:c r="AG59" s="19" t="str">
        <x:v>300 t/h</x:v>
      </x:c>
      <x:c r="AH59" s="19" t="str"/>
      <x:c r="AI59" s="19" t="str"/>
      <x:c r="AJ59" s="19" t="str">
        <x:v>Roller Bearing</x:v>
      </x:c>
      <x:c r="AK59" s="19" t="str">
        <x:v>-</x:v>
      </x:c>
      <x:c r="AL59" s="19" t="str">
        <x:v>-</x:v>
      </x:c>
      <x:c r="AM59" s="19" t="str"/>
      <x:c r="AN59" s="19" t="str"/>
      <x:c r="AO59" s="19" t="str"/>
      <x:c r="AP59" s="19" t="str"/>
      <x:c r="AQ59" s="19" t="str"/>
      <x:c r="AR59" s="19" t="str">
        <x:v>Belt Conveyor</x:v>
      </x:c>
      <x:c r="AS59" s="19" t="n">
        <x:v>116</x:v>
      </x:c>
      <x:c r="AT59" s="19" t="str">
        <x:v>Class dinormalisasi pada kolom terpisah; nilai sumber dipertahankan</x:v>
      </x:c>
      <x:c r="AU59" s="19" t="str">
        <x:v>Type, Mfg : Y2-2805-6 Type, Mfg. : 290822 | Speed : 980 r/min Speed : - | Power : 45 Kw Power : 45 Kw | Bearing Type : Roller Bearing Capacity : 300 t/h | Inboard Bearing : - Type Bearing : Roller Bearing | Outboard Bearing : - Inboard Bearing : - | Rotor Bar : - Onboard Bearing : - | Foundation : Rigid</x:v>
      </x:c>
      <x:c r="AV59" t="str">
        <x:f>IF(AS59&lt;=36,"UNIT 1",IF(AS59&lt;=70,"UNIT 2",IF(AS59&lt;=110,"UNIT 3","COMMON")))</x:f>
        <x:v>COMMON</x:v>
      </x:c>
    </x:row>
    <x:row r="60">
      <x:c r="A60" s="19" t="str">
        <x:v>REC-059</x:v>
      </x:c>
      <x:c r="B60" s="19" t="str">
        <x:v>AST-058</x:v>
      </x:c>
      <x:c r="C60" s="19" t="str">
        <x:v>BC 5.2</x:v>
      </x:c>
      <x:c r="D60" s="19" t="str">
        <x:v>LJ00EBA21AF005-001</x:v>
      </x:c>
      <x:c r="E60" s="19" t="str">
        <x:v>ISO 10816-3 (GROUP 2 EXLIBLE)</x:v>
      </x:c>
      <x:c r="F60" s="19" t="str">
        <x:v>ISO 10816-3 (GROUP 2 FLEXIBLE)</x:v>
      </x:c>
      <x:c r="G60" s="19" t="str">
        <x:v>W36</x:v>
      </x:c>
      <x:c r="H60" s="30" t="n">
        <x:v>45541</x:v>
      </x:c>
      <x:c r="I60" s="19" t="str">
        <x:v>NORMAL</x:v>
      </x:c>
      <x:c r="J60" s="19" t="str">
        <x:v>MOTOR</x:v>
      </x:c>
      <x:c r="K60" s="19" t="str">
        <x:v>POMPA</x:v>
      </x:c>
      <x:c r="L60" s="19" t="str">
        <x:v>Y2-2805-6</x:v>
      </x:c>
      <x:c r="M60" s="19" t="str">
        <x:v>980 r/min</x:v>
      </x:c>
      <x:c r="N60" s="19" t="str">
        <x:v>45 Kw</x:v>
      </x:c>
      <x:c r="O60" s="19" t="str">
        <x:v>Roller Bearing</x:v>
      </x:c>
      <x:c r="P60" s="19" t="str">
        <x:v>-</x:v>
      </x:c>
      <x:c r="Q60" s="19" t="str">
        <x:v>-</x:v>
      </x:c>
      <x:c r="R60" s="19" t="str">
        <x:v>-</x:v>
      </x:c>
      <x:c r="S60" s="19" t="str">
        <x:v>Rigid</x:v>
      </x:c>
      <x:c r="T60" s="19" t="str"/>
      <x:c r="U60" s="19" t="str"/>
      <x:c r="V60" s="19" t="str"/>
      <x:c r="W60" s="19" t="str"/>
      <x:c r="X60" s="19" t="str"/>
      <x:c r="Y60" s="19" t="str"/>
      <x:c r="Z60" s="19" t="str"/>
      <x:c r="AA60" s="19" t="str"/>
      <x:c r="AB60" s="19" t="str"/>
      <x:c r="AC60" s="19" t="str">
        <x:v>290822</x:v>
      </x:c>
      <x:c r="AD60" s="19" t="str"/>
      <x:c r="AE60" s="19" t="str">
        <x:v>-</x:v>
      </x:c>
      <x:c r="AF60" s="19" t="str">
        <x:v>45 Kw</x:v>
      </x:c>
      <x:c r="AG60" s="19" t="str">
        <x:v>300 t/h</x:v>
      </x:c>
      <x:c r="AH60" s="19" t="str"/>
      <x:c r="AI60" s="19" t="str"/>
      <x:c r="AJ60" s="19" t="str">
        <x:v>Roller Bearing</x:v>
      </x:c>
      <x:c r="AK60" s="19" t="str">
        <x:v>-</x:v>
      </x:c>
      <x:c r="AL60" s="19" t="str">
        <x:v>-</x:v>
      </x:c>
      <x:c r="AM60" s="19" t="str"/>
      <x:c r="AN60" s="19" t="str"/>
      <x:c r="AO60" s="19" t="str"/>
      <x:c r="AP60" s="19" t="str"/>
      <x:c r="AQ60" s="19" t="str"/>
      <x:c r="AR60" s="19" t="str">
        <x:v>Belt Conveyor</x:v>
      </x:c>
      <x:c r="AS60" s="19" t="n">
        <x:v>118</x:v>
      </x:c>
      <x:c r="AT60" s="19" t="str">
        <x:v>Class dinormalisasi pada kolom terpisah; nilai sumber dipertahankan</x:v>
      </x:c>
      <x:c r="AU60" s="19" t="str">
        <x:v>Type, Mfg : Y2-2805-6 Type, Mfg. : 290822 | Speed : 980 r/min Speed : - | Power : 45 Kw Power : 45 Kw | Bearing Type : Roller Bearing Capacity : 300 t/h | Inboard Bearing : - Type Bearing : Roller Bearing | Outboard Bearing : - Inboard Bearing : - | Rotor Bar : - Onboard Bearing : - | Foundation : Rigid</x:v>
      </x:c>
      <x:c r="AV60" t="str">
        <x:f>IF(AS60&lt;=36,"UNIT 1",IF(AS60&lt;=70,"UNIT 2",IF(AS60&lt;=110,"UNIT 3","COMMON")))</x:f>
        <x:v>COMMON</x:v>
      </x:c>
    </x:row>
    <x:row r="61">
      <x:c r="A61" s="19" t="str">
        <x:v>REC-060</x:v>
      </x:c>
      <x:c r="B61" s="19" t="str">
        <x:v>AST-059</x:v>
      </x:c>
      <x:c r="C61" s="19" t="str">
        <x:v>BC 7.1</x:v>
      </x:c>
      <x:c r="D61" s="19" t="str">
        <x:v>LJ00EBA11AF006-001</x:v>
      </x:c>
      <x:c r="E61" s="19" t="str">
        <x:v>ISO 10816-3 (GROUP 2 FLEXIBLE)</x:v>
      </x:c>
      <x:c r="F61" s="19" t="str">
        <x:v>ISO 10816-3 (GROUP 2 FLEXIBLE)</x:v>
      </x:c>
      <x:c r="G61" s="19" t="str">
        <x:v>W38</x:v>
      </x:c>
      <x:c r="H61" s="30" t="n">
        <x:v>45555</x:v>
      </x:c>
      <x:c r="I61" s="19" t="str">
        <x:v>PREWARNING</x:v>
      </x:c>
      <x:c r="J61" s="19" t="str">
        <x:v>MOTOR</x:v>
      </x:c>
      <x:c r="K61" s="19" t="str">
        <x:v>POMPA</x:v>
      </x:c>
      <x:c r="L61" s="19" t="str">
        <x:v>Y2-315S-6</x:v>
      </x:c>
      <x:c r="M61" s="19" t="str">
        <x:v>990 r/min</x:v>
      </x:c>
      <x:c r="N61" s="19" t="str">
        <x:v>75 Kw</x:v>
      </x:c>
      <x:c r="O61" s="19" t="str">
        <x:v>Roller Bearing</x:v>
      </x:c>
      <x:c r="P61" s="19" t="str">
        <x:v>-</x:v>
      </x:c>
      <x:c r="Q61" s="19" t="str">
        <x:v>-</x:v>
      </x:c>
      <x:c r="R61" s="19" t="str">
        <x:v>-</x:v>
      </x:c>
      <x:c r="S61" s="19" t="str">
        <x:v>Rigid</x:v>
      </x:c>
      <x:c r="T61" s="19" t="str"/>
      <x:c r="U61" s="19" t="str"/>
      <x:c r="V61" s="19" t="str"/>
      <x:c r="W61" s="19" t="str"/>
      <x:c r="X61" s="19" t="str"/>
      <x:c r="Y61" s="19" t="str"/>
      <x:c r="Z61" s="19" t="str"/>
      <x:c r="AA61" s="19" t="str"/>
      <x:c r="AB61" s="19" t="str"/>
      <x:c r="AC61" s="19" t="str">
        <x:v>290821</x:v>
      </x:c>
      <x:c r="AD61" s="19" t="str"/>
      <x:c r="AE61" s="19" t="str">
        <x:v>-</x:v>
      </x:c>
      <x:c r="AF61" s="19" t="str">
        <x:v>30 Kw</x:v>
      </x:c>
      <x:c r="AG61" s="19" t="str">
        <x:v>300 t/h</x:v>
      </x:c>
      <x:c r="AH61" s="19" t="str"/>
      <x:c r="AI61" s="19" t="str"/>
      <x:c r="AJ61" s="19" t="str">
        <x:v>Roller Bearing</x:v>
      </x:c>
      <x:c r="AK61" s="19" t="str">
        <x:v>-</x:v>
      </x:c>
      <x:c r="AL61" s="19" t="str">
        <x:v>-</x:v>
      </x:c>
      <x:c r="AM61" s="19" t="str"/>
      <x:c r="AN61" s="19" t="str"/>
      <x:c r="AO61" s="19" t="str"/>
      <x:c r="AP61" s="19" t="str"/>
      <x:c r="AQ61" s="19" t="str"/>
      <x:c r="AR61" s="19" t="str">
        <x:v>Belt Conveyor</x:v>
      </x:c>
      <x:c r="AS61" s="19" t="n">
        <x:v>120</x:v>
      </x:c>
      <x:c r="AT61" s="19" t="str"/>
      <x:c r="AU61" s="19" t="str">
        <x:v>Type, Mfg : Y2-315S-6 Type, Mfg. : 290821 | Speed : 990 r/min Speed : - | Power : 75 Kw Power : 30 Kw | Bearing Type : Roller Bearing Capacity : 300 t/h | Inboard Bearing : - Type Bearing : Roller Bearing | Outboard Bearing : - Inboard Bearing : - | Rotor Bar : - Onboard Bearing : - | Foundation : Rigid</x:v>
      </x:c>
      <x:c r="AV61" t="str">
        <x:f>IF(AS61&lt;=36,"UNIT 1",IF(AS61&lt;=70,"UNIT 2",IF(AS61&lt;=110,"UNIT 3","COMMON")))</x:f>
        <x:v>COMMON</x:v>
      </x:c>
    </x:row>
    <x:row r="62">
      <x:c r="A62" s="19" t="str">
        <x:v>REC-061</x:v>
      </x:c>
      <x:c r="B62" s="19" t="str">
        <x:v>AST-060</x:v>
      </x:c>
      <x:c r="C62" s="19" t="str">
        <x:v>BC 7. 2</x:v>
      </x:c>
      <x:c r="D62" s="19" t="str">
        <x:v>LJ00EBA21AF006-001</x:v>
      </x:c>
      <x:c r="E62" s="19" t="str">
        <x:v>ISO 10816-3 (GROUP 2 EXLIBLE)</x:v>
      </x:c>
      <x:c r="F62" s="19" t="str">
        <x:v>ISO 10816-3 (GROUP 2 FLEXIBLE)</x:v>
      </x:c>
      <x:c r="G62" s="19" t="str">
        <x:v>W36</x:v>
      </x:c>
      <x:c r="H62" s="30" t="n">
        <x:v>45541</x:v>
      </x:c>
      <x:c r="I62" s="19" t="str">
        <x:v>PREWARNING</x:v>
      </x:c>
      <x:c r="J62" s="19" t="str">
        <x:v>MOTOR</x:v>
      </x:c>
      <x:c r="K62" s="19" t="str">
        <x:v>POMPA</x:v>
      </x:c>
      <x:c r="L62" s="19" t="str">
        <x:v>Y2-315S-6</x:v>
      </x:c>
      <x:c r="M62" s="19" t="str">
        <x:v>990 r/min</x:v>
      </x:c>
      <x:c r="N62" s="19" t="str">
        <x:v>75 Kw</x:v>
      </x:c>
      <x:c r="O62" s="19" t="str">
        <x:v>Roller Bearing</x:v>
      </x:c>
      <x:c r="P62" s="19" t="str">
        <x:v>-</x:v>
      </x:c>
      <x:c r="Q62" s="19" t="str">
        <x:v>-</x:v>
      </x:c>
      <x:c r="R62" s="19" t="str">
        <x:v>-</x:v>
      </x:c>
      <x:c r="S62" s="19" t="str">
        <x:v>Rigid</x:v>
      </x:c>
      <x:c r="T62" s="19" t="str"/>
      <x:c r="U62" s="19" t="str"/>
      <x:c r="V62" s="19" t="str"/>
      <x:c r="W62" s="19" t="str"/>
      <x:c r="X62" s="19" t="str"/>
      <x:c r="Y62" s="19" t="str"/>
      <x:c r="Z62" s="19" t="str"/>
      <x:c r="AA62" s="19" t="str"/>
      <x:c r="AB62" s="19" t="str"/>
      <x:c r="AC62" s="19" t="str">
        <x:v>290821</x:v>
      </x:c>
      <x:c r="AD62" s="19" t="str"/>
      <x:c r="AE62" s="19" t="str">
        <x:v>-</x:v>
      </x:c>
      <x:c r="AF62" s="19" t="str">
        <x:v>30 Kw</x:v>
      </x:c>
      <x:c r="AG62" s="19" t="str">
        <x:v>300 t/h</x:v>
      </x:c>
      <x:c r="AH62" s="19" t="str"/>
      <x:c r="AI62" s="19" t="str"/>
      <x:c r="AJ62" s="19" t="str">
        <x:v>Roller Bearing</x:v>
      </x:c>
      <x:c r="AK62" s="19" t="str">
        <x:v>-</x:v>
      </x:c>
      <x:c r="AL62" s="19" t="str">
        <x:v>-</x:v>
      </x:c>
      <x:c r="AM62" s="19" t="str"/>
      <x:c r="AN62" s="19" t="str"/>
      <x:c r="AO62" s="19" t="str"/>
      <x:c r="AP62" s="19" t="str"/>
      <x:c r="AQ62" s="19" t="str"/>
      <x:c r="AR62" s="19" t="str">
        <x:v>Belt Conveyor</x:v>
      </x:c>
      <x:c r="AS62" s="19" t="n">
        <x:v>122</x:v>
      </x:c>
      <x:c r="AT62" s="19" t="str">
        <x:v>Class dinormalisasi pada kolom terpisah; nilai sumber dipertahankan</x:v>
      </x:c>
      <x:c r="AU62" s="19" t="str">
        <x:v>Type, Mfg : Y2-315S-6 Type, Mfg. : 290821 | Speed : 990 r/min Speed : - | Power : 75 Kw Power : 30 Kw | Bearing Type : Roller Bearing Capacity : 300 t/h | Inboard Bearing : - Type Bearing : Roller Bearing | Outboard Bearing : - Inboard Bearing : - | Rotor Bar : - Onboard Bearing : - | Foundation : Rigid</x:v>
      </x:c>
      <x:c r="AV62" t="str">
        <x:f>IF(AS62&lt;=36,"UNIT 1",IF(AS62&lt;=70,"UNIT 2",IF(AS62&lt;=110,"UNIT 3","COMMON")))</x:f>
        <x:v>COMMON</x:v>
      </x:c>
    </x:row>
    <x:row r="63">
      <x:c r="A63" s="19" t="str">
        <x:v>REC-062</x:v>
      </x:c>
      <x:c r="B63" s="19" t="str">
        <x:v>AST-061</x:v>
      </x:c>
      <x:c r="C63" s="19" t="str">
        <x:v>BC 8.1</x:v>
      </x:c>
      <x:c r="D63" s="19" t="str">
        <x:v>LJ00EBA11AF007-001</x:v>
      </x:c>
      <x:c r="E63" s="19" t="str">
        <x:v>ISO 10816-3 (GROUP 2 FLEXIBLE)</x:v>
      </x:c>
      <x:c r="F63" s="19" t="str">
        <x:v>ISO 10816-3 (GROUP 2 FLEXIBLE)</x:v>
      </x:c>
      <x:c r="G63" s="19" t="str">
        <x:v>W38</x:v>
      </x:c>
      <x:c r="H63" s="30" t="n">
        <x:v>45555</x:v>
      </x:c>
      <x:c r="I63" s="19" t="str">
        <x:v>PREWARNING</x:v>
      </x:c>
      <x:c r="J63" s="19" t="str">
        <x:v>MOTOR</x:v>
      </x:c>
      <x:c r="K63" s="19" t="str">
        <x:v>POMPA</x:v>
      </x:c>
      <x:c r="L63" s="19" t="str"/>
      <x:c r="M63" s="19" t="str">
        <x:v>1460 r/min</x:v>
      </x:c>
      <x:c r="N63" s="19" t="str">
        <x:v>15 Kw</x:v>
      </x:c>
      <x:c r="O63" s="19" t="str">
        <x:v>Roller Bearing</x:v>
      </x:c>
      <x:c r="P63" s="19" t="str">
        <x:v>-</x:v>
      </x:c>
      <x:c r="Q63" s="19" t="str">
        <x:v>-</x:v>
      </x:c>
      <x:c r="R63" s="19" t="str">
        <x:v>-</x:v>
      </x:c>
      <x:c r="S63" s="19" t="str">
        <x:v>Rigid</x:v>
      </x:c>
      <x:c r="T63" s="19" t="str"/>
      <x:c r="U63" s="19" t="str"/>
      <x:c r="V63" s="19" t="str"/>
      <x:c r="W63" s="19" t="str"/>
      <x:c r="X63" s="19" t="str"/>
      <x:c r="Y63" s="19" t="str"/>
      <x:c r="Z63" s="19" t="str"/>
      <x:c r="AA63" s="19" t="str"/>
      <x:c r="AB63" s="19" t="str"/>
      <x:c r="AC63" s="19" t="str">
        <x:v>-</x:v>
      </x:c>
      <x:c r="AD63" s="19" t="str"/>
      <x:c r="AE63" s="19" t="str">
        <x:v>-</x:v>
      </x:c>
      <x:c r="AF63" s="19" t="str">
        <x:v>-</x:v>
      </x:c>
      <x:c r="AG63" s="19" t="str">
        <x:v>-</x:v>
      </x:c>
      <x:c r="AH63" s="19" t="str"/>
      <x:c r="AI63" s="19" t="str"/>
      <x:c r="AJ63" s="19" t="str">
        <x:v>-</x:v>
      </x:c>
      <x:c r="AK63" s="19" t="str">
        <x:v>-</x:v>
      </x:c>
      <x:c r="AL63" s="19" t="str">
        <x:v>-</x:v>
      </x:c>
      <x:c r="AM63" s="19" t="str"/>
      <x:c r="AN63" s="19" t="str"/>
      <x:c r="AO63" s="19" t="str"/>
      <x:c r="AP63" s="19" t="str"/>
      <x:c r="AQ63" s="19" t="str"/>
      <x:c r="AR63" s="19" t="str">
        <x:v>Belt Conveyor</x:v>
      </x:c>
      <x:c r="AS63" s="19" t="n">
        <x:v>124</x:v>
      </x:c>
      <x:c r="AT63" s="19" t="str"/>
      <x:c r="AU63" s="19" t="str">
        <x:v>Type, Mfg : Type, Mfg. : - | Speed : 1460 r/min Speed : - | Power : 15 Kw Power : - | Bearing Type : Roller Bearing Capacity : - | Inboard Bearing : - Type Bearing : - | Outboard Bearing : - Inboard Bearing : - | Rotor Bar : - Onboard Bearing : - | Foundation : Rigid</x:v>
      </x:c>
      <x:c r="AV63" t="str">
        <x:f>IF(AS63&lt;=36,"UNIT 1",IF(AS63&lt;=70,"UNIT 2",IF(AS63&lt;=110,"UNIT 3","COMMON")))</x:f>
        <x:v>COMMON</x:v>
      </x:c>
    </x:row>
    <x:row r="64">
      <x:c r="A64" s="19" t="str">
        <x:v>REC-063</x:v>
      </x:c>
      <x:c r="B64" s="19" t="str">
        <x:v>AST-062</x:v>
      </x:c>
      <x:c r="C64" s="19" t="str">
        <x:v>BC 8.2</x:v>
      </x:c>
      <x:c r="D64" s="19" t="str">
        <x:v>LJ00EBA21AF007-001</x:v>
      </x:c>
      <x:c r="E64" s="19" t="str">
        <x:v>ISO 10816-3 (GROUP 2 FLEXIBLE)</x:v>
      </x:c>
      <x:c r="F64" s="19" t="str">
        <x:v>ISO 10816-3 (GROUP 2 FLEXIBLE)</x:v>
      </x:c>
      <x:c r="G64" s="19" t="str">
        <x:v>W36</x:v>
      </x:c>
      <x:c r="H64" s="30" t="n">
        <x:v>45541</x:v>
      </x:c>
      <x:c r="I64" s="19" t="str">
        <x:v>PREWARNING</x:v>
      </x:c>
      <x:c r="J64" s="19" t="str">
        <x:v>MOTOR</x:v>
      </x:c>
      <x:c r="K64" s="19" t="str">
        <x:v>POMPA</x:v>
      </x:c>
      <x:c r="L64" s="19" t="str"/>
      <x:c r="M64" s="19" t="str">
        <x:v>1460 r/min</x:v>
      </x:c>
      <x:c r="N64" s="19" t="str">
        <x:v>15 Kw</x:v>
      </x:c>
      <x:c r="O64" s="19" t="str">
        <x:v>Roller Bearing</x:v>
      </x:c>
      <x:c r="P64" s="19" t="str">
        <x:v>-</x:v>
      </x:c>
      <x:c r="Q64" s="19" t="str">
        <x:v>-</x:v>
      </x:c>
      <x:c r="R64" s="19" t="str">
        <x:v>-</x:v>
      </x:c>
      <x:c r="S64" s="19" t="str">
        <x:v>Rigid</x:v>
      </x:c>
      <x:c r="T64" s="19" t="str"/>
      <x:c r="U64" s="19" t="str"/>
      <x:c r="V64" s="19" t="str"/>
      <x:c r="W64" s="19" t="str"/>
      <x:c r="X64" s="19" t="str"/>
      <x:c r="Y64" s="19" t="str"/>
      <x:c r="Z64" s="19" t="str"/>
      <x:c r="AA64" s="19" t="str"/>
      <x:c r="AB64" s="19" t="str"/>
      <x:c r="AC64" s="19" t="str">
        <x:v>-</x:v>
      </x:c>
      <x:c r="AD64" s="19" t="str"/>
      <x:c r="AE64" s="19" t="str">
        <x:v>-</x:v>
      </x:c>
      <x:c r="AF64" s="19" t="str">
        <x:v>-</x:v>
      </x:c>
      <x:c r="AG64" s="19" t="str">
        <x:v>-</x:v>
      </x:c>
      <x:c r="AH64" s="19" t="str"/>
      <x:c r="AI64" s="19" t="str"/>
      <x:c r="AJ64" s="19" t="str">
        <x:v>-</x:v>
      </x:c>
      <x:c r="AK64" s="19" t="str">
        <x:v>-</x:v>
      </x:c>
      <x:c r="AL64" s="19" t="str">
        <x:v>-</x:v>
      </x:c>
      <x:c r="AM64" s="19" t="str"/>
      <x:c r="AN64" s="19" t="str"/>
      <x:c r="AO64" s="19" t="str"/>
      <x:c r="AP64" s="19" t="str"/>
      <x:c r="AQ64" s="19" t="str"/>
      <x:c r="AR64" s="19" t="str">
        <x:v>Belt Conveyor</x:v>
      </x:c>
      <x:c r="AS64" s="19" t="n">
        <x:v>126</x:v>
      </x:c>
      <x:c r="AT64" s="19" t="str"/>
      <x:c r="AU64" s="19" t="str">
        <x:v>Type, Mfg : Type, Mfg. : - | Speed : 1460 r/min Speed : - | Power : 15 Kw Power : - | Bearing Type : Roller Bearing Capacity : - | Inboard Bearing : - Type Bearing : - | Outboard Bearing : - Inboard Bearing : - | Rotor Bar : - Onboard Bearing : - | Foundation : Rigid</x:v>
      </x:c>
      <x:c r="AV64" t="str">
        <x:f>IF(AS64&lt;=36,"UNIT 1",IF(AS64&lt;=70,"UNIT 2",IF(AS64&lt;=110,"UNIT 3","COMMON")))</x:f>
        <x:v>COMMON</x:v>
      </x:c>
    </x:row>
    <x:row r="65">
      <x:c r="A65" s="19" t="str">
        <x:v>REC-064</x:v>
      </x:c>
      <x:c r="B65" s="19" t="str">
        <x:v>AST-063</x:v>
      </x:c>
      <x:c r="C65" s="19" t="str">
        <x:v>BC 10.1</x:v>
      </x:c>
      <x:c r="D65" s="19" t="str">
        <x:v>LJ00EBA11AF008-001</x:v>
      </x:c>
      <x:c r="E65" s="19" t="str">
        <x:v>ISO 10816-3 (GROUP 2 FLECIBLE)</x:v>
      </x:c>
      <x:c r="F65" s="19" t="str">
        <x:v>ISO 10816-3 (GROUP 2 FLEXIBLE)</x:v>
      </x:c>
      <x:c r="G65" s="19" t="str">
        <x:v>W38</x:v>
      </x:c>
      <x:c r="H65" s="30" t="n">
        <x:v>45555</x:v>
      </x:c>
      <x:c r="I65" s="19" t="str">
        <x:v>PREWARNING</x:v>
      </x:c>
      <x:c r="J65" s="19" t="str">
        <x:v>MOTOR</x:v>
      </x:c>
      <x:c r="K65" s="19" t="str">
        <x:v>POMPA</x:v>
      </x:c>
      <x:c r="L65" s="19" t="str"/>
      <x:c r="M65" s="19" t="str">
        <x:v>1470 r/min</x:v>
      </x:c>
      <x:c r="N65" s="19" t="str">
        <x:v>18.5 Kw</x:v>
      </x:c>
      <x:c r="O65" s="19" t="str">
        <x:v>Roller Bearing</x:v>
      </x:c>
      <x:c r="P65" s="19" t="str">
        <x:v>-</x:v>
      </x:c>
      <x:c r="Q65" s="19" t="str">
        <x:v>-</x:v>
      </x:c>
      <x:c r="R65" s="19" t="str">
        <x:v>-</x:v>
      </x:c>
      <x:c r="S65" s="19" t="str">
        <x:v>Rigid</x:v>
      </x:c>
      <x:c r="T65" s="19" t="str"/>
      <x:c r="U65" s="19" t="str"/>
      <x:c r="V65" s="19" t="str"/>
      <x:c r="W65" s="19" t="str"/>
      <x:c r="X65" s="19" t="str"/>
      <x:c r="Y65" s="19" t="str"/>
      <x:c r="Z65" s="19" t="str"/>
      <x:c r="AA65" s="19" t="str"/>
      <x:c r="AB65" s="19" t="str"/>
      <x:c r="AC65" s="19" t="str">
        <x:v>-</x:v>
      </x:c>
      <x:c r="AD65" s="19" t="str"/>
      <x:c r="AE65" s="19" t="str">
        <x:v>-</x:v>
      </x:c>
      <x:c r="AF65" s="19" t="str">
        <x:v>-</x:v>
      </x:c>
      <x:c r="AG65" s="19" t="str">
        <x:v>-</x:v>
      </x:c>
      <x:c r="AH65" s="19" t="str"/>
      <x:c r="AI65" s="19" t="str"/>
      <x:c r="AJ65" s="19" t="str">
        <x:v>-</x:v>
      </x:c>
      <x:c r="AK65" s="19" t="str">
        <x:v>-</x:v>
      </x:c>
      <x:c r="AL65" s="19" t="str">
        <x:v>-</x:v>
      </x:c>
      <x:c r="AM65" s="19" t="str"/>
      <x:c r="AN65" s="19" t="str"/>
      <x:c r="AO65" s="19" t="str"/>
      <x:c r="AP65" s="19" t="str"/>
      <x:c r="AQ65" s="19" t="str"/>
      <x:c r="AR65" s="19" t="str">
        <x:v>Belt Conveyor</x:v>
      </x:c>
      <x:c r="AS65" s="19" t="n">
        <x:v>128</x:v>
      </x:c>
      <x:c r="AT65" s="19" t="str">
        <x:v>Class dinormalisasi pada kolom terpisah; nilai sumber dipertahankan</x:v>
      </x:c>
      <x:c r="AU65" s="19" t="str">
        <x:v>Type, Mfg : Type, Mfg. : - | Speed : 1470 r/min Speed : - | Power : 18.5 Kw Power : - | Bearing Type : Roller Bearing Capacity : - | Inboard Bearing : - Type Bearing : - | Outboard Bearing : - Inboard Bearing : - | Rotor Bar : - Onboard Bearing : - | Foundation : Rigid</x:v>
      </x:c>
      <x:c r="AV65" t="str">
        <x:f>IF(AS65&lt;=36,"UNIT 1",IF(AS65&lt;=70,"UNIT 2",IF(AS65&lt;=110,"UNIT 3","COMMON")))</x:f>
        <x:v>COMMON</x:v>
      </x:c>
    </x:row>
    <x:row r="66">
      <x:c r="A66" s="19" t="str">
        <x:v>REC-065</x:v>
      </x:c>
      <x:c r="B66" s="19" t="str">
        <x:v>AST-064</x:v>
      </x:c>
      <x:c r="C66" s="19" t="str">
        <x:v>BC 10.2</x:v>
      </x:c>
      <x:c r="D66" s="19" t="str">
        <x:v>LJ00EBA21AF008-001</x:v>
      </x:c>
      <x:c r="E66" s="19" t="str">
        <x:v>ISO 10816-3 (GROUP 2 FLEXIBLE)</x:v>
      </x:c>
      <x:c r="F66" s="19" t="str">
        <x:v>ISO 10816-3 (GROUP 2 FLEXIBLE)</x:v>
      </x:c>
      <x:c r="G66" s="19" t="str">
        <x:v>W36</x:v>
      </x:c>
      <x:c r="H66" s="30" t="n">
        <x:v>45541</x:v>
      </x:c>
      <x:c r="I66" s="19" t="str">
        <x:v>NORMAL</x:v>
      </x:c>
      <x:c r="J66" s="19" t="str">
        <x:v>MOTOR</x:v>
      </x:c>
      <x:c r="K66" s="19" t="str">
        <x:v>POMPA</x:v>
      </x:c>
      <x:c r="L66" s="19" t="str"/>
      <x:c r="M66" s="19" t="str">
        <x:v>1470 r/min</x:v>
      </x:c>
      <x:c r="N66" s="19" t="str">
        <x:v>18.5 Kw</x:v>
      </x:c>
      <x:c r="O66" s="19" t="str">
        <x:v>Roller Bearing</x:v>
      </x:c>
      <x:c r="P66" s="19" t="str">
        <x:v>-</x:v>
      </x:c>
      <x:c r="Q66" s="19" t="str">
        <x:v>-</x:v>
      </x:c>
      <x:c r="R66" s="19" t="str">
        <x:v>-</x:v>
      </x:c>
      <x:c r="S66" s="19" t="str">
        <x:v>Rigid</x:v>
      </x:c>
      <x:c r="T66" s="19" t="str"/>
      <x:c r="U66" s="19" t="str"/>
      <x:c r="V66" s="19" t="str"/>
      <x:c r="W66" s="19" t="str"/>
      <x:c r="X66" s="19" t="str"/>
      <x:c r="Y66" s="19" t="str"/>
      <x:c r="Z66" s="19" t="str"/>
      <x:c r="AA66" s="19" t="str"/>
      <x:c r="AB66" s="19" t="str"/>
      <x:c r="AC66" s="19" t="str">
        <x:v>-</x:v>
      </x:c>
      <x:c r="AD66" s="19" t="str"/>
      <x:c r="AE66" s="19" t="str">
        <x:v>-</x:v>
      </x:c>
      <x:c r="AF66" s="19" t="str">
        <x:v>-</x:v>
      </x:c>
      <x:c r="AG66" s="19" t="str">
        <x:v>-</x:v>
      </x:c>
      <x:c r="AH66" s="19" t="str"/>
      <x:c r="AI66" s="19" t="str"/>
      <x:c r="AJ66" s="19" t="str">
        <x:v>-</x:v>
      </x:c>
      <x:c r="AK66" s="19" t="str">
        <x:v>-</x:v>
      </x:c>
      <x:c r="AL66" s="19" t="str">
        <x:v>-</x:v>
      </x:c>
      <x:c r="AM66" s="19" t="str"/>
      <x:c r="AN66" s="19" t="str"/>
      <x:c r="AO66" s="19" t="str"/>
      <x:c r="AP66" s="19" t="str"/>
      <x:c r="AQ66" s="19" t="str"/>
      <x:c r="AR66" s="19" t="str">
        <x:v>Belt Conveyor</x:v>
      </x:c>
      <x:c r="AS66" s="19" t="n">
        <x:v>130</x:v>
      </x:c>
      <x:c r="AT66" s="19" t="str"/>
      <x:c r="AU66" s="19" t="str">
        <x:v>Type, Mfg : Type, Mfg. : - | Speed : 1470 r/min Speed : - | Power : 18.5 Kw Power : - | Bearing Type : Roller Bearing Capacity : - | Inboard Bearing : - Type Bearing : - | Outboard Bearing : - Inboard Bearing : - | Rotor Bar : - Onboard Bearing : - | Foundation : Rigid</x:v>
      </x:c>
      <x:c r="AV66" t="str">
        <x:f>IF(AS66&lt;=36,"UNIT 1",IF(AS66&lt;=70,"UNIT 2",IF(AS66&lt;=110,"UNIT 3","COMMON")))</x:f>
        <x:v>COMMON</x:v>
      </x:c>
    </x:row>
    <x:row r="67">
      <x:c r="A67" s="19" t="str">
        <x:v>REC-066</x:v>
      </x:c>
      <x:c r="B67" s="19" t="str">
        <x:v>AST-065</x:v>
      </x:c>
      <x:c r="C67" s="19" t="str">
        <x:v>ROLLER SCREEN 1</x:v>
      </x:c>
      <x:c r="D67" s="19" t="str">
        <x:v>LJ00EBA21AF008-001</x:v>
      </x:c>
      <x:c r="E67" s="19" t="str">
        <x:v>ISO 10816-3 (GROUP 2 FLECXBLE)</x:v>
      </x:c>
      <x:c r="F67" s="19" t="str">
        <x:v>ISO 10816-3 (GROUP 2 FLEXIBLE)</x:v>
      </x:c>
      <x:c r="G67" s="19" t="str">
        <x:v>W38</x:v>
      </x:c>
      <x:c r="H67" s="30" t="n">
        <x:v>45554</x:v>
      </x:c>
      <x:c r="I67" s="19" t="str">
        <x:v>PREWARNING</x:v>
      </x:c>
      <x:c r="J67" s="19" t="str">
        <x:v>MOTOR</x:v>
      </x:c>
      <x:c r="K67" s="19" t="str"/>
      <x:c r="L67" s="19" t="str">
        <x:v>Y160L-4</x:v>
      </x:c>
      <x:c r="M67" s="19" t="str">
        <x:v>1460 r/min</x:v>
      </x:c>
      <x:c r="N67" s="19" t="str">
        <x:v>15 Kw</x:v>
      </x:c>
      <x:c r="O67" s="19" t="str"/>
      <x:c r="P67" s="19" t="str">
        <x:v>-</x:v>
      </x:c>
      <x:c r="Q67" s="19" t="str">
        <x:v>-</x:v>
      </x:c>
      <x:c r="R67" s="19" t="str">
        <x:v>-</x:v>
      </x:c>
      <x:c r="S67" s="19" t="str">
        <x:v>Flexible</x:v>
      </x:c>
      <x:c r="T67" s="19" t="str"/>
      <x:c r="U67" s="19" t="str"/>
      <x:c r="V67" s="19" t="str"/>
      <x:c r="W67" s="19" t="str"/>
      <x:c r="X67" s="19" t="str"/>
      <x:c r="Y67" s="19" t="str"/>
      <x:c r="Z67" s="19" t="str"/>
      <x:c r="AA67" s="19" t="str"/>
      <x:c r="AB67" s="19" t="str"/>
      <x:c r="AC67" s="19" t="str">
        <x:v>-</x:v>
      </x:c>
      <x:c r="AD67" s="19" t="str"/>
      <x:c r="AE67" s="19" t="str">
        <x:v>-</x:v>
      </x:c>
      <x:c r="AF67" s="19" t="str">
        <x:v>-</x:v>
      </x:c>
      <x:c r="AG67" s="19" t="str">
        <x:v>-</x:v>
      </x:c>
      <x:c r="AH67" s="19" t="str"/>
      <x:c r="AI67" s="19" t="str"/>
      <x:c r="AJ67" s="19" t="str"/>
      <x:c r="AK67" s="19" t="str">
        <x:v>-</x:v>
      </x:c>
      <x:c r="AL67" s="19" t="str">
        <x:v>-</x:v>
      </x:c>
      <x:c r="AM67" s="19" t="str"/>
      <x:c r="AN67" s="19" t="str"/>
      <x:c r="AO67" s="19" t="str"/>
      <x:c r="AP67" s="19" t="str"/>
      <x:c r="AQ67" s="19" t="str"/>
      <x:c r="AR67" s="19" t="str">
        <x:v>Roller Screen</x:v>
      </x:c>
      <x:c r="AS67" s="19" t="n">
        <x:v>132</x:v>
      </x:c>
      <x:c r="AT67" s="19" t="str">
        <x:v>Class dinormalisasi pada kolom terpisah; nilai sumber dipertahankan</x:v>
      </x:c>
      <x:c r="AU67" s="19" t="str">
        <x:v>Type, Mfg : Y160L-4 Type, Mfg. : - | Speed : 1460 r/min Speed : - | Power : 15 Kw Power : - | Bearing Type : Capacity : - | Inboard Bearing : - Inboard Bearing : - | Outboard Bearing : - Onboard Bearing : - | Rotor Bar : - Total Blade - | Foundation : Flexible</x:v>
      </x:c>
      <x:c r="AV67" t="str">
        <x:f>IF(AS67&lt;=36,"UNIT 1",IF(AS67&lt;=70,"UNIT 2",IF(AS67&lt;=110,"UNIT 3","COMMON")))</x:f>
        <x:v>COMMON</x:v>
      </x:c>
    </x:row>
    <x:row r="68">
      <x:c r="A68" s="19" t="str">
        <x:v>REC-067</x:v>
      </x:c>
      <x:c r="B68" s="19" t="str">
        <x:v>AST-066</x:v>
      </x:c>
      <x:c r="C68" s="19" t="str">
        <x:v>ROLLER SCREEN 2</x:v>
      </x:c>
      <x:c r="D68" s="19" t="str">
        <x:v>LJ00EBC20AT002-001</x:v>
      </x:c>
      <x:c r="E68" s="19" t="str">
        <x:v>ISO 10816-3 (GROUP 2 FLECIBLE)</x:v>
      </x:c>
      <x:c r="F68" s="19" t="str">
        <x:v>ISO 10816-3 (GROUP 2 FLEXIBLE)</x:v>
      </x:c>
      <x:c r="G68" s="19" t="str">
        <x:v>W36</x:v>
      </x:c>
      <x:c r="H68" s="30" t="n">
        <x:v>45540</x:v>
      </x:c>
      <x:c r="I68" s="19" t="str">
        <x:v>PREWARNING</x:v>
      </x:c>
      <x:c r="J68" s="19" t="str">
        <x:v>MOTOR</x:v>
      </x:c>
      <x:c r="K68" s="19" t="str"/>
      <x:c r="L68" s="19" t="str">
        <x:v>Y160L-4</x:v>
      </x:c>
      <x:c r="M68" s="19" t="str">
        <x:v>1460 r/min</x:v>
      </x:c>
      <x:c r="N68" s="19" t="str">
        <x:v>15 Kw</x:v>
      </x:c>
      <x:c r="O68" s="19" t="str"/>
      <x:c r="P68" s="19" t="str">
        <x:v>-</x:v>
      </x:c>
      <x:c r="Q68" s="19" t="str">
        <x:v>-</x:v>
      </x:c>
      <x:c r="R68" s="19" t="str">
        <x:v>-</x:v>
      </x:c>
      <x:c r="S68" s="19" t="str">
        <x:v>Flexible</x:v>
      </x:c>
      <x:c r="T68" s="19" t="str"/>
      <x:c r="U68" s="19" t="str"/>
      <x:c r="V68" s="19" t="str"/>
      <x:c r="W68" s="19" t="str"/>
      <x:c r="X68" s="19" t="str"/>
      <x:c r="Y68" s="19" t="str"/>
      <x:c r="Z68" s="19" t="str"/>
      <x:c r="AA68" s="19" t="str"/>
      <x:c r="AB68" s="19" t="str"/>
      <x:c r="AC68" s="19" t="str">
        <x:v>-</x:v>
      </x:c>
      <x:c r="AD68" s="19" t="str"/>
      <x:c r="AE68" s="19" t="str">
        <x:v>-</x:v>
      </x:c>
      <x:c r="AF68" s="19" t="str">
        <x:v>-</x:v>
      </x:c>
      <x:c r="AG68" s="19" t="str">
        <x:v>-</x:v>
      </x:c>
      <x:c r="AH68" s="19" t="str"/>
      <x:c r="AI68" s="19" t="str"/>
      <x:c r="AJ68" s="19" t="str"/>
      <x:c r="AK68" s="19" t="str">
        <x:v>-</x:v>
      </x:c>
      <x:c r="AL68" s="19" t="str">
        <x:v>-</x:v>
      </x:c>
      <x:c r="AM68" s="19" t="str"/>
      <x:c r="AN68" s="19" t="str"/>
      <x:c r="AO68" s="19" t="str"/>
      <x:c r="AP68" s="19" t="str"/>
      <x:c r="AQ68" s="19" t="str"/>
      <x:c r="AR68" s="19" t="str">
        <x:v>Roller Screen</x:v>
      </x:c>
      <x:c r="AS68" s="19" t="n">
        <x:v>134</x:v>
      </x:c>
      <x:c r="AT68" s="19" t="str">
        <x:v>Class dinormalisasi pada kolom terpisah; nilai sumber dipertahankan</x:v>
      </x:c>
      <x:c r="AU68" s="19" t="str">
        <x:v>Type, Mfg : Y160L-4 Type, Mfg. : - | Speed : 1460 r/min Speed : - | Power : 15 Kw Power : - | Bearing Type : Capacity : - | Inboard Bearing : - Inboard Bearing : - | Outboard Bearing : - Onboard Bearing : - | Rotor Bar : - Total Blade - | Foundation : Flexible</x:v>
      </x:c>
      <x:c r="AV68" t="str">
        <x:f>IF(AS68&lt;=36,"UNIT 1",IF(AS68&lt;=70,"UNIT 2",IF(AS68&lt;=110,"UNIT 3","COMMON")))</x:f>
        <x:v>COMMON</x:v>
      </x:c>
    </x:row>
    <x:row r="69">
      <x:c r="A69" s="19" t="str">
        <x:v>REC-068</x:v>
      </x:c>
      <x:c r="B69" s="19" t="str">
        <x:v>AST-067</x:v>
      </x:c>
      <x:c r="C69" s="19" t="str">
        <x:v>Motor Crusser 185kW 1</x:v>
      </x:c>
      <x:c r="D69" s="19" t="str">
        <x:v>LJ00EBC10AT001-001</x:v>
      </x:c>
      <x:c r="E69" s="19" t="str">
        <x:v>ISO 10816-3 (GROUP 2 FLEXIBLE)</x:v>
      </x:c>
      <x:c r="F69" s="19" t="str">
        <x:v>ISO 10816-3 (GROUP 2 FLEXIBLE)</x:v>
      </x:c>
      <x:c r="G69" s="19" t="str">
        <x:v>W38</x:v>
      </x:c>
      <x:c r="H69" s="30" t="n">
        <x:v>45554</x:v>
      </x:c>
      <x:c r="I69" s="19" t="str">
        <x:v>WARNING</x:v>
      </x:c>
      <x:c r="J69" s="19" t="str">
        <x:v>MOTOR</x:v>
      </x:c>
      <x:c r="K69" s="19" t="str">
        <x:v>CRUSHER</x:v>
      </x:c>
      <x:c r="L69" s="19" t="str">
        <x:v>Y2-355L2-8</x:v>
      </x:c>
      <x:c r="M69" s="19" t="str">
        <x:v>740 r/min</x:v>
      </x:c>
      <x:c r="N69" s="19" t="str">
        <x:v>185Kw</x:v>
      </x:c>
      <x:c r="O69" s="19" t="str">
        <x:v>Roller Bearing</x:v>
      </x:c>
      <x:c r="P69" s="19" t="str"/>
      <x:c r="Q69" s="19" t="str"/>
      <x:c r="R69" s="19" t="str">
        <x:v>-</x:v>
      </x:c>
      <x:c r="S69" s="19" t="str">
        <x:v>Rigid</x:v>
      </x:c>
      <x:c r="T69" s="19" t="str"/>
      <x:c r="U69" s="19" t="str"/>
      <x:c r="V69" s="19" t="str"/>
      <x:c r="W69" s="19" t="str"/>
      <x:c r="X69" s="19" t="str"/>
      <x:c r="Y69" s="19" t="str"/>
      <x:c r="Z69" s="19" t="str"/>
      <x:c r="AA69" s="19" t="str"/>
      <x:c r="AB69" s="19" t="str"/>
      <x:c r="AC69" s="19" t="str">
        <x:v>-</x:v>
      </x:c>
      <x:c r="AD69" s="19" t="str"/>
      <x:c r="AE69" s="19" t="str">
        <x:v>-</x:v>
      </x:c>
      <x:c r="AF69" s="19" t="str">
        <x:v>-</x:v>
      </x:c>
      <x:c r="AG69" s="19" t="str">
        <x:v>-</x:v>
      </x:c>
      <x:c r="AH69" s="19" t="str"/>
      <x:c r="AI69" s="19" t="str"/>
      <x:c r="AJ69" s="19" t="str">
        <x:v>-</x:v>
      </x:c>
      <x:c r="AK69" s="19" t="str">
        <x:v>-</x:v>
      </x:c>
      <x:c r="AL69" s="19" t="str">
        <x:v>-</x:v>
      </x:c>
      <x:c r="AM69" s="19" t="str"/>
      <x:c r="AN69" s="19" t="str"/>
      <x:c r="AO69" s="19" t="str"/>
      <x:c r="AP69" s="19" t="str"/>
      <x:c r="AQ69" s="19" t="str"/>
      <x:c r="AR69" s="19" t="str">
        <x:v>Crusher</x:v>
      </x:c>
      <x:c r="AS69" s="19" t="n">
        <x:v>136</x:v>
      </x:c>
      <x:c r="AT69" s="19" t="str"/>
      <x:c r="AU69" s="19" t="str">
        <x:v>Type, Mfg : Y2-355L2-8 Type, Mfg. : - | Speed : 740 r/min Speed : - | Power : 185Kw Power : - | Bearing Type : Roller Bearing Capacity : - | Inboard Bearing : Type Bearing : - | Outboard Bearing : Inboard Bearing : - | Rotor Bar : - Onboard Bearing : - | Foundation : Rigid Total Impeler -</x:v>
      </x:c>
      <x:c r="AV69" t="str">
        <x:f>IF(AS69&lt;=36,"UNIT 1",IF(AS69&lt;=70,"UNIT 2",IF(AS69&lt;=110,"UNIT 3","COMMON")))</x:f>
        <x:v>COMMON</x:v>
      </x:c>
    </x:row>
    <x:row r="70">
      <x:c r="A70" s="19" t="str">
        <x:v>REC-069</x:v>
      </x:c>
      <x:c r="B70" s="19" t="str">
        <x:v>AST-068</x:v>
      </x:c>
      <x:c r="C70" s="19" t="str">
        <x:v>Motor Crusser 185kW 2</x:v>
      </x:c>
      <x:c r="D70" s="19" t="str">
        <x:v>LJ00EBC10AT002-001</x:v>
      </x:c>
      <x:c r="E70" s="19" t="str">
        <x:v>ISO 10816-3 (GROUP 2 FLEXIBLE)</x:v>
      </x:c>
      <x:c r="F70" s="19" t="str">
        <x:v>ISO 10816-3 (GROUP 2 FLEXIBLE)</x:v>
      </x:c>
      <x:c r="G70" s="19" t="str">
        <x:v>W36</x:v>
      </x:c>
      <x:c r="H70" s="30" t="n">
        <x:v>45540</x:v>
      </x:c>
      <x:c r="I70" s="19" t="str">
        <x:v>NORMAL</x:v>
      </x:c>
      <x:c r="J70" s="19" t="str">
        <x:v>MOTOR</x:v>
      </x:c>
      <x:c r="K70" s="19" t="str">
        <x:v>CRUSHER</x:v>
      </x:c>
      <x:c r="L70" s="19" t="str">
        <x:v>Y2-355L2-8</x:v>
      </x:c>
      <x:c r="M70" s="19" t="str">
        <x:v>740 r/min</x:v>
      </x:c>
      <x:c r="N70" s="19" t="str">
        <x:v>185Kw</x:v>
      </x:c>
      <x:c r="O70" s="19" t="str">
        <x:v>Roller Bearing</x:v>
      </x:c>
      <x:c r="P70" s="19" t="str"/>
      <x:c r="Q70" s="19" t="str"/>
      <x:c r="R70" s="19" t="str">
        <x:v>-</x:v>
      </x:c>
      <x:c r="S70" s="19" t="str">
        <x:v>Rigid</x:v>
      </x:c>
      <x:c r="T70" s="19" t="str"/>
      <x:c r="U70" s="19" t="str"/>
      <x:c r="V70" s="19" t="str"/>
      <x:c r="W70" s="19" t="str"/>
      <x:c r="X70" s="19" t="str"/>
      <x:c r="Y70" s="19" t="str"/>
      <x:c r="Z70" s="19" t="str"/>
      <x:c r="AA70" s="19" t="str"/>
      <x:c r="AB70" s="19" t="str"/>
      <x:c r="AC70" s="19" t="str">
        <x:v>-</x:v>
      </x:c>
      <x:c r="AD70" s="19" t="str"/>
      <x:c r="AE70" s="19" t="str">
        <x:v>-</x:v>
      </x:c>
      <x:c r="AF70" s="19" t="str">
        <x:v>-</x:v>
      </x:c>
      <x:c r="AG70" s="19" t="str">
        <x:v>-</x:v>
      </x:c>
      <x:c r="AH70" s="19" t="str"/>
      <x:c r="AI70" s="19" t="str"/>
      <x:c r="AJ70" s="19" t="str">
        <x:v>-</x:v>
      </x:c>
      <x:c r="AK70" s="19" t="str">
        <x:v>-</x:v>
      </x:c>
      <x:c r="AL70" s="19" t="str">
        <x:v>-</x:v>
      </x:c>
      <x:c r="AM70" s="19" t="str"/>
      <x:c r="AN70" s="19" t="str"/>
      <x:c r="AO70" s="19" t="str"/>
      <x:c r="AP70" s="19" t="str"/>
      <x:c r="AQ70" s="19" t="str"/>
      <x:c r="AR70" s="19" t="str">
        <x:v>Crusher</x:v>
      </x:c>
      <x:c r="AS70" s="19" t="n">
        <x:v>138</x:v>
      </x:c>
      <x:c r="AT70" s="19" t="str"/>
      <x:c r="AU70" s="19" t="str">
        <x:v>Type, Mfg : Y2-355L2-8 Type, Mfg. : - | Speed : 740 r/min Speed : - | Power : 185Kw Power : - | Bearing Type : Roller Bearing Capacity : - | Inboard Bearing : Type Bearing : - | Outboard Bearing : Inboard Bearing : - | Rotor Bar : - Onboard Bearing : - | Foundation : Rigid Total Impeler -</x:v>
      </x:c>
      <x:c r="AV70" t="str">
        <x:f>IF(AS70&lt;=36,"UNIT 1",IF(AS70&lt;=70,"UNIT 2",IF(AS70&lt;=110,"UNIT 3","COMMON")))</x:f>
        <x:v>COMMON</x:v>
      </x:c>
    </x:row>
  </x:sheetData>
  <x:conditionalFormatting sqref="I2:I70">
    <x:cfRule type="expression" dxfId="4" priority="1">
      <x:formula>I2="NORMAL"</x:formula>
    </x:cfRule>
    <x:cfRule type="expression" dxfId="5" priority="2">
      <x:formula>I2="PREWARNING"</x:formula>
    </x:cfRule>
    <x:cfRule type="expression" dxfId="6" priority="3">
      <x:formula>I2="WARNING"</x:formula>
    </x:cfRule>
    <x:cfRule type="expression" dxfId="7" priority="4">
      <x:formula>I2="ALARM"</x:formula>
    </x:cfRule>
  </x:conditionalFormatting>
  <x:conditionalFormatting sqref="AV2:AV70">
    <x:cfRule type="expression" dxfId="12" priority="5">
      <x:formula>AV2="UNIT 1"</x:formula>
    </x:cfRule>
    <x:cfRule type="expression" dxfId="13" priority="6">
      <x:formula>AV2="UNIT 2"</x:formula>
    </x:cfRule>
    <x:cfRule type="expression" dxfId="14" priority="7">
      <x:formula>AV2="UNIT 3"</x:formula>
    </x:cfRule>
    <x:cfRule type="expression" dxfId="15" priority="8">
      <x:formula>AV2="COMMON"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0a2c52e5dac4cf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38" hidden="0" customWidth="1"/>
    <x:col min="4" max="4" width="24" hidden="0" customWidth="1"/>
    <x:col min="5" max="5" width="18" hidden="0" customWidth="1"/>
    <x:col min="6" max="6" width="55" hidden="0" customWidth="1"/>
  </x:cols>
  <x:sheetData>
    <x:row r="1">
      <x:c r="A1" s="25" t="str">
        <x:v>Issue</x:v>
      </x:c>
      <x:c r="B1" s="25" t="str">
        <x:v>Record/Asset</x:v>
      </x:c>
      <x:c r="C1" s="25" t="str">
        <x:v>Equipment / Source Value</x:v>
      </x:c>
      <x:c r="D1" s="25" t="str">
        <x:v>KKS</x:v>
      </x:c>
      <x:c r="E1" s="25" t="str">
        <x:v>Source Page(s)</x:v>
      </x:c>
      <x:c r="F1" s="25" t="str">
        <x:v>Keterangan</x:v>
      </x:c>
    </x:row>
    <x:row r="2">
      <x:c r="A2" s="19" t="str">
        <x:v>KKS kosong</x:v>
      </x:c>
      <x:c r="B2" s="19" t="str">
        <x:v>REC-018</x:v>
      </x:c>
      <x:c r="C2" s="19" t="str">
        <x:v>AC OIL PUMP UNIT 1</x:v>
      </x:c>
      <x:c r="D2" s="19" t="str"/>
      <x:c r="E2" s="19" t="str">
        <x:v>36</x:v>
      </x:c>
      <x:c r="F2" s="19" t="str">
        <x:v>KKS memang kosong pada sumber PDF</x:v>
      </x:c>
    </x:row>
    <x:row r="3">
      <x:c r="A3" s="19" t="str">
        <x:v>KKS kosong</x:v>
      </x:c>
      <x:c r="B3" s="19" t="str">
        <x:v>REC-034</x:v>
      </x:c>
      <x:c r="C3" s="19" t="str">
        <x:v>ACA OIL PUMP UNIT 2</x:v>
      </x:c>
      <x:c r="D3" s="19" t="str"/>
      <x:c r="E3" s="19" t="str">
        <x:v>68</x:v>
      </x:c>
      <x:c r="F3" s="19" t="str">
        <x:v>KKS memang kosong pada sumber PDF</x:v>
      </x:c>
    </x:row>
    <x:row r="4">
      <x:c r="A4" s="19" t="str">
        <x:v>KKS kosong</x:v>
      </x:c>
      <x:c r="B4" s="19" t="str">
        <x:v>REC-035</x:v>
      </x:c>
      <x:c r="C4" s="19" t="str">
        <x:v>ACA OIL PUMP UNIT 2</x:v>
      </x:c>
      <x:c r="D4" s="19" t="str"/>
      <x:c r="E4" s="19" t="str">
        <x:v>70</x:v>
      </x:c>
      <x:c r="F4" s="19" t="str">
        <x:v>KKS memang kosong pada sumber PDF</x:v>
      </x:c>
    </x:row>
    <x:row r="5">
      <x:c r="A5" s="19" t="str">
        <x:v>KKS kosong</x:v>
      </x:c>
      <x:c r="B5" s="19" t="str">
        <x:v>REC-041</x:v>
      </x:c>
      <x:c r="C5" s="19" t="str">
        <x:v>Turbin-Generator#3</x:v>
      </x:c>
      <x:c r="D5" s="19" t="str"/>
      <x:c r="E5" s="19" t="str">
        <x:v>82</x:v>
      </x:c>
      <x:c r="F5" s="19" t="str">
        <x:v>KKS memang kosong pada sumber PDF</x:v>
      </x:c>
    </x:row>
    <x:row r="6">
      <x:c r="A6" s="19" t="str">
        <x:v>KKS kosong</x:v>
      </x:c>
      <x:c r="B6" s="19" t="str">
        <x:v>REC-051</x:v>
      </x:c>
      <x:c r="C6" s="19" t="str">
        <x:v>FIRE FIGHTING JOCKEY PUMP 3B</x:v>
      </x:c>
      <x:c r="D6" s="19" t="str"/>
      <x:c r="E6" s="19" t="str">
        <x:v>102</x:v>
      </x:c>
      <x:c r="F6" s="19" t="str">
        <x:v>KKS memang kosong pada sumber PDF</x:v>
      </x:c>
    </x:row>
    <x:row r="7">
      <x:c r="A7" s="19" t="str">
        <x:v>KKS kosong</x:v>
      </x:c>
      <x:c r="B7" s="19" t="str">
        <x:v>REC-052</x:v>
      </x:c>
      <x:c r="C7" s="19" t="str">
        <x:v>FIRE FIGHTING PUMP WITH MOTOR UNIT 3</x:v>
      </x:c>
      <x:c r="D7" s="19" t="str"/>
      <x:c r="E7" s="19" t="str">
        <x:v>104</x:v>
      </x:c>
      <x:c r="F7" s="19" t="str">
        <x:v>KKS memang kosong pada sumber PDF</x:v>
      </x:c>
    </x:row>
    <x:row r="8">
      <x:c r="A8" s="19" t="str">
        <x:v>KKS kosong</x:v>
      </x:c>
      <x:c r="B8" s="19" t="str">
        <x:v>REC-053</x:v>
      </x:c>
      <x:c r="C8" s="19" t="str">
        <x:v>FIRE FIGHTING PUMP WITH DIESEL UNIT 3</x:v>
      </x:c>
      <x:c r="D8" s="19" t="str"/>
      <x:c r="E8" s="19" t="str">
        <x:v>106</x:v>
      </x:c>
      <x:c r="F8" s="19" t="str">
        <x:v>KKS memang kosong pada sumber PDF</x:v>
      </x:c>
    </x:row>
    <x:row r="9">
      <x:c r="A9" s="19" t="str">
        <x:v>KKS kosong</x:v>
      </x:c>
      <x:c r="B9" s="19" t="str">
        <x:v>REC-054</x:v>
      </x:c>
      <x:c r="C9" s="19" t="str">
        <x:v>AC OIL PUMP UNIT 3</x:v>
      </x:c>
      <x:c r="D9" s="19" t="str"/>
      <x:c r="E9" s="19" t="str">
        <x:v>108</x:v>
      </x:c>
      <x:c r="F9" s="19" t="str">
        <x:v>KKS memang kosong pada sumber PDF</x:v>
      </x:c>
    </x:row>
    <x:row r="10">
      <x:c r="A10" s="19" t="str">
        <x:v>KKS kosong</x:v>
      </x:c>
      <x:c r="B10" s="19" t="str">
        <x:v>REC-055</x:v>
      </x:c>
      <x:c r="C10" s="19" t="str">
        <x:v>JACKING OIL PUMP 3A</x:v>
      </x:c>
      <x:c r="D10" s="19" t="str"/>
      <x:c r="E10" s="19" t="str">
        <x:v>110</x:v>
      </x:c>
      <x:c r="F10" s="19" t="str">
        <x:v>KKS memang kosong pada sumber PDF</x:v>
      </x:c>
    </x:row>
    <x:row r="11">
      <x:c r="A11" s="19" t="str">
        <x:v>Metadata aset berulang</x:v>
      </x:c>
      <x:c r="B11" s="19" t="str">
        <x:v>AST-034</x:v>
      </x:c>
      <x:c r="C11" s="19" t="str">
        <x:v>ACA OIL PUMP UNIT 2</x:v>
      </x:c>
      <x:c r="D11" s="19" t="str"/>
      <x:c r="E11" s="19" t="str">
        <x:v>68, 70</x:v>
      </x:c>
      <x:c r="F11" s="19" t="str">
        <x:v>Report record dipertahankan terpisah</x:v>
      </x:c>
    </x:row>
    <x:row r="12">
      <x:c r="A12" s="19" t="str">
        <x:v>Spelling class sumber</x:v>
      </x:c>
      <x:c r="B12" s="19" t="str">
        <x:v>-</x:v>
      </x:c>
      <x:c r="C12" s="19" t="str">
        <x:v>ISO 10816-3 (GROUP 1 RIGID))</x:v>
      </x:c>
      <x:c r="D12" s="19" t="str"/>
      <x:c r="E12" s="19" t="str">
        <x:v>27</x:v>
      </x:c>
      <x:c r="F12" s="19" t="str">
        <x:v>Normalized: ISO 10816-3 (GROUP 1 RIGID)</x:v>
      </x:c>
    </x:row>
    <x:row r="13">
      <x:c r="A13" s="19" t="str">
        <x:v>Spelling class sumber</x:v>
      </x:c>
      <x:c r="B13" s="19" t="str">
        <x:v>-</x:v>
      </x:c>
      <x:c r="C13" s="19" t="str">
        <x:v>ISO 10816-3 (GROUP 2 EXLIBLE)</x:v>
      </x:c>
      <x:c r="D13" s="19" t="str"/>
      <x:c r="E13" s="19" t="str">
        <x:v>112</x:v>
      </x:c>
      <x:c r="F13" s="19" t="str">
        <x:v>Normalized: ISO 10816-3 (GROUP 2 FLEXIBLE)</x:v>
      </x:c>
    </x:row>
    <x:row r="14">
      <x:c r="A14" s="19" t="str">
        <x:v>Spelling class sumber</x:v>
      </x:c>
      <x:c r="B14" s="19" t="str">
        <x:v>-</x:v>
      </x:c>
      <x:c r="C14" s="19" t="str">
        <x:v>ISO 10816-3 (GROUP 2 FLECIBLE)</x:v>
      </x:c>
      <x:c r="D14" s="19" t="str"/>
      <x:c r="E14" s="19" t="str">
        <x:v>128</x:v>
      </x:c>
      <x:c r="F14" s="19" t="str">
        <x:v>Normalized: ISO 10816-3 (GROUP 2 FLEXIBLE)</x:v>
      </x:c>
    </x:row>
    <x:row r="15">
      <x:c r="A15" s="19" t="str">
        <x:v>Spelling class sumber</x:v>
      </x:c>
      <x:c r="B15" s="19" t="str">
        <x:v>-</x:v>
      </x:c>
      <x:c r="C15" s="19" t="str">
        <x:v>ISO 10816-3 (GROUP 2 FLECXBLE)</x:v>
      </x:c>
      <x:c r="D15" s="19" t="str"/>
      <x:c r="E15" s="19" t="str">
        <x:v>132</x:v>
      </x:c>
      <x:c r="F15" s="19" t="str">
        <x:v>Normalized: ISO 10816-3 (GROUP 2 FLEXIBLE)</x:v>
      </x:c>
    </x:row>
  </x:sheetData>
  <x:pageMargins left="0.7" right="0.7" top="0.75" bottom="0.75" header="0.3" footer="0.3"/>
  <x:tableParts count="1">
    <x:tablePart xmlns:r="http://schemas.openxmlformats.org/officeDocument/2006/relationships" r:id="Rb455bd67f8884a3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85" hidden="0" customWidth="1"/>
  </x:cols>
  <x:sheetData>
    <x:row r="1">
      <x:c r="A1" s="25" t="str">
        <x:v>Field</x:v>
      </x:c>
      <x:c r="B1" s="25" t="str">
        <x:v>Jenis</x:v>
      </x:c>
      <x:c r="C1" s="25" t="str">
        <x:v>Keterangan</x:v>
      </x:c>
    </x:row>
    <x:row r="2">
      <x:c r="A2" s="19" t="str">
        <x:v>Asset ID</x:v>
      </x:c>
      <x:c r="B2" s="19" t="str">
        <x:v>Derived</x:v>
      </x:c>
      <x:c r="C2" s="19" t="str">
        <x:v>ID internal AST-xxx untuk identitas aset berdasarkan Equipment + KKS.</x:v>
      </x:c>
    </x:row>
    <x:row r="3">
      <x:c r="A3" s="19" t="str">
        <x:v>Record ID</x:v>
      </x:c>
      <x:c r="B3" s="19" t="str">
        <x:v>Derived</x:v>
      </x:c>
      <x:c r="C3" s="19" t="str">
        <x:v>ID REC-xxx untuk setiap halaman DETAIL REPORT VIBRASI.</x:v>
      </x:c>
    </x:row>
    <x:row r="4">
      <x:c r="A4" s="19" t="str">
        <x:v>Equipment</x:v>
      </x:c>
      <x:c r="B4" s="19" t="str">
        <x:v>Source</x:v>
      </x:c>
      <x:c r="C4" s="19" t="str">
        <x:v>Nama EQUIPMENT persis dari PDF.</x:v>
      </x:c>
    </x:row>
    <x:row r="5">
      <x:c r="A5" s="19" t="str">
        <x:v>KKS</x:v>
      </x:c>
      <x:c r="B5" s="19" t="str">
        <x:v>Source</x:v>
      </x:c>
      <x:c r="C5" s="19" t="str">
        <x:v>Kode KKS; blank dipertahankan bila sumber kosong.</x:v>
      </x:c>
    </x:row>
    <x:row r="6">
      <x:c r="A6" s="19" t="str">
        <x:v>Equipment Class (Source)</x:v>
      </x:c>
      <x:c r="B6" s="19" t="str">
        <x:v>Source</x:v>
      </x:c>
      <x:c r="C6" s="19" t="str">
        <x:v>Class/standard persis dari PDF, termasuk spelling/typo.</x:v>
      </x:c>
    </x:row>
    <x:row r="7">
      <x:c r="A7" s="19" t="str">
        <x:v>Equipment Class (Normalized)</x:v>
      </x:c>
      <x:c r="B7" s="19" t="str">
        <x:v>Derived</x:v>
      </x:c>
      <x:c r="C7" s="19" t="str">
        <x:v>Normalisasi spelling class agar mudah difilter; tidak mengganti nilai sumber.</x:v>
      </x:c>
    </x:row>
    <x:row r="8">
      <x:c r="A8" s="19" t="str">
        <x:v>PM Week</x:v>
      </x:c>
      <x:c r="B8" s="19" t="str">
        <x:v>Source</x:v>
      </x:c>
      <x:c r="C8" s="19" t="str">
        <x:v>PM WEEK pada report.</x:v>
      </x:c>
    </x:row>
    <x:row r="9">
      <x:c r="A9" s="19" t="str">
        <x:v>Measurement Date</x:v>
      </x:c>
      <x:c r="B9" s="19" t="str">
        <x:v>Source</x:v>
      </x:c>
      <x:c r="C9" s="19" t="str">
        <x:v>TGL PENGUKURAN pada report.</x:v>
      </x:c>
    </x:row>
    <x:row r="10">
      <x:c r="A10" s="19" t="str">
        <x:v>Status Vibrasi</x:v>
      </x:c>
      <x:c r="B10" s="19" t="str">
        <x:v>Source</x:v>
      </x:c>
      <x:c r="C10" s="19" t="str">
        <x:v>NORMAL / PREWARNING / WARNING / ALARM pada report.</x:v>
      </x:c>
    </x:row>
    <x:row r="11">
      <x:c r="A11" s="19" t="str">
        <x:v>Component 1 / Component 2</x:v>
      </x:c>
      <x:c r="B11" s="19" t="str">
        <x:v>Source</x:v>
      </x:c>
      <x:c r="C11" s="19" t="str">
        <x:v>Heading pasangan equipment seperti MOTOR-FAN, MOTOR-POMPA, GENERATOR-TURBINE.</x:v>
      </x:c>
    </x:row>
    <x:row r="12">
      <x:c r="A12" s="19" t="str">
        <x:v>C1 ... / C2 ...</x:v>
      </x:c>
      <x:c r="B12" s="19" t="str">
        <x:v>Source</x:v>
      </x:c>
      <x:c r="C12" s="19" t="str">
        <x:v>Spesifikasi kiri/kanan: Type/Mfg, Speed, Power, Bearing, Capacity, Pressure, dll.</x:v>
      </x:c>
    </x:row>
    <x:row r="13">
      <x:c r="A13" s="19" t="str">
        <x:v>Asset Category (Derived)</x:v>
      </x:c>
      <x:c r="B13" s="19" t="str">
        <x:v>Derived</x:v>
      </x:c>
      <x:c r="C13" s="19" t="str">
        <x:v>Kategori praktis untuk aplikasi berdasarkan nama/heading aset.</x:v>
      </x:c>
    </x:row>
    <x:row r="14">
      <x:c r="A14" s="19" t="str">
        <x:v>Source Page(s)</x:v>
      </x:c>
      <x:c r="B14" s="19" t="str">
        <x:v>Audit</x:v>
      </x:c>
      <x:c r="C14" s="19" t="str">
        <x:v>Halaman PDF asal metadata.</x:v>
      </x:c>
    </x:row>
    <x:row r="15">
      <x:c r="A15" s="19" t="str">
        <x:v>Raw Specs (Audit)</x:v>
      </x:c>
      <x:c r="B15" s="19" t="str">
        <x:v>Audit</x:v>
      </x:c>
      <x:c r="C15" s="19" t="str">
        <x:v>Teks baris spesifikasi hasil ekstraksi untuk pengecekan kembali.</x:v>
      </x:c>
    </x:row>
    <x:row r="16">
      <x:c r="A16" s="19" t="str">
        <x:v>Unit Group (Derived)</x:v>
      </x:c>
      <x:c r="B16" s="19" t="str">
        <x:v>Derived</x:v>
      </x:c>
      <x:c r="C16" s="19" t="str">
        <x:v>Pengelompokan UNIT 1 / UNIT 2 / UNIT 3 / COMMON berdasarkan urutan section report PDF dan penamaan aset. Boundary halaman detail report: ≤36 Unit 1, 38–70 Unit 2, 72–110 Unit 3, ≥112 Common.</x:v>
      </x:c>
    </x:row>
    <x:row r="17">
      <x:c r="A17" s="19" t="str">
        <x:v>Grouped Sheets</x:v>
      </x:c>
      <x:c r="B17" s="19" t="str">
        <x:v>View</x:v>
      </x:c>
      <x:c r="C17" s="19" t="str">
        <x:v>Sheet UNIT_1, UNIT_2, UNIT_3, dan COMMON adalah tampilan ringkas aset berdasarkan Unit Group; Asset_Master tetap menyimpan data lengkap.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32" hidden="0" customWidth="1"/>
    <x:col min="4" max="4" width="24" hidden="0" customWidth="1"/>
    <x:col min="5" max="5" width="24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</x:cols>
  <x:sheetData>
    <x:row r="1">
      <x:c r="A1" s="37" t="str">
        <x:v>Unit Group</x:v>
      </x:c>
      <x:c r="B1" s="37" t="str">
        <x:v>Asset ID</x:v>
      </x:c>
      <x:c r="C1" s="37" t="str">
        <x:v>Equipment</x:v>
      </x:c>
      <x:c r="D1" s="37" t="str">
        <x:v>KKS</x:v>
      </x:c>
      <x:c r="E1" s="37" t="str">
        <x:v>Asset Category</x:v>
      </x:c>
      <x:c r="F1" s="37" t="str">
        <x:v>Equipment Class</x:v>
      </x:c>
      <x:c r="G1" s="37" t="str">
        <x:v>PM Week</x:v>
      </x:c>
      <x:c r="H1" s="37" t="str">
        <x:v>Measurement Date</x:v>
      </x:c>
      <x:c r="I1" s="37" t="str">
        <x:v>Status Vibrasi</x:v>
      </x:c>
      <x:c r="J1" s="37" t="str">
        <x:v>Component 1</x:v>
      </x:c>
      <x:c r="K1" s="37" t="str">
        <x:v>C1 Type/Mfg</x:v>
      </x:c>
      <x:c r="L1" s="37" t="str">
        <x:v>C1 Speed</x:v>
      </x:c>
      <x:c r="M1" s="37" t="str">
        <x:v>C1 Power</x:v>
      </x:c>
      <x:c r="N1" s="37" t="str">
        <x:v>C1 Bearing Type</x:v>
      </x:c>
      <x:c r="O1" s="37" t="str">
        <x:v>C1 Inboard Bearing</x:v>
      </x:c>
      <x:c r="P1" s="37" t="str">
        <x:v>C1 Outboard Bearing</x:v>
      </x:c>
      <x:c r="Q1" s="37" t="str">
        <x:v>C1 Foundation</x:v>
      </x:c>
      <x:c r="R1" s="37" t="str">
        <x:v>Component 2</x:v>
      </x:c>
      <x:c r="S1" s="37" t="str">
        <x:v>C2 Type/Mfg</x:v>
      </x:c>
      <x:c r="T1" s="37" t="str">
        <x:v>C2 Speed</x:v>
      </x:c>
      <x:c r="U1" s="37" t="str">
        <x:v>C2 Power</x:v>
      </x:c>
      <x:c r="V1" s="37" t="str">
        <x:v>C2 Capacity</x:v>
      </x:c>
      <x:c r="W1" s="37" t="str">
        <x:v>Source Pages</x:v>
      </x:c>
    </x:row>
    <x:row r="2">
      <x:c r="A2" s="19" t="str">
        <x:v>UNIT 1</x:v>
      </x:c>
      <x:c r="B2" s="19" t="str">
        <x:v>AST-001</x:v>
      </x:c>
      <x:c r="C2" s="19" t="str">
        <x:v>Motor ID Fan 1#1</x:v>
      </x:c>
      <x:c r="D2" s="19" t="str">
        <x:v>LJ10HNC10AN001-001</x:v>
      </x:c>
      <x:c r="E2" s="19" t="str">
        <x:v>Fan</x:v>
      </x:c>
      <x:c r="F2" s="19" t="str">
        <x:v>ISO 10816-3 (GROUP 1 RIGID)</x:v>
      </x:c>
      <x:c r="G2" s="19" t="str">
        <x:v>W37</x:v>
      </x:c>
      <x:c r="H2" s="19" t="str">
        <x:v>2024-09-09</x:v>
      </x:c>
      <x:c r="I2" s="19" t="str">
        <x:v>NORMAL</x:v>
      </x:c>
      <x:c r="J2" s="19" t="str">
        <x:v>MOTOR</x:v>
      </x:c>
      <x:c r="K2" s="19" t="str">
        <x:v>YKK4003-4</x:v>
      </x:c>
      <x:c r="L2" s="19" t="str">
        <x:v>985</x:v>
      </x:c>
      <x:c r="M2" s="19" t="str">
        <x:v>355 Kw</x:v>
      </x:c>
      <x:c r="N2" s="19" t="str"/>
      <x:c r="O2" s="19" t="str">
        <x:v>NU324</x:v>
      </x:c>
      <x:c r="P2" s="19" t="str">
        <x:v>6324</x:v>
      </x:c>
      <x:c r="Q2" s="19" t="str">
        <x:v>Rigid</x:v>
      </x:c>
      <x:c r="R2" s="19" t="str">
        <x:v>FAN</x:v>
      </x:c>
      <x:c r="S2" s="19" t="str"/>
      <x:c r="T2" s="19" t="str"/>
      <x:c r="U2" s="19" t="str"/>
      <x:c r="V2" s="19" t="str"/>
      <x:c r="W2" s="19" t="str">
        <x:v>1</x:v>
      </x:c>
    </x:row>
    <x:row r="3">
      <x:c r="A3" s="19" t="str">
        <x:v>UNIT 1</x:v>
      </x:c>
      <x:c r="B3" s="19" t="str">
        <x:v>AST-002</x:v>
      </x:c>
      <x:c r="C3" s="19" t="str">
        <x:v>Motor ID Fan 2#1</x:v>
      </x:c>
      <x:c r="D3" s="19" t="str">
        <x:v>LJ10HNC10AN002-001</x:v>
      </x:c>
      <x:c r="E3" s="19" t="str">
        <x:v>Fan</x:v>
      </x:c>
      <x:c r="F3" s="19" t="str">
        <x:v>ISO 10816-3 (GROUP 1 RIGID)</x:v>
      </x:c>
      <x:c r="G3" s="19" t="str">
        <x:v>W39</x:v>
      </x:c>
      <x:c r="H3" s="19" t="str">
        <x:v>2024-09-23</x:v>
      </x:c>
      <x:c r="I3" s="19" t="str">
        <x:v>PREWARNING</x:v>
      </x:c>
      <x:c r="J3" s="19" t="str">
        <x:v>MOTOR</x:v>
      </x:c>
      <x:c r="K3" s="19" t="str">
        <x:v>YKK4003-4</x:v>
      </x:c>
      <x:c r="L3" s="19" t="str">
        <x:v>985</x:v>
      </x:c>
      <x:c r="M3" s="19" t="str">
        <x:v>355 Kw</x:v>
      </x:c>
      <x:c r="N3" s="19" t="str"/>
      <x:c r="O3" s="19" t="str">
        <x:v>NU324</x:v>
      </x:c>
      <x:c r="P3" s="19" t="str">
        <x:v>6324</x:v>
      </x:c>
      <x:c r="Q3" s="19" t="str">
        <x:v>Rigid</x:v>
      </x:c>
      <x:c r="R3" s="19" t="str">
        <x:v>FAN</x:v>
      </x:c>
      <x:c r="S3" s="19" t="str"/>
      <x:c r="T3" s="19" t="str"/>
      <x:c r="U3" s="19" t="str"/>
      <x:c r="V3" s="19" t="str"/>
      <x:c r="W3" s="19" t="str">
        <x:v>3</x:v>
      </x:c>
    </x:row>
    <x:row r="4">
      <x:c r="A4" s="19" t="str">
        <x:v>UNIT 1</x:v>
      </x:c>
      <x:c r="B4" s="19" t="str">
        <x:v>AST-003</x:v>
      </x:c>
      <x:c r="C4" s="19" t="str">
        <x:v>Motor Primary Air Fan 1#1</x:v>
      </x:c>
      <x:c r="D4" s="19" t="str">
        <x:v>LJ10HLB10AN001-001</x:v>
      </x:c>
      <x:c r="E4" s="19" t="str">
        <x:v>Fan</x:v>
      </x:c>
      <x:c r="F4" s="19" t="str">
        <x:v>ISO 10816-3 (GROUP 1 RIGID)</x:v>
      </x:c>
      <x:c r="G4" s="19" t="str">
        <x:v>W37</x:v>
      </x:c>
      <x:c r="H4" s="19" t="str">
        <x:v>2024-09-09</x:v>
      </x:c>
      <x:c r="I4" s="19" t="str">
        <x:v>NORMAL</x:v>
      </x:c>
      <x:c r="J4" s="19" t="str">
        <x:v>MOTOR</x:v>
      </x:c>
      <x:c r="K4" s="19" t="str">
        <x:v>YKK 4001-4</x:v>
      </x:c>
      <x:c r="L4" s="19" t="str">
        <x:v>1480 r/min</x:v>
      </x:c>
      <x:c r="M4" s="19" t="str">
        <x:v>280 kW</x:v>
      </x:c>
      <x:c r="N4" s="19" t="str">
        <x:v>Roller Bearing</x:v>
      </x:c>
      <x:c r="O4" s="19" t="str">
        <x:v>NU324</x:v>
      </x:c>
      <x:c r="P4" s="19" t="str">
        <x:v>6224</x:v>
      </x:c>
      <x:c r="Q4" s="19" t="str">
        <x:v>Rigid</x:v>
      </x:c>
      <x:c r="R4" s="19" t="str">
        <x:v>FAN</x:v>
      </x:c>
      <x:c r="S4" s="19" t="str">
        <x:v>QALG-217D</x:v>
      </x:c>
      <x:c r="T4" s="19" t="str">
        <x:v>1450 r/min</x:v>
      </x:c>
      <x:c r="U4" s="19" t="str"/>
      <x:c r="V4" s="19" t="str"/>
      <x:c r="W4" s="19" t="str">
        <x:v>5</x:v>
      </x:c>
    </x:row>
    <x:row r="5">
      <x:c r="A5" s="19" t="str">
        <x:v>UNIT 1</x:v>
      </x:c>
      <x:c r="B5" s="19" t="str">
        <x:v>AST-004</x:v>
      </x:c>
      <x:c r="C5" s="19" t="str">
        <x:v>Motor Primary Air Fan 2#1</x:v>
      </x:c>
      <x:c r="D5" s="19" t="str">
        <x:v>LJ10HLB10AN002-001</x:v>
      </x:c>
      <x:c r="E5" s="19" t="str">
        <x:v>Fan</x:v>
      </x:c>
      <x:c r="F5" s="19" t="str">
        <x:v>ISO 10816-3 (GROUP 1 RIGID)</x:v>
      </x:c>
      <x:c r="G5" s="19" t="str">
        <x:v>W39</x:v>
      </x:c>
      <x:c r="H5" s="19" t="str">
        <x:v>2024-09-23</x:v>
      </x:c>
      <x:c r="I5" s="19" t="str">
        <x:v>NORMAL</x:v>
      </x:c>
      <x:c r="J5" s="19" t="str">
        <x:v>MOTOR</x:v>
      </x:c>
      <x:c r="K5" s="19" t="str">
        <x:v>YKK 4001-4</x:v>
      </x:c>
      <x:c r="L5" s="19" t="str">
        <x:v>1480 r/min</x:v>
      </x:c>
      <x:c r="M5" s="19" t="str">
        <x:v>280 kW</x:v>
      </x:c>
      <x:c r="N5" s="19" t="str">
        <x:v>Roller Bearing</x:v>
      </x:c>
      <x:c r="O5" s="19" t="str">
        <x:v>NU324</x:v>
      </x:c>
      <x:c r="P5" s="19" t="str">
        <x:v>6224</x:v>
      </x:c>
      <x:c r="Q5" s="19" t="str">
        <x:v>Rigid</x:v>
      </x:c>
      <x:c r="R5" s="19" t="str">
        <x:v>FAN</x:v>
      </x:c>
      <x:c r="S5" s="19" t="str">
        <x:v>QALG-217D</x:v>
      </x:c>
      <x:c r="T5" s="19" t="str">
        <x:v>1450 r/min</x:v>
      </x:c>
      <x:c r="U5" s="19" t="str"/>
      <x:c r="V5" s="19" t="str"/>
      <x:c r="W5" s="19" t="str">
        <x:v>7</x:v>
      </x:c>
    </x:row>
    <x:row r="6">
      <x:c r="A6" s="19" t="str">
        <x:v>UNIT 1</x:v>
      </x:c>
      <x:c r="B6" s="19" t="str">
        <x:v>AST-005</x:v>
      </x:c>
      <x:c r="C6" s="19" t="str">
        <x:v>Motor Secondary Air Fan 1#1</x:v>
      </x:c>
      <x:c r="D6" s="19" t="str">
        <x:v>LJ10HLB10AN003-001</x:v>
      </x:c>
      <x:c r="E6" s="19" t="str">
        <x:v>Fan</x:v>
      </x:c>
      <x:c r="F6" s="19" t="str">
        <x:v>ISO 10816-3 (GROUP 1 RIGID)</x:v>
      </x:c>
      <x:c r="G6" s="19" t="str">
        <x:v>W37</x:v>
      </x:c>
      <x:c r="H6" s="19" t="str">
        <x:v>2024-09-09</x:v>
      </x:c>
      <x:c r="I6" s="19" t="str">
        <x:v>NORMAL</x:v>
      </x:c>
      <x:c r="J6" s="19" t="str">
        <x:v>MOTOR</x:v>
      </x:c>
      <x:c r="K6" s="19" t="str">
        <x:v>YKK 4001-4</x:v>
      </x:c>
      <x:c r="L6" s="19" t="str">
        <x:v>1480 r/min</x:v>
      </x:c>
      <x:c r="M6" s="19" t="str">
        <x:v>280 kW</x:v>
      </x:c>
      <x:c r="N6" s="19" t="str">
        <x:v>Roller Bearing</x:v>
      </x:c>
      <x:c r="O6" s="19" t="str">
        <x:v>NU324</x:v>
      </x:c>
      <x:c r="P6" s="19" t="str">
        <x:v>6224</x:v>
      </x:c>
      <x:c r="Q6" s="19" t="str">
        <x:v>Rigid</x:v>
      </x:c>
      <x:c r="R6" s="19" t="str">
        <x:v>FAN</x:v>
      </x:c>
      <x:c r="S6" s="19" t="str">
        <x:v>QALG-217D</x:v>
      </x:c>
      <x:c r="T6" s="19" t="str">
        <x:v>1450 r/min</x:v>
      </x:c>
      <x:c r="U6" s="19" t="str"/>
      <x:c r="V6" s="19" t="str"/>
      <x:c r="W6" s="19" t="str">
        <x:v>9</x:v>
      </x:c>
    </x:row>
    <x:row r="7">
      <x:c r="A7" s="19" t="str">
        <x:v>UNIT 1</x:v>
      </x:c>
      <x:c r="B7" s="19" t="str">
        <x:v>AST-006</x:v>
      </x:c>
      <x:c r="C7" s="19" t="str">
        <x:v>Motor Secondary Air Fan 2#1</x:v>
      </x:c>
      <x:c r="D7" s="19" t="str">
        <x:v>LJ10HLB10AN004-001</x:v>
      </x:c>
      <x:c r="E7" s="19" t="str">
        <x:v>Fan</x:v>
      </x:c>
      <x:c r="F7" s="19" t="str">
        <x:v>ISO 10816-3 (GROUP 1 RIGID)</x:v>
      </x:c>
      <x:c r="G7" s="19" t="str">
        <x:v>W39</x:v>
      </x:c>
      <x:c r="H7" s="19" t="str">
        <x:v>2024-09-23</x:v>
      </x:c>
      <x:c r="I7" s="19" t="str">
        <x:v>PREWARNING</x:v>
      </x:c>
      <x:c r="J7" s="19" t="str">
        <x:v>MOTOR</x:v>
      </x:c>
      <x:c r="K7" s="19" t="str">
        <x:v>YKK 4001-4</x:v>
      </x:c>
      <x:c r="L7" s="19" t="str">
        <x:v>1480 r/min</x:v>
      </x:c>
      <x:c r="M7" s="19" t="str">
        <x:v>280 kW</x:v>
      </x:c>
      <x:c r="N7" s="19" t="str">
        <x:v>Roller Bearing</x:v>
      </x:c>
      <x:c r="O7" s="19" t="str">
        <x:v>NU324</x:v>
      </x:c>
      <x:c r="P7" s="19" t="str">
        <x:v>6224</x:v>
      </x:c>
      <x:c r="Q7" s="19" t="str">
        <x:v>Rigid</x:v>
      </x:c>
      <x:c r="R7" s="19" t="str">
        <x:v>FAN</x:v>
      </x:c>
      <x:c r="S7" s="19" t="str">
        <x:v>QALG-217D</x:v>
      </x:c>
      <x:c r="T7" s="19" t="str">
        <x:v>1450 r/min</x:v>
      </x:c>
      <x:c r="U7" s="19" t="str"/>
      <x:c r="V7" s="19" t="str"/>
      <x:c r="W7" s="19" t="str">
        <x:v>11</x:v>
      </x:c>
    </x:row>
    <x:row r="8">
      <x:c r="A8" s="19" t="str">
        <x:v>UNIT 1</x:v>
      </x:c>
      <x:c r="B8" s="19" t="str">
        <x:v>AST-007</x:v>
      </x:c>
      <x:c r="C8" s="19" t="str">
        <x:v>Turbin-Generator#1</x:v>
      </x:c>
      <x:c r="D8" s="19" t="str">
        <x:v>LJ10MAA10HB010-001</x:v>
      </x:c>
      <x:c r="E8" s="19" t="str">
        <x:v>Turbine-Generator</x:v>
      </x:c>
      <x:c r="F8" s="19" t="str">
        <x:v>ISO 10816-2</x:v>
      </x:c>
      <x:c r="G8" s="19" t="str">
        <x:v>W37</x:v>
      </x:c>
      <x:c r="H8" s="19" t="str">
        <x:v>2024-09-09</x:v>
      </x:c>
      <x:c r="I8" s="19" t="str">
        <x:v>NORMAL</x:v>
      </x:c>
      <x:c r="J8" s="19" t="str">
        <x:v>GENERATOR</x:v>
      </x:c>
      <x:c r="K8" s="19" t="str">
        <x:v>China Changjiang Energy Corp.</x:v>
      </x:c>
      <x:c r="L8" s="19" t="str"/>
      <x:c r="M8" s="19" t="str"/>
      <x:c r="N8" s="19" t="str"/>
      <x:c r="O8" s="19" t="str"/>
      <x:c r="P8" s="19" t="str"/>
      <x:c r="Q8" s="19" t="str"/>
      <x:c r="R8" s="19" t="str">
        <x:v>TURBINE</x:v>
      </x:c>
      <x:c r="S8" s="19" t="str"/>
      <x:c r="T8" s="19" t="str">
        <x:v>3000 r/min</x:v>
      </x:c>
      <x:c r="U8" s="19" t="str"/>
      <x:c r="V8" s="19" t="str"/>
      <x:c r="W8" s="19" t="str">
        <x:v>13</x:v>
      </x:c>
    </x:row>
    <x:row r="9">
      <x:c r="A9" s="19" t="str">
        <x:v>UNIT 1</x:v>
      </x:c>
      <x:c r="B9" s="19" t="str">
        <x:v>AST-008</x:v>
      </x:c>
      <x:c r="C9" s="19" t="str">
        <x:v>Motor Condensat Pump 2#1</x:v>
      </x:c>
      <x:c r="D9" s="19" t="str">
        <x:v>LJ10LCB10AP020-001</x:v>
      </x:c>
      <x:c r="E9" s="19" t="str">
        <x:v>Pump</x:v>
      </x:c>
      <x:c r="F9" s="19" t="str">
        <x:v>ISO 10816-3 (GROUP 2 RIGID)</x:v>
      </x:c>
      <x:c r="G9" s="19" t="str">
        <x:v>W36</x:v>
      </x:c>
      <x:c r="H9" s="19" t="str">
        <x:v>2024-09-02</x:v>
      </x:c>
      <x:c r="I9" s="19" t="str">
        <x:v>PREWARNING</x:v>
      </x:c>
      <x:c r="J9" s="19" t="str">
        <x:v>MOTOR</x:v>
      </x:c>
      <x:c r="K9" s="19" t="str">
        <x:v>YLB 250-2-4</x:v>
      </x:c>
      <x:c r="L9" s="19" t="str">
        <x:v>1430 rpm</x:v>
      </x:c>
      <x:c r="M9" s="19" t="str">
        <x:v>75 kW</x:v>
      </x:c>
      <x:c r="N9" s="19" t="str">
        <x:v>-</x:v>
      </x:c>
      <x:c r="O9" s="19" t="str">
        <x:v>-</x:v>
      </x:c>
      <x:c r="P9" s="19" t="str">
        <x:v>-</x:v>
      </x:c>
      <x:c r="Q9" s="19" t="str">
        <x:v>Rigid</x:v>
      </x:c>
      <x:c r="R9" s="19" t="str">
        <x:v>POMPA</x:v>
      </x:c>
      <x:c r="S9" s="19" t="str">
        <x:v>5LDIN</x:v>
      </x:c>
      <x:c r="T9" s="19" t="str">
        <x:v>1480 rpm</x:v>
      </x:c>
      <x:c r="U9" s="19" t="str">
        <x:v>53 kW</x:v>
      </x:c>
      <x:c r="V9" s="19" t="str">
        <x:v>120 m3/h</x:v>
      </x:c>
      <x:c r="W9" s="19" t="str">
        <x:v>15</x:v>
      </x:c>
    </x:row>
    <x:row r="10">
      <x:c r="A10" s="19" t="str">
        <x:v>UNIT 1</x:v>
      </x:c>
      <x:c r="B10" s="19" t="str">
        <x:v>AST-009</x:v>
      </x:c>
      <x:c r="C10" s="19" t="str">
        <x:v>Motor Vacuum Pump 1#1</x:v>
      </x:c>
      <x:c r="D10" s="19" t="str">
        <x:v>LJ10MAG10AP011-001</x:v>
      </x:c>
      <x:c r="E10" s="19" t="str">
        <x:v>Pump</x:v>
      </x:c>
      <x:c r="F10" s="19" t="str">
        <x:v>ISO 10816-3 (GROUP 2 RIGID)</x:v>
      </x:c>
      <x:c r="G10" s="19" t="str">
        <x:v>W39</x:v>
      </x:c>
      <x:c r="H10" s="19" t="str">
        <x:v>2024-09-23</x:v>
      </x:c>
      <x:c r="I10" s="19" t="str">
        <x:v>NORMAL</x:v>
      </x:c>
      <x:c r="J10" s="19" t="str">
        <x:v>MOTOR</x:v>
      </x:c>
      <x:c r="K10" s="19" t="str">
        <x:v>Y2 - 250-6</x:v>
      </x:c>
      <x:c r="L10" s="19" t="str">
        <x:v>980 rpm</x:v>
      </x:c>
      <x:c r="M10" s="19" t="str">
        <x:v>37 kW</x:v>
      </x:c>
      <x:c r="N10" s="19" t="str"/>
      <x:c r="O10" s="19" t="str"/>
      <x:c r="P10" s="19" t="str"/>
      <x:c r="Q10" s="19" t="str">
        <x:v>Rigid</x:v>
      </x:c>
      <x:c r="R10" s="19" t="str">
        <x:v>POMPA</x:v>
      </x:c>
      <x:c r="S10" s="19" t="str"/>
      <x:c r="T10" s="19" t="str"/>
      <x:c r="U10" s="19" t="str"/>
      <x:c r="V10" s="19" t="str"/>
      <x:c r="W10" s="19" t="str">
        <x:v>17</x:v>
      </x:c>
    </x:row>
    <x:row r="11">
      <x:c r="A11" s="19" t="str">
        <x:v>UNIT 1</x:v>
      </x:c>
      <x:c r="B11" s="19" t="str">
        <x:v>AST-010</x:v>
      </x:c>
      <x:c r="C11" s="19" t="str">
        <x:v>Motor Vacuum Pump 2#1</x:v>
      </x:c>
      <x:c r="D11" s="19" t="str">
        <x:v>LJ10MAG10AP012-001</x:v>
      </x:c>
      <x:c r="E11" s="19" t="str">
        <x:v>Pump</x:v>
      </x:c>
      <x:c r="F11" s="19" t="str">
        <x:v>ISO 10816-3 (GROUP 2 RIGID)</x:v>
      </x:c>
      <x:c r="G11" s="19" t="str">
        <x:v>W39</x:v>
      </x:c>
      <x:c r="H11" s="19" t="str">
        <x:v>2024-09-23</x:v>
      </x:c>
      <x:c r="I11" s="19" t="str">
        <x:v>NORMAL</x:v>
      </x:c>
      <x:c r="J11" s="19" t="str">
        <x:v>MOTOR</x:v>
      </x:c>
      <x:c r="K11" s="19" t="str">
        <x:v>Y2 - 250-6</x:v>
      </x:c>
      <x:c r="L11" s="19" t="str">
        <x:v>980 rpm</x:v>
      </x:c>
      <x:c r="M11" s="19" t="str">
        <x:v>37 kW</x:v>
      </x:c>
      <x:c r="N11" s="19" t="str"/>
      <x:c r="O11" s="19" t="str"/>
      <x:c r="P11" s="19" t="str"/>
      <x:c r="Q11" s="19" t="str">
        <x:v>Rigid</x:v>
      </x:c>
      <x:c r="R11" s="19" t="str">
        <x:v>POMPA</x:v>
      </x:c>
      <x:c r="S11" s="19" t="str"/>
      <x:c r="T11" s="19" t="str"/>
      <x:c r="U11" s="19" t="str"/>
      <x:c r="V11" s="19" t="str"/>
      <x:c r="W11" s="19" t="str">
        <x:v>19</x:v>
      </x:c>
    </x:row>
    <x:row r="12">
      <x:c r="A12" s="19" t="str">
        <x:v>UNIT 1</x:v>
      </x:c>
      <x:c r="B12" s="19" t="str">
        <x:v>AST-011</x:v>
      </x:c>
      <x:c r="C12" s="19" t="str">
        <x:v>Motor Boiler Feed Pump 1#1</x:v>
      </x:c>
      <x:c r="D12" s="19" t="str">
        <x:v>LJ10LAC10AP001-001</x:v>
      </x:c>
      <x:c r="E12" s="19" t="str">
        <x:v>Pump</x:v>
      </x:c>
      <x:c r="F12" s="19" t="str">
        <x:v>ISO 10816-3 (GROUP 1 RIGID)</x:v>
      </x:c>
      <x:c r="G12" s="19" t="str">
        <x:v>W36</x:v>
      </x:c>
      <x:c r="H12" s="19" t="str">
        <x:v>2024-09-02</x:v>
      </x:c>
      <x:c r="I12" s="19" t="str">
        <x:v>NORMAL</x:v>
      </x:c>
      <x:c r="J12" s="19" t="str">
        <x:v>MOTOR</x:v>
      </x:c>
      <x:c r="K12" s="19" t="str">
        <x:v>SY23372-1028, QINGJIANG</x:v>
      </x:c>
      <x:c r="L12" s="19" t="str">
        <x:v>2980 rpm</x:v>
      </x:c>
      <x:c r="M12" s="19" t="str">
        <x:v>1000</x:v>
      </x:c>
      <x:c r="N12" s="19" t="str"/>
      <x:c r="O12" s="19" t="str">
        <x:v>NU 224EC</x:v>
      </x:c>
      <x:c r="P12" s="19" t="str">
        <x:v>6224/C3</x:v>
      </x:c>
      <x:c r="Q12" s="19" t="str">
        <x:v>Rigid</x:v>
      </x:c>
      <x:c r="R12" s="19" t="str">
        <x:v>POMPA</x:v>
      </x:c>
      <x:c r="S12" s="19" t="str">
        <x:v>SHENYANG AST PUMP MANUFACTURING CO.,LTD</x:v>
      </x:c>
      <x:c r="T12" s="19" t="str">
        <x:v>2980 rpm</x:v>
      </x:c>
      <x:c r="U12" s="19" t="str"/>
      <x:c r="V12" s="19" t="str">
        <x:v>140</x:v>
      </x:c>
      <x:c r="W12" s="19" t="str">
        <x:v>21</x:v>
      </x:c>
    </x:row>
    <x:row r="13">
      <x:c r="A13" s="19" t="str">
        <x:v>UNIT 1</x:v>
      </x:c>
      <x:c r="B13" s="19" t="str">
        <x:v>AST-012</x:v>
      </x:c>
      <x:c r="C13" s="19" t="str">
        <x:v>Motor CCCWP 1#1</x:v>
      </x:c>
      <x:c r="D13" s="19" t="str">
        <x:v>LJ10PGB10AP001-001</x:v>
      </x:c>
      <x:c r="E13" s="19" t="str">
        <x:v>Pump</x:v>
      </x:c>
      <x:c r="F13" s="19" t="str">
        <x:v>ISO 10816-3 (GROUP 2 RIGID)</x:v>
      </x:c>
      <x:c r="G13" s="19" t="str">
        <x:v>W37</x:v>
      </x:c>
      <x:c r="H13" s="19" t="str">
        <x:v>2024-09-10</x:v>
      </x:c>
      <x:c r="I13" s="19" t="str">
        <x:v>PREWARNING</x:v>
      </x:c>
      <x:c r="J13" s="19" t="str">
        <x:v>MOTOR</x:v>
      </x:c>
      <x:c r="K13" s="19" t="str">
        <x:v>Y2 - 280-4</x:v>
      </x:c>
      <x:c r="L13" s="19" t="str">
        <x:v>980 rpm</x:v>
      </x:c>
      <x:c r="M13" s="19" t="str">
        <x:v>75 kW</x:v>
      </x:c>
      <x:c r="N13" s="19" t="str">
        <x:v>-</x:v>
      </x:c>
      <x:c r="O13" s="19" t="str">
        <x:v>-</x:v>
      </x:c>
      <x:c r="P13" s="19" t="str">
        <x:v>-</x:v>
      </x:c>
      <x:c r="Q13" s="19" t="str">
        <x:v>Rigid</x:v>
      </x:c>
      <x:c r="R13" s="19" t="str">
        <x:v>POMPA</x:v>
      </x:c>
      <x:c r="S13" s="19" t="str"/>
      <x:c r="T13" s="19" t="str"/>
      <x:c r="U13" s="19" t="str"/>
      <x:c r="V13" s="19" t="str"/>
      <x:c r="W13" s="19" t="str">
        <x:v>23</x:v>
      </x:c>
    </x:row>
    <x:row r="14">
      <x:c r="A14" s="19" t="str">
        <x:v>UNIT 1</x:v>
      </x:c>
      <x:c r="B14" s="19" t="str">
        <x:v>AST-013</x:v>
      </x:c>
      <x:c r="C14" s="19" t="str">
        <x:v>Motor CCCWP 2#1</x:v>
      </x:c>
      <x:c r="D14" s="19" t="str">
        <x:v>LJ10PGB10AP002-001</x:v>
      </x:c>
      <x:c r="E14" s="19" t="str">
        <x:v>Pump</x:v>
      </x:c>
      <x:c r="F14" s="19" t="str">
        <x:v>ISO 10816-3 (GROUP 2 RIGID)</x:v>
      </x:c>
      <x:c r="G14" s="19" t="str">
        <x:v>W39</x:v>
      </x:c>
      <x:c r="H14" s="19" t="str">
        <x:v>2024-09-24</x:v>
      </x:c>
      <x:c r="I14" s="19" t="str">
        <x:v>NORMAL</x:v>
      </x:c>
      <x:c r="J14" s="19" t="str">
        <x:v>MOTOR</x:v>
      </x:c>
      <x:c r="K14" s="19" t="str">
        <x:v>Y2 - 280-4</x:v>
      </x:c>
      <x:c r="L14" s="19" t="str">
        <x:v>980 rpm</x:v>
      </x:c>
      <x:c r="M14" s="19" t="str">
        <x:v>75 kW</x:v>
      </x:c>
      <x:c r="N14" s="19" t="str"/>
      <x:c r="O14" s="19" t="str"/>
      <x:c r="P14" s="19" t="str"/>
      <x:c r="Q14" s="19" t="str">
        <x:v>Rigid</x:v>
      </x:c>
      <x:c r="R14" s="19" t="str">
        <x:v>POMPA</x:v>
      </x:c>
      <x:c r="S14" s="19" t="str"/>
      <x:c r="T14" s="19" t="str"/>
      <x:c r="U14" s="19" t="str"/>
      <x:c r="V14" s="19" t="str"/>
      <x:c r="W14" s="19" t="str">
        <x:v>25</x:v>
      </x:c>
    </x:row>
    <x:row r="15">
      <x:c r="A15" s="19" t="str">
        <x:v>UNIT 1</x:v>
      </x:c>
      <x:c r="B15" s="19" t="str">
        <x:v>AST-014</x:v>
      </x:c>
      <x:c r="C15" s="19" t="str">
        <x:v>Motor CWP 355 Kw 1#1</x:v>
      </x:c>
      <x:c r="D15" s="19" t="str">
        <x:v>LJ10PAC10AP001-001</x:v>
      </x:c>
      <x:c r="E15" s="19" t="str">
        <x:v>Pump</x:v>
      </x:c>
      <x:c r="F15" s="19" t="str">
        <x:v>ISO 10816-3 (GROUP 1 RIGID)</x:v>
      </x:c>
      <x:c r="G15" s="19" t="str">
        <x:v>W39</x:v>
      </x:c>
      <x:c r="H15" s="19" t="str">
        <x:v>2024-09-24</x:v>
      </x:c>
      <x:c r="I15" s="19" t="str">
        <x:v>PREWARNING</x:v>
      </x:c>
      <x:c r="J15" s="19" t="str">
        <x:v>MOTOR</x:v>
      </x:c>
      <x:c r="K15" s="19" t="str">
        <x:v>YLKK400-6</x:v>
      </x:c>
      <x:c r="L15" s="19" t="str">
        <x:v>991</x:v>
      </x:c>
      <x:c r="M15" s="19" t="str">
        <x:v>315</x:v>
      </x:c>
      <x:c r="N15" s="19" t="str"/>
      <x:c r="O15" s="19" t="str"/>
      <x:c r="P15" s="19" t="str"/>
      <x:c r="Q15" s="19" t="str">
        <x:v>Rigid</x:v>
      </x:c>
      <x:c r="R15" s="19" t="str">
        <x:v>POMPA</x:v>
      </x:c>
      <x:c r="S15" s="19" t="str"/>
      <x:c r="T15" s="19" t="str"/>
      <x:c r="U15" s="19" t="str"/>
      <x:c r="V15" s="19" t="str"/>
      <x:c r="W15" s="19" t="str">
        <x:v>27</x:v>
      </x:c>
    </x:row>
    <x:row r="16">
      <x:c r="A16" s="19" t="str">
        <x:v>UNIT 1</x:v>
      </x:c>
      <x:c r="B16" s="19" t="str">
        <x:v>AST-015</x:v>
      </x:c>
      <x:c r="C16" s="19" t="str">
        <x:v>Motor CWP 355 Kw 2#1</x:v>
      </x:c>
      <x:c r="D16" s="19" t="str">
        <x:v>LJ10PAC10AP002-001</x:v>
      </x:c>
      <x:c r="E16" s="19" t="str">
        <x:v>Pump</x:v>
      </x:c>
      <x:c r="F16" s="19" t="str">
        <x:v>ISO 10816-3 (GROUP 1 RIGID)</x:v>
      </x:c>
      <x:c r="G16" s="19" t="str">
        <x:v>W37</x:v>
      </x:c>
      <x:c r="H16" s="19" t="str">
        <x:v>2024-09-10</x:v>
      </x:c>
      <x:c r="I16" s="19" t="str">
        <x:v>NORMAL</x:v>
      </x:c>
      <x:c r="J16" s="19" t="str">
        <x:v>MOTOR</x:v>
      </x:c>
      <x:c r="K16" s="19" t="str">
        <x:v>YLKK400-6</x:v>
      </x:c>
      <x:c r="L16" s="19" t="str">
        <x:v>991</x:v>
      </x:c>
      <x:c r="M16" s="19" t="str">
        <x:v>315</x:v>
      </x:c>
      <x:c r="N16" s="19" t="str"/>
      <x:c r="O16" s="19" t="str"/>
      <x:c r="P16" s="19" t="str"/>
      <x:c r="Q16" s="19" t="str">
        <x:v>Rigid</x:v>
      </x:c>
      <x:c r="R16" s="19" t="str">
        <x:v>POMPA</x:v>
      </x:c>
      <x:c r="S16" s="19" t="str"/>
      <x:c r="T16" s="19" t="str"/>
      <x:c r="U16" s="19" t="str"/>
      <x:c r="V16" s="19" t="str"/>
      <x:c r="W16" s="19" t="str">
        <x:v>29</x:v>
      </x:c>
    </x:row>
    <x:row r="17">
      <x:c r="A17" s="19" t="str">
        <x:v>UNIT 1</x:v>
      </x:c>
      <x:c r="B17" s="19" t="str">
        <x:v>AST-016</x:v>
      </x:c>
      <x:c r="C17" s="19" t="str">
        <x:v>Motor BWRO 1#1</x:v>
      </x:c>
      <x:c r="D17" s="19" t="str">
        <x:v>LJ10GCK10AP005-001</x:v>
      </x:c>
      <x:c r="E17" s="19" t="str">
        <x:v>Pump</x:v>
      </x:c>
      <x:c r="F17" s="19" t="str">
        <x:v>ISO 10816-3 (GROUP 2 RIGID)</x:v>
      </x:c>
      <x:c r="G17" s="19" t="str">
        <x:v>W37</x:v>
      </x:c>
      <x:c r="H17" s="19" t="str">
        <x:v>2024-09-10</x:v>
      </x:c>
      <x:c r="I17" s="19" t="str">
        <x:v>PREWARNING</x:v>
      </x:c>
      <x:c r="J17" s="19" t="str">
        <x:v>MOTOR</x:v>
      </x:c>
      <x:c r="K17" s="19" t="str">
        <x:v>AEUBKG020015FMBP3</x:v>
      </x:c>
      <x:c r="L17" s="19" t="str">
        <x:v>2920 r/min</x:v>
      </x:c>
      <x:c r="M17" s="19" t="str">
        <x:v>11 kw</x:v>
      </x:c>
      <x:c r="N17" s="19" t="str">
        <x:v>Roller Bearing</x:v>
      </x:c>
      <x:c r="O17" s="19" t="str">
        <x:v>7309B</x:v>
      </x:c>
      <x:c r="P17" s="19" t="str">
        <x:v>6307C3</x:v>
      </x:c>
      <x:c r="Q17" s="19" t="str">
        <x:v>Rigid</x:v>
      </x:c>
      <x:c r="R17" s="19" t="str">
        <x:v>POMPA</x:v>
      </x:c>
      <x:c r="S17" s="19" t="str">
        <x:v>A96536974P11003</x:v>
      </x:c>
      <x:c r="T17" s="19" t="str">
        <x:v>2920 r/min</x:v>
      </x:c>
      <x:c r="U17" s="19" t="str">
        <x:v>11 Kw</x:v>
      </x:c>
      <x:c r="V17" s="19" t="str">
        <x:v>21 m3/h</x:v>
      </x:c>
      <x:c r="W17" s="19" t="str">
        <x:v>32</x:v>
      </x:c>
    </x:row>
    <x:row r="18">
      <x:c r="A18" s="19" t="str">
        <x:v>UNIT 1</x:v>
      </x:c>
      <x:c r="B18" s="19" t="str">
        <x:v>AST-017</x:v>
      </x:c>
      <x:c r="C18" s="19" t="str">
        <x:v>Motor SWRO 2#1</x:v>
      </x:c>
      <x:c r="D18" s="19" t="str">
        <x:v>LJ10GCK10AP008-001</x:v>
      </x:c>
      <x:c r="E18" s="19" t="str">
        <x:v>Pump</x:v>
      </x:c>
      <x:c r="F18" s="19" t="str">
        <x:v>ISO 10816-3 (GROUP 2 RIGID)</x:v>
      </x:c>
      <x:c r="G18" s="19" t="str">
        <x:v>W39</x:v>
      </x:c>
      <x:c r="H18" s="19" t="str">
        <x:v>2024-09-24</x:v>
      </x:c>
      <x:c r="I18" s="19" t="str">
        <x:v>NORMAL</x:v>
      </x:c>
      <x:c r="J18" s="19" t="str">
        <x:v>MOTOR</x:v>
      </x:c>
      <x:c r="K18" s="19" t="str"/>
      <x:c r="L18" s="19" t="str">
        <x:v>2970 r/min</x:v>
      </x:c>
      <x:c r="M18" s="19" t="str">
        <x:v>75</x:v>
      </x:c>
      <x:c r="N18" s="19" t="str"/>
      <x:c r="O18" s="19" t="str"/>
      <x:c r="P18" s="19" t="str"/>
      <x:c r="Q18" s="19" t="str">
        <x:v>Rigid</x:v>
      </x:c>
      <x:c r="R18" s="19" t="str">
        <x:v>POMPA</x:v>
      </x:c>
      <x:c r="S18" s="19" t="str"/>
      <x:c r="T18" s="19" t="str"/>
      <x:c r="U18" s="19" t="str"/>
      <x:c r="V18" s="19" t="str"/>
      <x:c r="W18" s="19" t="str">
        <x:v>34</x:v>
      </x:c>
    </x:row>
    <x:row r="19">
      <x:c r="A19" s="19" t="str">
        <x:v>UNIT 1</x:v>
      </x:c>
      <x:c r="B19" s="19" t="str">
        <x:v>AST-018</x:v>
      </x:c>
      <x:c r="C19" s="19" t="str">
        <x:v>AC OIL PUMP UNIT 1</x:v>
      </x:c>
      <x:c r="D19" s="19" t="str"/>
      <x:c r="E19" s="19" t="str">
        <x:v>Pump</x:v>
      </x:c>
      <x:c r="F19" s="19" t="str">
        <x:v>ISO 10816-3 (GROUP 2 RIGID)</x:v>
      </x:c>
      <x:c r="G19" s="19" t="str">
        <x:v>W38</x:v>
      </x:c>
      <x:c r="H19" s="19" t="str">
        <x:v>2024-09-16</x:v>
      </x:c>
      <x:c r="I19" s="19" t="str">
        <x:v>PREWARNING</x:v>
      </x:c>
      <x:c r="J19" s="19" t="str">
        <x:v>MOTOR</x:v>
      </x:c>
      <x:c r="K19" s="19" t="str">
        <x:v>Y2 - 250-6</x:v>
      </x:c>
      <x:c r="L19" s="19" t="str">
        <x:v>980 rpm</x:v>
      </x:c>
      <x:c r="M19" s="19" t="str">
        <x:v>37 kW</x:v>
      </x:c>
      <x:c r="N19" s="19" t="str"/>
      <x:c r="O19" s="19" t="str"/>
      <x:c r="P19" s="19" t="str"/>
      <x:c r="Q19" s="19" t="str">
        <x:v>Rigid</x:v>
      </x:c>
      <x:c r="R19" s="19" t="str">
        <x:v>POMPA</x:v>
      </x:c>
      <x:c r="S19" s="19" t="str"/>
      <x:c r="T19" s="19" t="str"/>
      <x:c r="U19" s="19" t="str"/>
      <x:c r="V19" s="19" t="str"/>
      <x:c r="W19" s="19" t="str">
        <x:v>36</x:v>
      </x:c>
    </x:row>
  </x:sheetData>
  <x:conditionalFormatting sqref="I2:I19">
    <x:cfRule type="expression" dxfId="16" priority="1">
      <x:formula>I2="NORMAL"</x:formula>
    </x:cfRule>
    <x:cfRule type="expression" dxfId="17" priority="2">
      <x:formula>I2="PREWARNING"</x:formula>
    </x:cfRule>
    <x:cfRule type="expression" dxfId="18" priority="3">
      <x:formula>I2="WARNING"</x:formula>
    </x:cfRule>
    <x:cfRule type="expression" dxfId="19" priority="4">
      <x:formula>I2="ALARM"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5605d3e0d6e43e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32" hidden="0" customWidth="1"/>
    <x:col min="4" max="4" width="24" hidden="0" customWidth="1"/>
    <x:col min="5" max="5" width="24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</x:cols>
  <x:sheetData>
    <x:row r="1">
      <x:c r="A1" s="37" t="str">
        <x:v>Unit Group</x:v>
      </x:c>
      <x:c r="B1" s="37" t="str">
        <x:v>Asset ID</x:v>
      </x:c>
      <x:c r="C1" s="37" t="str">
        <x:v>Equipment</x:v>
      </x:c>
      <x:c r="D1" s="37" t="str">
        <x:v>KKS</x:v>
      </x:c>
      <x:c r="E1" s="37" t="str">
        <x:v>Asset Category</x:v>
      </x:c>
      <x:c r="F1" s="37" t="str">
        <x:v>Equipment Class</x:v>
      </x:c>
      <x:c r="G1" s="37" t="str">
        <x:v>PM Week</x:v>
      </x:c>
      <x:c r="H1" s="37" t="str">
        <x:v>Measurement Date</x:v>
      </x:c>
      <x:c r="I1" s="37" t="str">
        <x:v>Status Vibrasi</x:v>
      </x:c>
      <x:c r="J1" s="37" t="str">
        <x:v>Component 1</x:v>
      </x:c>
      <x:c r="K1" s="37" t="str">
        <x:v>C1 Type/Mfg</x:v>
      </x:c>
      <x:c r="L1" s="37" t="str">
        <x:v>C1 Speed</x:v>
      </x:c>
      <x:c r="M1" s="37" t="str">
        <x:v>C1 Power</x:v>
      </x:c>
      <x:c r="N1" s="37" t="str">
        <x:v>C1 Bearing Type</x:v>
      </x:c>
      <x:c r="O1" s="37" t="str">
        <x:v>C1 Inboard Bearing</x:v>
      </x:c>
      <x:c r="P1" s="37" t="str">
        <x:v>C1 Outboard Bearing</x:v>
      </x:c>
      <x:c r="Q1" s="37" t="str">
        <x:v>C1 Foundation</x:v>
      </x:c>
      <x:c r="R1" s="37" t="str">
        <x:v>Component 2</x:v>
      </x:c>
      <x:c r="S1" s="37" t="str">
        <x:v>C2 Type/Mfg</x:v>
      </x:c>
      <x:c r="T1" s="37" t="str">
        <x:v>C2 Speed</x:v>
      </x:c>
      <x:c r="U1" s="37" t="str">
        <x:v>C2 Power</x:v>
      </x:c>
      <x:c r="V1" s="37" t="str">
        <x:v>C2 Capacity</x:v>
      </x:c>
      <x:c r="W1" s="37" t="str">
        <x:v>Source Pages</x:v>
      </x:c>
    </x:row>
    <x:row r="2">
      <x:c r="A2" s="19" t="str">
        <x:v>UNIT 2</x:v>
      </x:c>
      <x:c r="B2" s="19" t="str">
        <x:v>AST-019</x:v>
      </x:c>
      <x:c r="C2" s="19" t="str">
        <x:v>Motor ID Fan 1#2</x:v>
      </x:c>
      <x:c r="D2" s="19" t="str">
        <x:v>LJ20HNC10AN001-001</x:v>
      </x:c>
      <x:c r="E2" s="19" t="str">
        <x:v>Fan</x:v>
      </x:c>
      <x:c r="F2" s="19" t="str">
        <x:v>ISO 10816-3 (GROUP 1 RIGID)</x:v>
      </x:c>
      <x:c r="G2" s="19" t="str">
        <x:v>W39</x:v>
      </x:c>
      <x:c r="H2" s="19" t="str">
        <x:v>2024-09-24</x:v>
      </x:c>
      <x:c r="I2" s="19" t="str">
        <x:v>NORMAL</x:v>
      </x:c>
      <x:c r="J2" s="19" t="str">
        <x:v>MOTOR</x:v>
      </x:c>
      <x:c r="K2" s="19" t="str">
        <x:v>YKK4003-4</x:v>
      </x:c>
      <x:c r="L2" s="19" t="str">
        <x:v>985</x:v>
      </x:c>
      <x:c r="M2" s="19" t="str">
        <x:v>355 Kw</x:v>
      </x:c>
      <x:c r="N2" s="19" t="str"/>
      <x:c r="O2" s="19" t="str">
        <x:v>NU324</x:v>
      </x:c>
      <x:c r="P2" s="19" t="str">
        <x:v>6324</x:v>
      </x:c>
      <x:c r="Q2" s="19" t="str">
        <x:v>Rigid</x:v>
      </x:c>
      <x:c r="R2" s="19" t="str">
        <x:v>FAN</x:v>
      </x:c>
      <x:c r="S2" s="19" t="str"/>
      <x:c r="T2" s="19" t="str"/>
      <x:c r="U2" s="19" t="str"/>
      <x:c r="V2" s="19" t="str"/>
      <x:c r="W2" s="19" t="str">
        <x:v>38</x:v>
      </x:c>
    </x:row>
    <x:row r="3">
      <x:c r="A3" s="19" t="str">
        <x:v>UNIT 2</x:v>
      </x:c>
      <x:c r="B3" s="19" t="str">
        <x:v>AST-020</x:v>
      </x:c>
      <x:c r="C3" s="19" t="str">
        <x:v>Motor ID Fan 2#2</x:v>
      </x:c>
      <x:c r="D3" s="19" t="str">
        <x:v>LJ20HNC10AN002-001</x:v>
      </x:c>
      <x:c r="E3" s="19" t="str">
        <x:v>Fan</x:v>
      </x:c>
      <x:c r="F3" s="19" t="str">
        <x:v>ISO 10816-3 (GROUP 1 RIGID)</x:v>
      </x:c>
      <x:c r="G3" s="19" t="str">
        <x:v>W37</x:v>
      </x:c>
      <x:c r="H3" s="19" t="str">
        <x:v>2024-09-10</x:v>
      </x:c>
      <x:c r="I3" s="19" t="str">
        <x:v>PREWARNING</x:v>
      </x:c>
      <x:c r="J3" s="19" t="str">
        <x:v>MOTOR</x:v>
      </x:c>
      <x:c r="K3" s="19" t="str">
        <x:v>YKK4003-4</x:v>
      </x:c>
      <x:c r="L3" s="19" t="str">
        <x:v>985</x:v>
      </x:c>
      <x:c r="M3" s="19" t="str">
        <x:v>355 Kw</x:v>
      </x:c>
      <x:c r="N3" s="19" t="str"/>
      <x:c r="O3" s="19" t="str">
        <x:v>NU324</x:v>
      </x:c>
      <x:c r="P3" s="19" t="str">
        <x:v>6324</x:v>
      </x:c>
      <x:c r="Q3" s="19" t="str">
        <x:v>Rigid</x:v>
      </x:c>
      <x:c r="R3" s="19" t="str">
        <x:v>FAN</x:v>
      </x:c>
      <x:c r="S3" s="19" t="str"/>
      <x:c r="T3" s="19" t="str"/>
      <x:c r="U3" s="19" t="str"/>
      <x:c r="V3" s="19" t="str"/>
      <x:c r="W3" s="19" t="str">
        <x:v>40</x:v>
      </x:c>
    </x:row>
    <x:row r="4">
      <x:c r="A4" s="19" t="str">
        <x:v>UNIT 2</x:v>
      </x:c>
      <x:c r="B4" s="19" t="str">
        <x:v>AST-021</x:v>
      </x:c>
      <x:c r="C4" s="19" t="str">
        <x:v>Motor Primary Air Fan 1#2</x:v>
      </x:c>
      <x:c r="D4" s="19" t="str">
        <x:v>LJ20HLB10AN001-001</x:v>
      </x:c>
      <x:c r="E4" s="19" t="str">
        <x:v>Fan</x:v>
      </x:c>
      <x:c r="F4" s="19" t="str">
        <x:v>ISO 10816-3 (GROUP 1 RIGID)</x:v>
      </x:c>
      <x:c r="G4" s="19" t="str">
        <x:v>W39</x:v>
      </x:c>
      <x:c r="H4" s="19" t="str">
        <x:v>2024-09-25</x:v>
      </x:c>
      <x:c r="I4" s="19" t="str">
        <x:v>NORMAL</x:v>
      </x:c>
      <x:c r="J4" s="19" t="str">
        <x:v>MOTOR</x:v>
      </x:c>
      <x:c r="K4" s="19" t="str">
        <x:v>YKK 4001-4</x:v>
      </x:c>
      <x:c r="L4" s="19" t="str">
        <x:v>1480 r/min</x:v>
      </x:c>
      <x:c r="M4" s="19" t="str">
        <x:v>280 kW</x:v>
      </x:c>
      <x:c r="N4" s="19" t="str">
        <x:v>Roller Bearing</x:v>
      </x:c>
      <x:c r="O4" s="19" t="str">
        <x:v>NU324</x:v>
      </x:c>
      <x:c r="P4" s="19" t="str">
        <x:v>6224</x:v>
      </x:c>
      <x:c r="Q4" s="19" t="str">
        <x:v>Rigid</x:v>
      </x:c>
      <x:c r="R4" s="19" t="str">
        <x:v>FAN</x:v>
      </x:c>
      <x:c r="S4" s="19" t="str">
        <x:v>QALG-217D</x:v>
      </x:c>
      <x:c r="T4" s="19" t="str">
        <x:v>1450 r/min</x:v>
      </x:c>
      <x:c r="U4" s="19" t="str"/>
      <x:c r="V4" s="19" t="str"/>
      <x:c r="W4" s="19" t="str">
        <x:v>42</x:v>
      </x:c>
    </x:row>
    <x:row r="5">
      <x:c r="A5" s="19" t="str">
        <x:v>UNIT 2</x:v>
      </x:c>
      <x:c r="B5" s="19" t="str">
        <x:v>AST-022</x:v>
      </x:c>
      <x:c r="C5" s="19" t="str">
        <x:v>Motor Primary Air Fan 2#2</x:v>
      </x:c>
      <x:c r="D5" s="19" t="str">
        <x:v>LJ20HLB10AN002-001</x:v>
      </x:c>
      <x:c r="E5" s="19" t="str">
        <x:v>Fan</x:v>
      </x:c>
      <x:c r="F5" s="19" t="str">
        <x:v>ISO 10816-3 (GROUP 1 RIGID)</x:v>
      </x:c>
      <x:c r="G5" s="19" t="str">
        <x:v>W37</x:v>
      </x:c>
      <x:c r="H5" s="19" t="str">
        <x:v>2024-09-11</x:v>
      </x:c>
      <x:c r="I5" s="19" t="str">
        <x:v>NORMAL</x:v>
      </x:c>
      <x:c r="J5" s="19" t="str">
        <x:v>MOTOR</x:v>
      </x:c>
      <x:c r="K5" s="19" t="str">
        <x:v>YKK 4001-4</x:v>
      </x:c>
      <x:c r="L5" s="19" t="str">
        <x:v>1480 r/min</x:v>
      </x:c>
      <x:c r="M5" s="19" t="str">
        <x:v>280 kW</x:v>
      </x:c>
      <x:c r="N5" s="19" t="str">
        <x:v>Roller Bearing</x:v>
      </x:c>
      <x:c r="O5" s="19" t="str">
        <x:v>NU324</x:v>
      </x:c>
      <x:c r="P5" s="19" t="str">
        <x:v>6224</x:v>
      </x:c>
      <x:c r="Q5" s="19" t="str">
        <x:v>Rigid</x:v>
      </x:c>
      <x:c r="R5" s="19" t="str">
        <x:v>FAN</x:v>
      </x:c>
      <x:c r="S5" s="19" t="str">
        <x:v>QALG-217D</x:v>
      </x:c>
      <x:c r="T5" s="19" t="str">
        <x:v>1450 r/min</x:v>
      </x:c>
      <x:c r="U5" s="19" t="str"/>
      <x:c r="V5" s="19" t="str"/>
      <x:c r="W5" s="19" t="str">
        <x:v>44</x:v>
      </x:c>
    </x:row>
    <x:row r="6">
      <x:c r="A6" s="19" t="str">
        <x:v>UNIT 2</x:v>
      </x:c>
      <x:c r="B6" s="19" t="str">
        <x:v>AST-023</x:v>
      </x:c>
      <x:c r="C6" s="19" t="str">
        <x:v>Motor Secondary Air Fan 1#2</x:v>
      </x:c>
      <x:c r="D6" s="19" t="str">
        <x:v>LJ20HLB10AN003-001</x:v>
      </x:c>
      <x:c r="E6" s="19" t="str">
        <x:v>Fan</x:v>
      </x:c>
      <x:c r="F6" s="19" t="str">
        <x:v>ISO 10816-3 (GROUP 1 RIGID)</x:v>
      </x:c>
      <x:c r="G6" s="19" t="str">
        <x:v>W39</x:v>
      </x:c>
      <x:c r="H6" s="19" t="str">
        <x:v>2024-09-25</x:v>
      </x:c>
      <x:c r="I6" s="19" t="str">
        <x:v>PREWARNING</x:v>
      </x:c>
      <x:c r="J6" s="19" t="str">
        <x:v>MOTOR</x:v>
      </x:c>
      <x:c r="K6" s="19" t="str">
        <x:v>YKK 4001-4</x:v>
      </x:c>
      <x:c r="L6" s="19" t="str">
        <x:v>1480 r/min</x:v>
      </x:c>
      <x:c r="M6" s="19" t="str">
        <x:v>280 kW</x:v>
      </x:c>
      <x:c r="N6" s="19" t="str">
        <x:v>Roller Bearing</x:v>
      </x:c>
      <x:c r="O6" s="19" t="str">
        <x:v>NU324</x:v>
      </x:c>
      <x:c r="P6" s="19" t="str">
        <x:v>6224</x:v>
      </x:c>
      <x:c r="Q6" s="19" t="str">
        <x:v>Rigid</x:v>
      </x:c>
      <x:c r="R6" s="19" t="str">
        <x:v>FAN</x:v>
      </x:c>
      <x:c r="S6" s="19" t="str">
        <x:v>QALG-217D</x:v>
      </x:c>
      <x:c r="T6" s="19" t="str">
        <x:v>1450 r/min</x:v>
      </x:c>
      <x:c r="U6" s="19" t="str"/>
      <x:c r="V6" s="19" t="str"/>
      <x:c r="W6" s="19" t="str">
        <x:v>46</x:v>
      </x:c>
    </x:row>
    <x:row r="7">
      <x:c r="A7" s="19" t="str">
        <x:v>UNIT 2</x:v>
      </x:c>
      <x:c r="B7" s="19" t="str">
        <x:v>AST-024</x:v>
      </x:c>
      <x:c r="C7" s="19" t="str">
        <x:v>Motor Secondary Air Fan 2#2</x:v>
      </x:c>
      <x:c r="D7" s="19" t="str">
        <x:v>LJ20HLB10AN004-001</x:v>
      </x:c>
      <x:c r="E7" s="19" t="str">
        <x:v>Fan</x:v>
      </x:c>
      <x:c r="F7" s="19" t="str">
        <x:v>ISO 10816-3 (GROUP 1 RIGID)</x:v>
      </x:c>
      <x:c r="G7" s="19" t="str">
        <x:v>W37</x:v>
      </x:c>
      <x:c r="H7" s="19" t="str">
        <x:v>2024-09-11</x:v>
      </x:c>
      <x:c r="I7" s="19" t="str">
        <x:v>NORMAL</x:v>
      </x:c>
      <x:c r="J7" s="19" t="str">
        <x:v>MOTOR</x:v>
      </x:c>
      <x:c r="K7" s="19" t="str">
        <x:v>YKK 4001-4</x:v>
      </x:c>
      <x:c r="L7" s="19" t="str">
        <x:v>1480 r/min</x:v>
      </x:c>
      <x:c r="M7" s="19" t="str">
        <x:v>280 kW</x:v>
      </x:c>
      <x:c r="N7" s="19" t="str">
        <x:v>Roller Bearing</x:v>
      </x:c>
      <x:c r="O7" s="19" t="str">
        <x:v>NU324</x:v>
      </x:c>
      <x:c r="P7" s="19" t="str">
        <x:v>6224</x:v>
      </x:c>
      <x:c r="Q7" s="19" t="str">
        <x:v>Rigid</x:v>
      </x:c>
      <x:c r="R7" s="19" t="str">
        <x:v>FAN</x:v>
      </x:c>
      <x:c r="S7" s="19" t="str">
        <x:v>QALG-217D</x:v>
      </x:c>
      <x:c r="T7" s="19" t="str">
        <x:v>1450 r/min</x:v>
      </x:c>
      <x:c r="U7" s="19" t="str"/>
      <x:c r="V7" s="19" t="str"/>
      <x:c r="W7" s="19" t="str">
        <x:v>48</x:v>
      </x:c>
    </x:row>
    <x:row r="8">
      <x:c r="A8" s="19" t="str">
        <x:v>UNIT 2</x:v>
      </x:c>
      <x:c r="B8" s="19" t="str">
        <x:v>AST-025</x:v>
      </x:c>
      <x:c r="C8" s="19" t="str">
        <x:v>Turbin-Generator#2</x:v>
      </x:c>
      <x:c r="D8" s="19" t="str">
        <x:v>LJ20MAA10HB010-001</x:v>
      </x:c>
      <x:c r="E8" s="19" t="str">
        <x:v>Turbine-Generator</x:v>
      </x:c>
      <x:c r="F8" s="19" t="str">
        <x:v>ISO 10816-2</x:v>
      </x:c>
      <x:c r="G8" s="19" t="str">
        <x:v>W39</x:v>
      </x:c>
      <x:c r="H8" s="19" t="str">
        <x:v>2024-09-25</x:v>
      </x:c>
      <x:c r="I8" s="19" t="str">
        <x:v>PREWARNING</x:v>
      </x:c>
      <x:c r="J8" s="19" t="str">
        <x:v>GENERATOR</x:v>
      </x:c>
      <x:c r="K8" s="19" t="str">
        <x:v>China Changjiang Energy Corp.</x:v>
      </x:c>
      <x:c r="L8" s="19" t="str"/>
      <x:c r="M8" s="19" t="str"/>
      <x:c r="N8" s="19" t="str"/>
      <x:c r="O8" s="19" t="str"/>
      <x:c r="P8" s="19" t="str"/>
      <x:c r="Q8" s="19" t="str"/>
      <x:c r="R8" s="19" t="str">
        <x:v>TURBINE</x:v>
      </x:c>
      <x:c r="S8" s="19" t="str"/>
      <x:c r="T8" s="19" t="str">
        <x:v>3000 r/min</x:v>
      </x:c>
      <x:c r="U8" s="19" t="str"/>
      <x:c r="V8" s="19" t="str"/>
      <x:c r="W8" s="19" t="str">
        <x:v>50</x:v>
      </x:c>
    </x:row>
    <x:row r="9">
      <x:c r="A9" s="19" t="str">
        <x:v>UNIT 2</x:v>
      </x:c>
      <x:c r="B9" s="19" t="str">
        <x:v>AST-026</x:v>
      </x:c>
      <x:c r="C9" s="19" t="str">
        <x:v>Motor Condensat Pump 1#2</x:v>
      </x:c>
      <x:c r="D9" s="19" t="str">
        <x:v>LJ20LCB10AP010-001</x:v>
      </x:c>
      <x:c r="E9" s="19" t="str">
        <x:v>Pump</x:v>
      </x:c>
      <x:c r="F9" s="19" t="str">
        <x:v>ISO 10816-3 (GROUP 2 RIGID)</x:v>
      </x:c>
      <x:c r="G9" s="19" t="str">
        <x:v>W36</x:v>
      </x:c>
      <x:c r="H9" s="19" t="str">
        <x:v>2024-09-02</x:v>
      </x:c>
      <x:c r="I9" s="19" t="str">
        <x:v>NORMAL</x:v>
      </x:c>
      <x:c r="J9" s="19" t="str">
        <x:v>MOTOR</x:v>
      </x:c>
      <x:c r="K9" s="19" t="str">
        <x:v>YLB 250-2-4</x:v>
      </x:c>
      <x:c r="L9" s="19" t="str">
        <x:v>1430 rpm</x:v>
      </x:c>
      <x:c r="M9" s="19" t="str">
        <x:v>75 kW</x:v>
      </x:c>
      <x:c r="N9" s="19" t="str">
        <x:v>-</x:v>
      </x:c>
      <x:c r="O9" s="19" t="str">
        <x:v>-</x:v>
      </x:c>
      <x:c r="P9" s="19" t="str">
        <x:v>-</x:v>
      </x:c>
      <x:c r="Q9" s="19" t="str">
        <x:v>Rigid</x:v>
      </x:c>
      <x:c r="R9" s="19" t="str">
        <x:v>POMPA</x:v>
      </x:c>
      <x:c r="S9" s="19" t="str"/>
      <x:c r="T9" s="19" t="str"/>
      <x:c r="U9" s="19" t="str"/>
      <x:c r="V9" s="19" t="str"/>
      <x:c r="W9" s="19" t="str">
        <x:v>52</x:v>
      </x:c>
    </x:row>
    <x:row r="10">
      <x:c r="A10" s="19" t="str">
        <x:v>UNIT 2</x:v>
      </x:c>
      <x:c r="B10" s="19" t="str">
        <x:v>AST-027</x:v>
      </x:c>
      <x:c r="C10" s="19" t="str">
        <x:v>Motor Vacuum Pump 1#2</x:v>
      </x:c>
      <x:c r="D10" s="19" t="str">
        <x:v>LJ20MAG10AP011-001</x:v>
      </x:c>
      <x:c r="E10" s="19" t="str">
        <x:v>Pump</x:v>
      </x:c>
      <x:c r="F10" s="19" t="str">
        <x:v>ISO 10816-3 (GROUP 2 RIGID)</x:v>
      </x:c>
      <x:c r="G10" s="19" t="str">
        <x:v>W39</x:v>
      </x:c>
      <x:c r="H10" s="19" t="str">
        <x:v>2024-09-26</x:v>
      </x:c>
      <x:c r="I10" s="19" t="str">
        <x:v>PREWARNING</x:v>
      </x:c>
      <x:c r="J10" s="19" t="str">
        <x:v>MOTOR</x:v>
      </x:c>
      <x:c r="K10" s="19" t="str">
        <x:v>Y2 - 250-6</x:v>
      </x:c>
      <x:c r="L10" s="19" t="str">
        <x:v>980 rpm</x:v>
      </x:c>
      <x:c r="M10" s="19" t="str">
        <x:v>37 kW</x:v>
      </x:c>
      <x:c r="N10" s="19" t="str"/>
      <x:c r="O10" s="19" t="str"/>
      <x:c r="P10" s="19" t="str"/>
      <x:c r="Q10" s="19" t="str">
        <x:v>Rigid</x:v>
      </x:c>
      <x:c r="R10" s="19" t="str">
        <x:v>POMPA</x:v>
      </x:c>
      <x:c r="S10" s="19" t="str"/>
      <x:c r="T10" s="19" t="str"/>
      <x:c r="U10" s="19" t="str"/>
      <x:c r="V10" s="19" t="str"/>
      <x:c r="W10" s="19" t="str">
        <x:v>54</x:v>
      </x:c>
    </x:row>
    <x:row r="11">
      <x:c r="A11" s="19" t="str">
        <x:v>UNIT 2</x:v>
      </x:c>
      <x:c r="B11" s="19" t="str">
        <x:v>AST-028</x:v>
      </x:c>
      <x:c r="C11" s="19" t="str">
        <x:v>Motor Vacuum Pump 2#2</x:v>
      </x:c>
      <x:c r="D11" s="19" t="str">
        <x:v>LJ20MAG10AP012-001</x:v>
      </x:c>
      <x:c r="E11" s="19" t="str">
        <x:v>Pump</x:v>
      </x:c>
      <x:c r="F11" s="19" t="str">
        <x:v>ISO 10816-3 (GROUP 2 RIGID)</x:v>
      </x:c>
      <x:c r="G11" s="19" t="str">
        <x:v>W39</x:v>
      </x:c>
      <x:c r="H11" s="19" t="str">
        <x:v>2024-09-26</x:v>
      </x:c>
      <x:c r="I11" s="19" t="str">
        <x:v>PREWARNING</x:v>
      </x:c>
      <x:c r="J11" s="19" t="str">
        <x:v>MOTOR</x:v>
      </x:c>
      <x:c r="K11" s="19" t="str">
        <x:v>Y2 - 250-6</x:v>
      </x:c>
      <x:c r="L11" s="19" t="str">
        <x:v>980 rpm</x:v>
      </x:c>
      <x:c r="M11" s="19" t="str">
        <x:v>37 kW</x:v>
      </x:c>
      <x:c r="N11" s="19" t="str"/>
      <x:c r="O11" s="19" t="str"/>
      <x:c r="P11" s="19" t="str"/>
      <x:c r="Q11" s="19" t="str">
        <x:v>Rigid</x:v>
      </x:c>
      <x:c r="R11" s="19" t="str">
        <x:v>POMPA</x:v>
      </x:c>
      <x:c r="S11" s="19" t="str"/>
      <x:c r="T11" s="19" t="str"/>
      <x:c r="U11" s="19" t="str"/>
      <x:c r="V11" s="19" t="str"/>
      <x:c r="W11" s="19" t="str">
        <x:v>56</x:v>
      </x:c>
    </x:row>
    <x:row r="12">
      <x:c r="A12" s="19" t="str">
        <x:v>UNIT 2</x:v>
      </x:c>
      <x:c r="B12" s="19" t="str">
        <x:v>AST-029</x:v>
      </x:c>
      <x:c r="C12" s="19" t="str">
        <x:v>Motor Boiler Feed Pump 2#2</x:v>
      </x:c>
      <x:c r="D12" s="19" t="str">
        <x:v>LJ20LAC10AP002-001</x:v>
      </x:c>
      <x:c r="E12" s="19" t="str">
        <x:v>Pump</x:v>
      </x:c>
      <x:c r="F12" s="19" t="str">
        <x:v>ISO 10816-3 (GROUP 1 RIGID)</x:v>
      </x:c>
      <x:c r="G12" s="19" t="str">
        <x:v>W36</x:v>
      </x:c>
      <x:c r="H12" s="19" t="str">
        <x:v>2024-09-02</x:v>
      </x:c>
      <x:c r="I12" s="19" t="str">
        <x:v>PREWARNING</x:v>
      </x:c>
      <x:c r="J12" s="19" t="str">
        <x:v>MOTOR</x:v>
      </x:c>
      <x:c r="K12" s="19" t="str">
        <x:v>SY23372-1028, QINGJIANG</x:v>
      </x:c>
      <x:c r="L12" s="19" t="str">
        <x:v>2980 rpm</x:v>
      </x:c>
      <x:c r="M12" s="19" t="str">
        <x:v>1000</x:v>
      </x:c>
      <x:c r="N12" s="19" t="str"/>
      <x:c r="O12" s="19" t="str">
        <x:v>NU 224EC</x:v>
      </x:c>
      <x:c r="P12" s="19" t="str">
        <x:v>6224/C3</x:v>
      </x:c>
      <x:c r="Q12" s="19" t="str">
        <x:v>Rigid</x:v>
      </x:c>
      <x:c r="R12" s="19" t="str">
        <x:v>FAN</x:v>
      </x:c>
      <x:c r="S12" s="19" t="str">
        <x:v>SHENYANG AST PUMP MANUFACTURING CO.,LTD</x:v>
      </x:c>
      <x:c r="T12" s="19" t="str">
        <x:v>2980 rpm</x:v>
      </x:c>
      <x:c r="U12" s="19" t="str"/>
      <x:c r="V12" s="19" t="str">
        <x:v>140</x:v>
      </x:c>
      <x:c r="W12" s="19" t="str">
        <x:v>58</x:v>
      </x:c>
    </x:row>
    <x:row r="13">
      <x:c r="A13" s="19" t="str">
        <x:v>UNIT 2</x:v>
      </x:c>
      <x:c r="B13" s="19" t="str">
        <x:v>AST-030</x:v>
      </x:c>
      <x:c r="C13" s="19" t="str">
        <x:v>Motor CCCWP 1#2</x:v>
      </x:c>
      <x:c r="D13" s="19" t="str">
        <x:v>LJ20PGB10AP001-001</x:v>
      </x:c>
      <x:c r="E13" s="19" t="str">
        <x:v>Pump</x:v>
      </x:c>
      <x:c r="F13" s="19" t="str">
        <x:v>ISO 10816-3 (GROUP 2 RIGID)</x:v>
      </x:c>
      <x:c r="G13" s="19" t="str">
        <x:v>W39</x:v>
      </x:c>
      <x:c r="H13" s="19" t="str">
        <x:v>2024-09-26</x:v>
      </x:c>
      <x:c r="I13" s="19" t="str">
        <x:v>PREWARNING</x:v>
      </x:c>
      <x:c r="J13" s="19" t="str">
        <x:v>MOTOR</x:v>
      </x:c>
      <x:c r="K13" s="19" t="str">
        <x:v>Y2 - 280-4</x:v>
      </x:c>
      <x:c r="L13" s="19" t="str">
        <x:v>980 rpm</x:v>
      </x:c>
      <x:c r="M13" s="19" t="str">
        <x:v>75 kW</x:v>
      </x:c>
      <x:c r="N13" s="19" t="str">
        <x:v>-</x:v>
      </x:c>
      <x:c r="O13" s="19" t="str">
        <x:v>-</x:v>
      </x:c>
      <x:c r="P13" s="19" t="str">
        <x:v>-</x:v>
      </x:c>
      <x:c r="Q13" s="19" t="str">
        <x:v>Rigid</x:v>
      </x:c>
      <x:c r="R13" s="19" t="str">
        <x:v>POMPA</x:v>
      </x:c>
      <x:c r="S13" s="19" t="str"/>
      <x:c r="T13" s="19" t="str"/>
      <x:c r="U13" s="19" t="str"/>
      <x:c r="V13" s="19" t="str"/>
      <x:c r="W13" s="19" t="str">
        <x:v>60</x:v>
      </x:c>
    </x:row>
    <x:row r="14">
      <x:c r="A14" s="19" t="str">
        <x:v>UNIT 2</x:v>
      </x:c>
      <x:c r="B14" s="19" t="str">
        <x:v>AST-031</x:v>
      </x:c>
      <x:c r="C14" s="19" t="str">
        <x:v>Motor CCCWP 2#2</x:v>
      </x:c>
      <x:c r="D14" s="19" t="str">
        <x:v>LJ20PGB10AP002-001</x:v>
      </x:c>
      <x:c r="E14" s="19" t="str">
        <x:v>Pump</x:v>
      </x:c>
      <x:c r="F14" s="19" t="str">
        <x:v>ISO 10816-3 (GROUP 2 RIGID)</x:v>
      </x:c>
      <x:c r="G14" s="19" t="str">
        <x:v>W39</x:v>
      </x:c>
      <x:c r="H14" s="19" t="str">
        <x:v>2024-09-26</x:v>
      </x:c>
      <x:c r="I14" s="19" t="str">
        <x:v>PREWARNING</x:v>
      </x:c>
      <x:c r="J14" s="19" t="str">
        <x:v>MOTOR</x:v>
      </x:c>
      <x:c r="K14" s="19" t="str">
        <x:v>Y2 - 280-4</x:v>
      </x:c>
      <x:c r="L14" s="19" t="str">
        <x:v>980 rpm</x:v>
      </x:c>
      <x:c r="M14" s="19" t="str">
        <x:v>75 kW</x:v>
      </x:c>
      <x:c r="N14" s="19" t="str"/>
      <x:c r="O14" s="19" t="str"/>
      <x:c r="P14" s="19" t="str"/>
      <x:c r="Q14" s="19" t="str">
        <x:v>Rigid</x:v>
      </x:c>
      <x:c r="R14" s="19" t="str">
        <x:v>POMPA</x:v>
      </x:c>
      <x:c r="S14" s="19" t="str"/>
      <x:c r="T14" s="19" t="str"/>
      <x:c r="U14" s="19" t="str"/>
      <x:c r="V14" s="19" t="str"/>
      <x:c r="W14" s="19" t="str">
        <x:v>62</x:v>
      </x:c>
    </x:row>
    <x:row r="15">
      <x:c r="A15" s="19" t="str">
        <x:v>UNIT 2</x:v>
      </x:c>
      <x:c r="B15" s="19" t="str">
        <x:v>AST-032</x:v>
      </x:c>
      <x:c r="C15" s="19" t="str">
        <x:v>Motor CWP 355 Kw 1#2</x:v>
      </x:c>
      <x:c r="D15" s="19" t="str">
        <x:v>LJ20PAC10AP001-001</x:v>
      </x:c>
      <x:c r="E15" s="19" t="str">
        <x:v>Pump</x:v>
      </x:c>
      <x:c r="F15" s="19" t="str">
        <x:v>ISO 10816-3 (GROUP 1 RIGID)</x:v>
      </x:c>
      <x:c r="G15" s="19" t="str">
        <x:v>W38</x:v>
      </x:c>
      <x:c r="H15" s="19" t="str">
        <x:v>2024-09-17</x:v>
      </x:c>
      <x:c r="I15" s="19" t="str">
        <x:v>NORMAL</x:v>
      </x:c>
      <x:c r="J15" s="19" t="str">
        <x:v>MOTOR</x:v>
      </x:c>
      <x:c r="K15" s="19" t="str">
        <x:v>YLKK400-6</x:v>
      </x:c>
      <x:c r="L15" s="19" t="str">
        <x:v>991</x:v>
      </x:c>
      <x:c r="M15" s="19" t="str">
        <x:v>315</x:v>
      </x:c>
      <x:c r="N15" s="19" t="str"/>
      <x:c r="O15" s="19" t="str"/>
      <x:c r="P15" s="19" t="str"/>
      <x:c r="Q15" s="19" t="str">
        <x:v>Rigid</x:v>
      </x:c>
      <x:c r="R15" s="19" t="str">
        <x:v>POMPA</x:v>
      </x:c>
      <x:c r="S15" s="19" t="str"/>
      <x:c r="T15" s="19" t="str"/>
      <x:c r="U15" s="19" t="str"/>
      <x:c r="V15" s="19" t="str"/>
      <x:c r="W15" s="19" t="str">
        <x:v>64</x:v>
      </x:c>
    </x:row>
    <x:row r="16">
      <x:c r="A16" s="19" t="str">
        <x:v>UNIT 2</x:v>
      </x:c>
      <x:c r="B16" s="19" t="str">
        <x:v>AST-033</x:v>
      </x:c>
      <x:c r="C16" s="19" t="str">
        <x:v>Motor CWP 355 Kw 2#2</x:v>
      </x:c>
      <x:c r="D16" s="19" t="str">
        <x:v>LJ20PAC10AP002-001</x:v>
      </x:c>
      <x:c r="E16" s="19" t="str">
        <x:v>Pump</x:v>
      </x:c>
      <x:c r="F16" s="19" t="str">
        <x:v>ISO 10816-3 (GROUP 1 RIGID)</x:v>
      </x:c>
      <x:c r="G16" s="19" t="str">
        <x:v>W36</x:v>
      </x:c>
      <x:c r="H16" s="19" t="str">
        <x:v>2024-09-02</x:v>
      </x:c>
      <x:c r="I16" s="19" t="str">
        <x:v>NORMAL</x:v>
      </x:c>
      <x:c r="J16" s="19" t="str">
        <x:v>MOTOR</x:v>
      </x:c>
      <x:c r="K16" s="19" t="str">
        <x:v>YLKK400-6</x:v>
      </x:c>
      <x:c r="L16" s="19" t="str">
        <x:v>991</x:v>
      </x:c>
      <x:c r="M16" s="19" t="str">
        <x:v>315</x:v>
      </x:c>
      <x:c r="N16" s="19" t="str"/>
      <x:c r="O16" s="19" t="str"/>
      <x:c r="P16" s="19" t="str"/>
      <x:c r="Q16" s="19" t="str">
        <x:v>Rigid</x:v>
      </x:c>
      <x:c r="R16" s="19" t="str">
        <x:v>POMPA</x:v>
      </x:c>
      <x:c r="S16" s="19" t="str"/>
      <x:c r="T16" s="19" t="str"/>
      <x:c r="U16" s="19" t="str"/>
      <x:c r="V16" s="19" t="str"/>
      <x:c r="W16" s="19" t="str">
        <x:v>66</x:v>
      </x:c>
    </x:row>
    <x:row r="17">
      <x:c r="A17" s="19" t="str">
        <x:v>UNIT 2</x:v>
      </x:c>
      <x:c r="B17" s="19" t="str">
        <x:v>AST-034</x:v>
      </x:c>
      <x:c r="C17" s="19" t="str">
        <x:v>ACA OIL PUMP UNIT 2</x:v>
      </x:c>
      <x:c r="D17" s="19" t="str"/>
      <x:c r="E17" s="19" t="str">
        <x:v>Pump</x:v>
      </x:c>
      <x:c r="F17" s="19" t="str">
        <x:v>ISO 10816-3 (GROUP 2 RIGID)</x:v>
      </x:c>
      <x:c r="G17" s="19" t="str">
        <x:v>W38</x:v>
      </x:c>
      <x:c r="H17" s="19" t="str">
        <x:v>2024-09-17</x:v>
      </x:c>
      <x:c r="I17" s="19" t="str">
        <x:v>PREWARNING</x:v>
      </x:c>
      <x:c r="J17" s="19" t="str">
        <x:v>MOTOR</x:v>
      </x:c>
      <x:c r="K17" s="19" t="str">
        <x:v>Y2 - 250-6</x:v>
      </x:c>
      <x:c r="L17" s="19" t="str">
        <x:v>980 rpm</x:v>
      </x:c>
      <x:c r="M17" s="19" t="str">
        <x:v>37 kW</x:v>
      </x:c>
      <x:c r="N17" s="19" t="str"/>
      <x:c r="O17" s="19" t="str"/>
      <x:c r="P17" s="19" t="str"/>
      <x:c r="Q17" s="19" t="str">
        <x:v>Rigid</x:v>
      </x:c>
      <x:c r="R17" s="19" t="str">
        <x:v>POMPA</x:v>
      </x:c>
      <x:c r="S17" s="19" t="str"/>
      <x:c r="T17" s="19" t="str"/>
      <x:c r="U17" s="19" t="str"/>
      <x:c r="V17" s="19" t="str"/>
      <x:c r="W17" s="19" t="str">
        <x:v>68, 70</x:v>
      </x:c>
    </x:row>
  </x:sheetData>
  <x:conditionalFormatting sqref="I2:I17">
    <x:cfRule type="expression" dxfId="20" priority="1">
      <x:formula>I2="NORMAL"</x:formula>
    </x:cfRule>
    <x:cfRule type="expression" dxfId="21" priority="2">
      <x:formula>I2="PREWARNING"</x:formula>
    </x:cfRule>
    <x:cfRule type="expression" dxfId="22" priority="3">
      <x:formula>I2="WARNING"</x:formula>
    </x:cfRule>
    <x:cfRule type="expression" dxfId="23" priority="4">
      <x:formula>I2="ALARM"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ebb24cdc497479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32" hidden="0" customWidth="1"/>
    <x:col min="4" max="4" width="24" hidden="0" customWidth="1"/>
    <x:col min="5" max="5" width="24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</x:cols>
  <x:sheetData>
    <x:row r="1">
      <x:c r="A1" s="37" t="str">
        <x:v>Unit Group</x:v>
      </x:c>
      <x:c r="B1" s="37" t="str">
        <x:v>Asset ID</x:v>
      </x:c>
      <x:c r="C1" s="37" t="str">
        <x:v>Equipment</x:v>
      </x:c>
      <x:c r="D1" s="37" t="str">
        <x:v>KKS</x:v>
      </x:c>
      <x:c r="E1" s="37" t="str">
        <x:v>Asset Category</x:v>
      </x:c>
      <x:c r="F1" s="37" t="str">
        <x:v>Equipment Class</x:v>
      </x:c>
      <x:c r="G1" s="37" t="str">
        <x:v>PM Week</x:v>
      </x:c>
      <x:c r="H1" s="37" t="str">
        <x:v>Measurement Date</x:v>
      </x:c>
      <x:c r="I1" s="37" t="str">
        <x:v>Status Vibrasi</x:v>
      </x:c>
      <x:c r="J1" s="37" t="str">
        <x:v>Component 1</x:v>
      </x:c>
      <x:c r="K1" s="37" t="str">
        <x:v>C1 Type/Mfg</x:v>
      </x:c>
      <x:c r="L1" s="37" t="str">
        <x:v>C1 Speed</x:v>
      </x:c>
      <x:c r="M1" s="37" t="str">
        <x:v>C1 Power</x:v>
      </x:c>
      <x:c r="N1" s="37" t="str">
        <x:v>C1 Bearing Type</x:v>
      </x:c>
      <x:c r="O1" s="37" t="str">
        <x:v>C1 Inboard Bearing</x:v>
      </x:c>
      <x:c r="P1" s="37" t="str">
        <x:v>C1 Outboard Bearing</x:v>
      </x:c>
      <x:c r="Q1" s="37" t="str">
        <x:v>C1 Foundation</x:v>
      </x:c>
      <x:c r="R1" s="37" t="str">
        <x:v>Component 2</x:v>
      </x:c>
      <x:c r="S1" s="37" t="str">
        <x:v>C2 Type/Mfg</x:v>
      </x:c>
      <x:c r="T1" s="37" t="str">
        <x:v>C2 Speed</x:v>
      </x:c>
      <x:c r="U1" s="37" t="str">
        <x:v>C2 Power</x:v>
      </x:c>
      <x:c r="V1" s="37" t="str">
        <x:v>C2 Capacity</x:v>
      </x:c>
      <x:c r="W1" s="37" t="str">
        <x:v>Source Pages</x:v>
      </x:c>
    </x:row>
    <x:row r="2">
      <x:c r="A2" s="19" t="str">
        <x:v>UNIT 3</x:v>
      </x:c>
      <x:c r="B2" s="19" t="str">
        <x:v>AST-035</x:v>
      </x:c>
      <x:c r="C2" s="19" t="str">
        <x:v>Motor ID Fan 1#3</x:v>
      </x:c>
      <x:c r="D2" s="19" t="str">
        <x:v>LJ03HNC10AN001-001</x:v>
      </x:c>
      <x:c r="E2" s="19" t="str">
        <x:v>Fan</x:v>
      </x:c>
      <x:c r="F2" s="19" t="str">
        <x:v>ISO 10816-3 (GROUP 1 RIGID)</x:v>
      </x:c>
      <x:c r="G2" s="19" t="str">
        <x:v>W38</x:v>
      </x:c>
      <x:c r="H2" s="19" t="str">
        <x:v>2024-09-17</x:v>
      </x:c>
      <x:c r="I2" s="19" t="str">
        <x:v>NORMAL</x:v>
      </x:c>
      <x:c r="J2" s="19" t="str">
        <x:v>MOTOR</x:v>
      </x:c>
      <x:c r="K2" s="19" t="str">
        <x:v>YKK 4504-6</x:v>
      </x:c>
      <x:c r="L2" s="19" t="str">
        <x:v>990</x:v>
      </x:c>
      <x:c r="M2" s="19" t="str">
        <x:v>450</x:v>
      </x:c>
      <x:c r="N2" s="19" t="str">
        <x:v>Roller Bearing</x:v>
      </x:c>
      <x:c r="O2" s="19" t="str">
        <x:v>NU228E/C3</x:v>
      </x:c>
      <x:c r="P2" s="19" t="str">
        <x:v>6226/C3</x:v>
      </x:c>
      <x:c r="Q2" s="19" t="str">
        <x:v>Rigid</x:v>
      </x:c>
      <x:c r="R2" s="19" t="str">
        <x:v>FAN</x:v>
      </x:c>
      <x:c r="S2" s="19" t="str">
        <x:v>25 SB-P</x:v>
      </x:c>
      <x:c r="T2" s="19" t="str">
        <x:v>2980 r/min</x:v>
      </x:c>
      <x:c r="U2" s="19" t="str"/>
      <x:c r="V2" s="19" t="str">
        <x:v>165 m3/h</x:v>
      </x:c>
      <x:c r="W2" s="19" t="str">
        <x:v>72</x:v>
      </x:c>
    </x:row>
    <x:row r="3">
      <x:c r="A3" s="19" t="str">
        <x:v>UNIT 3</x:v>
      </x:c>
      <x:c r="B3" s="19" t="str">
        <x:v>AST-036</x:v>
      </x:c>
      <x:c r="C3" s="19" t="str">
        <x:v>Motor ID Fan 2#3</x:v>
      </x:c>
      <x:c r="D3" s="19" t="str">
        <x:v>LJ03HNC20AN001-001</x:v>
      </x:c>
      <x:c r="E3" s="19" t="str">
        <x:v>Fan</x:v>
      </x:c>
      <x:c r="F3" s="19" t="str">
        <x:v>ISO 10816-3 (GROUP 1 RIGID)</x:v>
      </x:c>
      <x:c r="G3" s="19" t="str">
        <x:v>W36</x:v>
      </x:c>
      <x:c r="H3" s="19" t="str">
        <x:v>2024-09-03</x:v>
      </x:c>
      <x:c r="I3" s="19" t="str">
        <x:v>NORMAL</x:v>
      </x:c>
      <x:c r="J3" s="19" t="str">
        <x:v>MOTOR</x:v>
      </x:c>
      <x:c r="K3" s="19" t="str">
        <x:v>YKK 4504-6</x:v>
      </x:c>
      <x:c r="L3" s="19" t="str">
        <x:v>990</x:v>
      </x:c>
      <x:c r="M3" s="19" t="str">
        <x:v>450</x:v>
      </x:c>
      <x:c r="N3" s="19" t="str">
        <x:v>Roller Bearing</x:v>
      </x:c>
      <x:c r="O3" s="19" t="str">
        <x:v>NU228E/C3</x:v>
      </x:c>
      <x:c r="P3" s="19" t="str">
        <x:v>6226/C3</x:v>
      </x:c>
      <x:c r="Q3" s="19" t="str">
        <x:v>Rigid</x:v>
      </x:c>
      <x:c r="R3" s="19" t="str">
        <x:v>FAN</x:v>
      </x:c>
      <x:c r="S3" s="19" t="str">
        <x:v>25 SB-P</x:v>
      </x:c>
      <x:c r="T3" s="19" t="str">
        <x:v>2980 r/min</x:v>
      </x:c>
      <x:c r="U3" s="19" t="str"/>
      <x:c r="V3" s="19" t="str">
        <x:v>165 m3/h</x:v>
      </x:c>
      <x:c r="W3" s="19" t="str">
        <x:v>74</x:v>
      </x:c>
    </x:row>
    <x:row r="4">
      <x:c r="A4" s="19" t="str">
        <x:v>UNIT 3</x:v>
      </x:c>
      <x:c r="B4" s="19" t="str">
        <x:v>AST-037</x:v>
      </x:c>
      <x:c r="C4" s="19" t="str">
        <x:v>Motor Primary Air Fan#3</x:v>
      </x:c>
      <x:c r="D4" s="19" t="str">
        <x:v>LJ03HLB10AN001-001</x:v>
      </x:c>
      <x:c r="E4" s="19" t="str">
        <x:v>Fan</x:v>
      </x:c>
      <x:c r="F4" s="19" t="str">
        <x:v>ISO 10816-3 (GROUP 1 RIGID)</x:v>
      </x:c>
      <x:c r="G4" s="19" t="str">
        <x:v>W36</x:v>
      </x:c>
      <x:c r="H4" s="19" t="str">
        <x:v>2024-09-03</x:v>
      </x:c>
      <x:c r="I4" s="19" t="str">
        <x:v>PREWARNING</x:v>
      </x:c>
      <x:c r="J4" s="19" t="str">
        <x:v>MOTOR</x:v>
      </x:c>
      <x:c r="K4" s="19" t="str">
        <x:v>YKK 4504-4</x:v>
      </x:c>
      <x:c r="L4" s="19" t="str">
        <x:v>1490</x:v>
      </x:c>
      <x:c r="M4" s="19" t="str">
        <x:v>630</x:v>
      </x:c>
      <x:c r="N4" s="19" t="str">
        <x:v>Roller Bearing</x:v>
      </x:c>
      <x:c r="O4" s="19" t="str">
        <x:v>NU226E/C3</x:v>
      </x:c>
      <x:c r="P4" s="19" t="str">
        <x:v>6228/C3</x:v>
      </x:c>
      <x:c r="Q4" s="19" t="str">
        <x:v>Rigid</x:v>
      </x:c>
      <x:c r="R4" s="19" t="str">
        <x:v>FAN</x:v>
      </x:c>
      <x:c r="S4" s="19" t="str">
        <x:v>G6-30 19.50</x:v>
      </x:c>
      <x:c r="T4" s="19" t="str">
        <x:v>1485 r/min</x:v>
      </x:c>
      <x:c r="U4" s="19" t="str">
        <x:v>630 Kw</x:v>
      </x:c>
      <x:c r="V4" s="19" t="str"/>
      <x:c r="W4" s="19" t="str">
        <x:v>76</x:v>
      </x:c>
    </x:row>
    <x:row r="5">
      <x:c r="A5" s="19" t="str">
        <x:v>UNIT 3</x:v>
      </x:c>
      <x:c r="B5" s="19" t="str">
        <x:v>AST-038</x:v>
      </x:c>
      <x:c r="C5" s="19" t="str">
        <x:v>Motor Secondary Air Fan#3</x:v>
      </x:c>
      <x:c r="D5" s="19" t="str">
        <x:v>LJ03HLB20AN001-001</x:v>
      </x:c>
      <x:c r="E5" s="19" t="str">
        <x:v>Fan</x:v>
      </x:c>
      <x:c r="F5" s="19" t="str">
        <x:v>ISO 10816-3 (GROUP 1 RIGID)</x:v>
      </x:c>
      <x:c r="G5" s="19" t="str">
        <x:v>W39</x:v>
      </x:c>
      <x:c r="H5" s="19" t="str">
        <x:v>2024-09-26</x:v>
      </x:c>
      <x:c r="I5" s="19" t="str">
        <x:v>PREWARNING</x:v>
      </x:c>
      <x:c r="J5" s="19" t="str">
        <x:v>MOTOR</x:v>
      </x:c>
      <x:c r="K5" s="19" t="str">
        <x:v>YKK 4504-4</x:v>
      </x:c>
      <x:c r="L5" s="19" t="str">
        <x:v>1485</x:v>
      </x:c>
      <x:c r="M5" s="19" t="str">
        <x:v>400</x:v>
      </x:c>
      <x:c r="N5" s="19" t="str">
        <x:v>Roller Bearing</x:v>
      </x:c>
      <x:c r="O5" s="19" t="str">
        <x:v>NU224EC</x:v>
      </x:c>
      <x:c r="P5" s="19" t="str">
        <x:v>6224/C3</x:v>
      </x:c>
      <x:c r="Q5" s="19" t="str">
        <x:v>Rigid</x:v>
      </x:c>
      <x:c r="R5" s="19" t="str">
        <x:v>FAN</x:v>
      </x:c>
      <x:c r="S5" s="19" t="str">
        <x:v>G6-40 16.20</x:v>
      </x:c>
      <x:c r="T5" s="19" t="str">
        <x:v>1485 r/min</x:v>
      </x:c>
      <x:c r="U5" s="19" t="str">
        <x:v>400 Kw</x:v>
      </x:c>
      <x:c r="V5" s="19" t="str"/>
      <x:c r="W5" s="19" t="str">
        <x:v>78</x:v>
      </x:c>
    </x:row>
    <x:row r="6">
      <x:c r="A6" s="19" t="str">
        <x:v>UNIT 3</x:v>
      </x:c>
      <x:c r="B6" s="19" t="str">
        <x:v>AST-039</x:v>
      </x:c>
      <x:c r="C6" s="19" t="str">
        <x:v>Motor Recirculating Air Fan 2#3</x:v>
      </x:c>
      <x:c r="D6" s="19" t="str">
        <x:v>LJ03PAD11AN001-001</x:v>
      </x:c>
      <x:c r="E6" s="19" t="str">
        <x:v>Fan</x:v>
      </x:c>
      <x:c r="F6" s="19" t="str">
        <x:v>ISO 10816-3 (GROUP 2 RIGID)</x:v>
      </x:c>
      <x:c r="G6" s="19" t="str">
        <x:v>W36</x:v>
      </x:c>
      <x:c r="H6" s="19" t="str">
        <x:v>2024-09-03</x:v>
      </x:c>
      <x:c r="I6" s="19" t="str">
        <x:v>PREWARNING</x:v>
      </x:c>
      <x:c r="J6" s="19" t="str">
        <x:v>MOTOR</x:v>
      </x:c>
      <x:c r="K6" s="19" t="str">
        <x:v>Y2-250M-4-B3</x:v>
      </x:c>
      <x:c r="L6" s="19" t="str">
        <x:v>1480</x:v>
      </x:c>
      <x:c r="M6" s="19" t="str">
        <x:v>55</x:v>
      </x:c>
      <x:c r="N6" s="19" t="str">
        <x:v>Ball Bearing</x:v>
      </x:c>
      <x:c r="O6" s="19" t="str">
        <x:v>6314/CM</x:v>
      </x:c>
      <x:c r="P6" s="19" t="str">
        <x:v>6313/CM</x:v>
      </x:c>
      <x:c r="Q6" s="19" t="str">
        <x:v>Rigid</x:v>
      </x:c>
      <x:c r="R6" s="19" t="str">
        <x:v>FAN</x:v>
      </x:c>
      <x:c r="S6" s="19" t="str"/>
      <x:c r="T6" s="19" t="str"/>
      <x:c r="U6" s="19" t="str"/>
      <x:c r="V6" s="19" t="str"/>
      <x:c r="W6" s="19" t="str">
        <x:v>80</x:v>
      </x:c>
    </x:row>
    <x:row r="7">
      <x:c r="A7" s="19" t="str">
        <x:v>UNIT 3</x:v>
      </x:c>
      <x:c r="B7" s="19" t="str">
        <x:v>AST-040</x:v>
      </x:c>
      <x:c r="C7" s="19" t="str">
        <x:v>Turbin-Generator#3</x:v>
      </x:c>
      <x:c r="D7" s="19" t="str"/>
      <x:c r="E7" s="19" t="str">
        <x:v>Turbine-Generator</x:v>
      </x:c>
      <x:c r="F7" s="19" t="str">
        <x:v>ISO 10816-2 (GROUP 2 RIGID)</x:v>
      </x:c>
      <x:c r="G7" s="19" t="str">
        <x:v>W37</x:v>
      </x:c>
      <x:c r="H7" s="19" t="str">
        <x:v>2024-09-11</x:v>
      </x:c>
      <x:c r="I7" s="19" t="str">
        <x:v>NORMAL</x:v>
      </x:c>
      <x:c r="J7" s="19" t="str">
        <x:v>TURBINE</x:v>
      </x:c>
      <x:c r="K7" s="19" t="str">
        <x:v>Luoyang Generating Equipment Co., Ltd</x:v>
      </x:c>
      <x:c r="L7" s="19" t="str"/>
      <x:c r="M7" s="19" t="str"/>
      <x:c r="N7" s="19" t="str"/>
      <x:c r="O7" s="19" t="str"/>
      <x:c r="P7" s="19" t="str"/>
      <x:c r="Q7" s="19" t="str"/>
      <x:c r="R7" s="19" t="str">
        <x:v>GENERATOR</x:v>
      </x:c>
      <x:c r="S7" s="19" t="str"/>
      <x:c r="T7" s="19" t="str">
        <x:v>3000 r/min</x:v>
      </x:c>
      <x:c r="U7" s="19" t="str"/>
      <x:c r="V7" s="19" t="str"/>
      <x:c r="W7" s="19" t="str">
        <x:v>82</x:v>
      </x:c>
    </x:row>
    <x:row r="8">
      <x:c r="A8" s="19" t="str">
        <x:v>UNIT 3</x:v>
      </x:c>
      <x:c r="B8" s="19" t="str">
        <x:v>AST-041</x:v>
      </x:c>
      <x:c r="C8" s="19" t="str">
        <x:v>Motor Condensat Pump 1#3</x:v>
      </x:c>
      <x:c r="D8" s="19" t="str">
        <x:v>LJ03LCB10AP001-001</x:v>
      </x:c>
      <x:c r="E8" s="19" t="str">
        <x:v>Pump</x:v>
      </x:c>
      <x:c r="F8" s="19" t="str">
        <x:v>ISO 10816-3 (GROUP 2 RIGID)</x:v>
      </x:c>
      <x:c r="G8" s="19" t="str">
        <x:v>W36</x:v>
      </x:c>
      <x:c r="H8" s="19" t="str">
        <x:v>2024-09-03</x:v>
      </x:c>
      <x:c r="I8" s="19" t="str">
        <x:v>PREWARNING</x:v>
      </x:c>
      <x:c r="J8" s="19" t="str">
        <x:v>MOTOR</x:v>
      </x:c>
      <x:c r="K8" s="19" t="str">
        <x:v>HN2-225</x:v>
      </x:c>
      <x:c r="L8" s="19" t="str">
        <x:v>2970 r/min</x:v>
      </x:c>
      <x:c r="M8" s="19" t="str">
        <x:v>45 Kw</x:v>
      </x:c>
      <x:c r="N8" s="19" t="str">
        <x:v>Roller Bearing</x:v>
      </x:c>
      <x:c r="O8" s="19" t="str">
        <x:v>6313-2z</x:v>
      </x:c>
      <x:c r="P8" s="19" t="str">
        <x:v>6313-2z</x:v>
      </x:c>
      <x:c r="Q8" s="19" t="str">
        <x:v>Rigid</x:v>
      </x:c>
      <x:c r="R8" s="19" t="str">
        <x:v>POMPA</x:v>
      </x:c>
      <x:c r="S8" s="19" t="str">
        <x:v>Shandong Shuanglun Group Co.,Ltd</x:v>
      </x:c>
      <x:c r="T8" s="19" t="str">
        <x:v>2950 r/min</x:v>
      </x:c>
      <x:c r="U8" s="19" t="str">
        <x:v>45 Kw</x:v>
      </x:c>
      <x:c r="V8" s="19" t="str">
        <x:v>52.5 m2/h</x:v>
      </x:c>
      <x:c r="W8" s="19" t="str">
        <x:v>84</x:v>
      </x:c>
    </x:row>
    <x:row r="9">
      <x:c r="A9" s="19" t="str">
        <x:v>UNIT 3</x:v>
      </x:c>
      <x:c r="B9" s="19" t="str">
        <x:v>AST-042</x:v>
      </x:c>
      <x:c r="C9" s="19" t="str">
        <x:v>Motor Condensat Pump 2#3</x:v>
      </x:c>
      <x:c r="D9" s="19" t="str">
        <x:v>LJ03LCB10AP002-001</x:v>
      </x:c>
      <x:c r="E9" s="19" t="str">
        <x:v>Pump</x:v>
      </x:c>
      <x:c r="F9" s="19" t="str">
        <x:v>ISO 10816-3 (GROUP 2 RIGID)</x:v>
      </x:c>
      <x:c r="G9" s="19" t="str">
        <x:v>W38</x:v>
      </x:c>
      <x:c r="H9" s="19" t="str">
        <x:v>2024-09-18</x:v>
      </x:c>
      <x:c r="I9" s="19" t="str">
        <x:v>PREWARNING</x:v>
      </x:c>
      <x:c r="J9" s="19" t="str">
        <x:v>MOTOR</x:v>
      </x:c>
      <x:c r="K9" s="19" t="str">
        <x:v>HN2-225</x:v>
      </x:c>
      <x:c r="L9" s="19" t="str">
        <x:v>2970 r/min</x:v>
      </x:c>
      <x:c r="M9" s="19" t="str">
        <x:v>45 Kw</x:v>
      </x:c>
      <x:c r="N9" s="19" t="str">
        <x:v>Roller Bearing</x:v>
      </x:c>
      <x:c r="O9" s="19" t="str">
        <x:v>6313-2z</x:v>
      </x:c>
      <x:c r="P9" s="19" t="str">
        <x:v>6313-2z</x:v>
      </x:c>
      <x:c r="Q9" s="19" t="str">
        <x:v>Rigid</x:v>
      </x:c>
      <x:c r="R9" s="19" t="str">
        <x:v>POMPA</x:v>
      </x:c>
      <x:c r="S9" s="19" t="str">
        <x:v>Shandong Shuanglun Group Co.,Ltd</x:v>
      </x:c>
      <x:c r="T9" s="19" t="str">
        <x:v>2950 r/min</x:v>
      </x:c>
      <x:c r="U9" s="19" t="str">
        <x:v>45 Kw</x:v>
      </x:c>
      <x:c r="V9" s="19" t="str">
        <x:v>52.5 m2/h</x:v>
      </x:c>
      <x:c r="W9" s="19" t="str">
        <x:v>86</x:v>
      </x:c>
    </x:row>
    <x:row r="10">
      <x:c r="A10" s="19" t="str">
        <x:v>UNIT 3</x:v>
      </x:c>
      <x:c r="B10" s="19" t="str">
        <x:v>AST-043</x:v>
      </x:c>
      <x:c r="C10" s="19" t="str">
        <x:v>Motor Water jet Pump 2#3</x:v>
      </x:c>
      <x:c r="D10" s="19" t="str">
        <x:v>LJ03MAJ10AP002-001</x:v>
      </x:c>
      <x:c r="E10" s="19" t="str">
        <x:v>Pump</x:v>
      </x:c>
      <x:c r="F10" s="19" t="str">
        <x:v>ISO 10816-3 (GROUP 2 RIGID)</x:v>
      </x:c>
      <x:c r="G10" s="19" t="str">
        <x:v>W38</x:v>
      </x:c>
      <x:c r="H10" s="19" t="str">
        <x:v>2024-09-18</x:v>
      </x:c>
      <x:c r="I10" s="19" t="str">
        <x:v>NORMAL</x:v>
      </x:c>
      <x:c r="J10" s="19" t="str">
        <x:v>MOTOR</x:v>
      </x:c>
      <x:c r="K10" s="19" t="str">
        <x:v>HM2-20012-2</x:v>
      </x:c>
      <x:c r="L10" s="19" t="str">
        <x:v>2950 r/min</x:v>
      </x:c>
      <x:c r="M10" s="19" t="str">
        <x:v>37 Kw</x:v>
      </x:c>
      <x:c r="N10" s="19" t="str">
        <x:v>Roller Bearing</x:v>
      </x:c>
      <x:c r="O10" s="19" t="str">
        <x:v>6313</x:v>
      </x:c>
      <x:c r="P10" s="19" t="str">
        <x:v>6313</x:v>
      </x:c>
      <x:c r="Q10" s="19" t="str">
        <x:v>Rigid</x:v>
      </x:c>
      <x:c r="R10" s="19" t="str">
        <x:v>POMPA</x:v>
      </x:c>
      <x:c r="S10" s="19" t="str">
        <x:v>S125.100-200A</x:v>
      </x:c>
      <x:c r="T10" s="19" t="str">
        <x:v>2900 r/min</x:v>
      </x:c>
      <x:c r="U10" s="19" t="str">
        <x:v>37 Kw</x:v>
      </x:c>
      <x:c r="V10" s="19" t="str">
        <x:v>160 m2/h</x:v>
      </x:c>
      <x:c r="W10" s="19" t="str">
        <x:v>88</x:v>
      </x:c>
    </x:row>
    <x:row r="11">
      <x:c r="A11" s="19" t="str">
        <x:v>UNIT 3</x:v>
      </x:c>
      <x:c r="B11" s="19" t="str">
        <x:v>AST-044</x:v>
      </x:c>
      <x:c r="C11" s="19" t="str">
        <x:v>Motor Boiler Feed Pump 1#3</x:v>
      </x:c>
      <x:c r="D11" s="19" t="str">
        <x:v>LJ03LAB11AP001-001</x:v>
      </x:c>
      <x:c r="E11" s="19" t="str">
        <x:v>Pump</x:v>
      </x:c>
      <x:c r="F11" s="19" t="str">
        <x:v>ISO 10816-3 (GROUP 1 RIGID)</x:v>
      </x:c>
      <x:c r="G11" s="19" t="str">
        <x:v>W38</x:v>
      </x:c>
      <x:c r="H11" s="19" t="str">
        <x:v>2024-09-18</x:v>
      </x:c>
      <x:c r="I11" s="19" t="str">
        <x:v>PREWARNING</x:v>
      </x:c>
      <x:c r="J11" s="19" t="str">
        <x:v>MOTOR</x:v>
      </x:c>
      <x:c r="K11" s="19" t="str">
        <x:v>YKS450-2</x:v>
      </x:c>
      <x:c r="L11" s="19" t="str">
        <x:v>2979 r/min</x:v>
      </x:c>
      <x:c r="M11" s="19" t="str">
        <x:v>1000 Kw</x:v>
      </x:c>
      <x:c r="N11" s="19" t="str">
        <x:v>Roller Bearing</x:v>
      </x:c>
      <x:c r="O11" s="19" t="str">
        <x:v>NU1022M/C3 6022/c3</x:v>
      </x:c>
      <x:c r="P11" s="19" t="str">
        <x:v>NU1022M/C3 6022/c3</x:v>
      </x:c>
      <x:c r="Q11" s="19" t="str">
        <x:v>Rigid</x:v>
      </x:c>
      <x:c r="R11" s="19" t="str">
        <x:v>POMPA</x:v>
      </x:c>
      <x:c r="S11" s="19" t="str">
        <x:v>25SB-P</x:v>
      </x:c>
      <x:c r="T11" s="19" t="str">
        <x:v>2980 r/min</x:v>
      </x:c>
      <x:c r="U11" s="19" t="str">
        <x:v>822 Kw</x:v>
      </x:c>
      <x:c r="V11" s="19" t="str">
        <x:v>165 m2/h</x:v>
      </x:c>
      <x:c r="W11" s="19" t="str">
        <x:v>90</x:v>
      </x:c>
    </x:row>
    <x:row r="12">
      <x:c r="A12" s="19" t="str">
        <x:v>UNIT 3</x:v>
      </x:c>
      <x:c r="B12" s="19" t="str">
        <x:v>AST-045</x:v>
      </x:c>
      <x:c r="C12" s="19" t="str">
        <x:v>Motor CCWP 1#3</x:v>
      </x:c>
      <x:c r="D12" s="19" t="str">
        <x:v>LJ00PGB11AP001-001</x:v>
      </x:c>
      <x:c r="E12" s="19" t="str">
        <x:v>Pump</x:v>
      </x:c>
      <x:c r="F12" s="19" t="str">
        <x:v>ISO 10816-3 (GROUP 2 RIGID)</x:v>
      </x:c>
      <x:c r="G12" s="19" t="str">
        <x:v>W39</x:v>
      </x:c>
      <x:c r="H12" s="19" t="str">
        <x:v>2024-09-26</x:v>
      </x:c>
      <x:c r="I12" s="19" t="str">
        <x:v>PREWARNING</x:v>
      </x:c>
      <x:c r="J12" s="19" t="str">
        <x:v>MOTOR</x:v>
      </x:c>
      <x:c r="K12" s="19" t="str">
        <x:v>EN60034 IEC 60034/60072</x:v>
      </x:c>
      <x:c r="L12" s="19" t="str">
        <x:v>1480 r/min</x:v>
      </x:c>
      <x:c r="M12" s="19" t="str">
        <x:v>55 Kw</x:v>
      </x:c>
      <x:c r="N12" s="19" t="str">
        <x:v>Roller Bearing</x:v>
      </x:c>
      <x:c r="O12" s="19" t="str">
        <x:v>-</x:v>
      </x:c>
      <x:c r="P12" s="19" t="str">
        <x:v>-</x:v>
      </x:c>
      <x:c r="Q12" s="19" t="str">
        <x:v>Rigid</x:v>
      </x:c>
      <x:c r="R12" s="19" t="str">
        <x:v>POMPA</x:v>
      </x:c>
      <x:c r="S12" s="19" t="str">
        <x:v>200SS35</x:v>
      </x:c>
      <x:c r="T12" s="19" t="str">
        <x:v>1480 r/min</x:v>
      </x:c>
      <x:c r="U12" s="19" t="str">
        <x:v>55 Kw</x:v>
      </x:c>
      <x:c r="V12" s="19" t="str">
        <x:v>500 m2/h</x:v>
      </x:c>
      <x:c r="W12" s="19" t="str">
        <x:v>92</x:v>
      </x:c>
    </x:row>
    <x:row r="13">
      <x:c r="A13" s="19" t="str">
        <x:v>UNIT 3</x:v>
      </x:c>
      <x:c r="B13" s="19" t="str">
        <x:v>AST-046</x:v>
      </x:c>
      <x:c r="C13" s="19" t="str">
        <x:v>Motor CCWP 2#3</x:v>
      </x:c>
      <x:c r="D13" s="19" t="str">
        <x:v>LJ00PGB21AP001-001</x:v>
      </x:c>
      <x:c r="E13" s="19" t="str">
        <x:v>Pump</x:v>
      </x:c>
      <x:c r="F13" s="19" t="str">
        <x:v>ISO 10816-3 (GROUP 2 RIGID)</x:v>
      </x:c>
      <x:c r="G13" s="19" t="str">
        <x:v>W36</x:v>
      </x:c>
      <x:c r="H13" s="19" t="str">
        <x:v>2024-09-04</x:v>
      </x:c>
      <x:c r="I13" s="19" t="str">
        <x:v>PREWARNING</x:v>
      </x:c>
      <x:c r="J13" s="19" t="str">
        <x:v>MOTOR</x:v>
      </x:c>
      <x:c r="K13" s="19" t="str">
        <x:v>EN60034 IEC 60034/60072</x:v>
      </x:c>
      <x:c r="L13" s="19" t="str">
        <x:v>1480 r/min</x:v>
      </x:c>
      <x:c r="M13" s="19" t="str">
        <x:v>55 Kw</x:v>
      </x:c>
      <x:c r="N13" s="19" t="str">
        <x:v>Roller Bearing</x:v>
      </x:c>
      <x:c r="O13" s="19" t="str">
        <x:v>-</x:v>
      </x:c>
      <x:c r="P13" s="19" t="str">
        <x:v>-</x:v>
      </x:c>
      <x:c r="Q13" s="19" t="str">
        <x:v>Rigid</x:v>
      </x:c>
      <x:c r="R13" s="19" t="str">
        <x:v>POMPA</x:v>
      </x:c>
      <x:c r="S13" s="19" t="str">
        <x:v>200SS35</x:v>
      </x:c>
      <x:c r="T13" s="19" t="str">
        <x:v>1480 r/min</x:v>
      </x:c>
      <x:c r="U13" s="19" t="str">
        <x:v>55 Kw</x:v>
      </x:c>
      <x:c r="V13" s="19" t="str">
        <x:v>500 m2/h</x:v>
      </x:c>
      <x:c r="W13" s="19" t="str">
        <x:v>94</x:v>
      </x:c>
    </x:row>
    <x:row r="14">
      <x:c r="A14" s="19" t="str">
        <x:v>UNIT 3</x:v>
      </x:c>
      <x:c r="B14" s="19" t="str">
        <x:v>AST-047</x:v>
      </x:c>
      <x:c r="C14" s="19" t="str">
        <x:v>Motor CWP 355 Kw 1#3</x:v>
      </x:c>
      <x:c r="D14" s="19" t="str">
        <x:v>LJ00PAB11AP001-001</x:v>
      </x:c>
      <x:c r="E14" s="19" t="str">
        <x:v>Pump</x:v>
      </x:c>
      <x:c r="F14" s="19" t="str">
        <x:v>ISO 10816-3 (GROUP 1 RIGID)</x:v>
      </x:c>
      <x:c r="G14" s="19" t="str">
        <x:v>W38</x:v>
      </x:c>
      <x:c r="H14" s="19" t="str">
        <x:v>2024-09-19</x:v>
      </x:c>
      <x:c r="I14" s="19" t="str">
        <x:v>PREWARNING</x:v>
      </x:c>
      <x:c r="J14" s="19" t="str">
        <x:v>MOTOR</x:v>
      </x:c>
      <x:c r="K14" s="19" t="str">
        <x:v>YKKL-450-6TH</x:v>
      </x:c>
      <x:c r="L14" s="19" t="str">
        <x:v>989</x:v>
      </x:c>
      <x:c r="M14" s="19" t="str">
        <x:v>355</x:v>
      </x:c>
      <x:c r="N14" s="19" t="str">
        <x:v>Roller Bearing</x:v>
      </x:c>
      <x:c r="O14" s="19" t="str">
        <x:v>6226</x:v>
      </x:c>
      <x:c r="P14" s="19" t="str">
        <x:v>7330B</x:v>
      </x:c>
      <x:c r="Q14" s="19" t="str">
        <x:v>Rigid</x:v>
      </x:c>
      <x:c r="R14" s="19" t="str">
        <x:v>POMPA</x:v>
      </x:c>
      <x:c r="S14" s="19" t="str"/>
      <x:c r="T14" s="19" t="str"/>
      <x:c r="U14" s="19" t="str"/>
      <x:c r="V14" s="19" t="str"/>
      <x:c r="W14" s="19" t="str">
        <x:v>96</x:v>
      </x:c>
    </x:row>
    <x:row r="15">
      <x:c r="A15" s="19" t="str">
        <x:v>UNIT 3</x:v>
      </x:c>
      <x:c r="B15" s="19" t="str">
        <x:v>AST-048</x:v>
      </x:c>
      <x:c r="C15" s="19" t="str">
        <x:v>Motor BWRO 1#3</x:v>
      </x:c>
      <x:c r="D15" s="19" t="str">
        <x:v>LJ00GCK21AP001-001</x:v>
      </x:c>
      <x:c r="E15" s="19" t="str">
        <x:v>Pump</x:v>
      </x:c>
      <x:c r="F15" s="19" t="str">
        <x:v>ISO 10816-3 (GROUP 2 RIGID)</x:v>
      </x:c>
      <x:c r="G15" s="19" t="str">
        <x:v>W39</x:v>
      </x:c>
      <x:c r="H15" s="19" t="str">
        <x:v>2024-09-26</x:v>
      </x:c>
      <x:c r="I15" s="19" t="str">
        <x:v>PREWARNING</x:v>
      </x:c>
      <x:c r="J15" s="19" t="str">
        <x:v>MOTOR</x:v>
      </x:c>
      <x:c r="K15" s="19" t="str">
        <x:v>DPVSF18-120</x:v>
      </x:c>
      <x:c r="L15" s="19" t="str">
        <x:v>2924</x:v>
      </x:c>
      <x:c r="M15" s="19" t="str">
        <x:v>11</x:v>
      </x:c>
      <x:c r="N15" s="19" t="str">
        <x:v>Roller Bearing</x:v>
      </x:c>
      <x:c r="O15" s="19" t="str"/>
      <x:c r="P15" s="19" t="str"/>
      <x:c r="Q15" s="19" t="str">
        <x:v>Rigid</x:v>
      </x:c>
      <x:c r="R15" s="19" t="str">
        <x:v>POMPA</x:v>
      </x:c>
      <x:c r="S15" s="19" t="str"/>
      <x:c r="T15" s="19" t="str"/>
      <x:c r="U15" s="19" t="str"/>
      <x:c r="V15" s="19" t="str"/>
      <x:c r="W15" s="19" t="str">
        <x:v>98</x:v>
      </x:c>
    </x:row>
    <x:row r="16">
      <x:c r="A16" s="19" t="str">
        <x:v>UNIT 3</x:v>
      </x:c>
      <x:c r="B16" s="19" t="str">
        <x:v>AST-049</x:v>
      </x:c>
      <x:c r="C16" s="19" t="str">
        <x:v>Motor SWRO 1#3</x:v>
      </x:c>
      <x:c r="D16" s="19" t="str">
        <x:v>LJ00GCF11AT002-001</x:v>
      </x:c>
      <x:c r="E16" s="19" t="str">
        <x:v>Pump</x:v>
      </x:c>
      <x:c r="F16" s="19" t="str">
        <x:v>ISO 10816-3 (GROUP 2 RIGID)</x:v>
      </x:c>
      <x:c r="G16" s="19" t="str">
        <x:v>W39</x:v>
      </x:c>
      <x:c r="H16" s="19" t="str">
        <x:v>2024-09-26</x:v>
      </x:c>
      <x:c r="I16" s="19" t="str">
        <x:v>NORMAL</x:v>
      </x:c>
      <x:c r="J16" s="19" t="str">
        <x:v>MOTOR</x:v>
      </x:c>
      <x:c r="K16" s="19" t="str"/>
      <x:c r="L16" s="19" t="str"/>
      <x:c r="M16" s="19" t="str"/>
      <x:c r="N16" s="19" t="str"/>
      <x:c r="O16" s="19" t="str"/>
      <x:c r="P16" s="19" t="str"/>
      <x:c r="Q16" s="19" t="str">
        <x:v>Rigid</x:v>
      </x:c>
      <x:c r="R16" s="19" t="str">
        <x:v>POMPA</x:v>
      </x:c>
      <x:c r="S16" s="19" t="str"/>
      <x:c r="T16" s="19" t="str"/>
      <x:c r="U16" s="19" t="str"/>
      <x:c r="V16" s="19" t="str"/>
      <x:c r="W16" s="19" t="str">
        <x:v>100</x:v>
      </x:c>
    </x:row>
    <x:row r="17">
      <x:c r="A17" s="19" t="str">
        <x:v>UNIT 3</x:v>
      </x:c>
      <x:c r="B17" s="19" t="str">
        <x:v>AST-050</x:v>
      </x:c>
      <x:c r="C17" s="19" t="str">
        <x:v>FIRE FIGHTING JOCKEY PUMP 3B</x:v>
      </x:c>
      <x:c r="D17" s="19" t="str"/>
      <x:c r="E17" s="19" t="str">
        <x:v>Pump</x:v>
      </x:c>
      <x:c r="F17" s="19" t="str">
        <x:v>ISO 10816-3 (GROUP 2 RIGID)</x:v>
      </x:c>
      <x:c r="G17" s="19" t="str">
        <x:v>W37</x:v>
      </x:c>
      <x:c r="H17" s="19" t="str">
        <x:v>2024-09-13</x:v>
      </x:c>
      <x:c r="I17" s="19" t="str">
        <x:v>NORMAL</x:v>
      </x:c>
      <x:c r="J17" s="19" t="str">
        <x:v>MOTOR</x:v>
      </x:c>
      <x:c r="K17" s="19" t="str">
        <x:v>FSV2H15A0T65B</x:v>
      </x:c>
      <x:c r="L17" s="19" t="str">
        <x:v>2930</x:v>
      </x:c>
      <x:c r="M17" s="19" t="str">
        <x:v>11 kW</x:v>
      </x:c>
      <x:c r="N17" s="19" t="str"/>
      <x:c r="O17" s="19" t="str">
        <x:v>6310 C3</x:v>
      </x:c>
      <x:c r="P17" s="19" t="str">
        <x:v>6308 C3</x:v>
      </x:c>
      <x:c r="Q17" s="19" t="str">
        <x:v>Rigid</x:v>
      </x:c>
      <x:c r="R17" s="19" t="str">
        <x:v>POMPA</x:v>
      </x:c>
      <x:c r="S17" s="19" t="str"/>
      <x:c r="T17" s="19" t="str"/>
      <x:c r="U17" s="19" t="str"/>
      <x:c r="V17" s="19" t="str"/>
      <x:c r="W17" s="19" t="str">
        <x:v>102</x:v>
      </x:c>
    </x:row>
    <x:row r="18">
      <x:c r="A18" s="19" t="str">
        <x:v>UNIT 3</x:v>
      </x:c>
      <x:c r="B18" s="19" t="str">
        <x:v>AST-051</x:v>
      </x:c>
      <x:c r="C18" s="19" t="str">
        <x:v>FIRE FIGHTING PUMP WITH MOTOR UNIT 3</x:v>
      </x:c>
      <x:c r="D18" s="19" t="str"/>
      <x:c r="E18" s="19" t="str">
        <x:v>Pump</x:v>
      </x:c>
      <x:c r="F18" s="19" t="str">
        <x:v>ISO 10816-3 (GROUP 2 RIGID)</x:v>
      </x:c>
      <x:c r="G18" s="19" t="str">
        <x:v>W37</x:v>
      </x:c>
      <x:c r="H18" s="19" t="str">
        <x:v>2024-09-13</x:v>
      </x:c>
      <x:c r="I18" s="19" t="str">
        <x:v>PREWARNING</x:v>
      </x:c>
      <x:c r="J18" s="19" t="str">
        <x:v>MOTOR</x:v>
      </x:c>
      <x:c r="K18" s="19" t="str">
        <x:v>AEEBKB020175FM</x:v>
      </x:c>
      <x:c r="L18" s="19" t="str">
        <x:v>2955</x:v>
      </x:c>
      <x:c r="M18" s="19" t="str">
        <x:v>132 kW</x:v>
      </x:c>
      <x:c r="N18" s="19" t="str"/>
      <x:c r="O18" s="19" t="str">
        <x:v>6314 C3</x:v>
      </x:c>
      <x:c r="P18" s="19" t="str">
        <x:v>6314 C3</x:v>
      </x:c>
      <x:c r="Q18" s="19" t="str">
        <x:v>Rigid</x:v>
      </x:c>
      <x:c r="R18" s="19" t="str">
        <x:v>POMPA</x:v>
      </x:c>
      <x:c r="S18" s="19" t="str"/>
      <x:c r="T18" s="19" t="str"/>
      <x:c r="U18" s="19" t="str"/>
      <x:c r="V18" s="19" t="str"/>
      <x:c r="W18" s="19" t="str">
        <x:v>104</x:v>
      </x:c>
    </x:row>
    <x:row r="19">
      <x:c r="A19" s="19" t="str">
        <x:v>UNIT 3</x:v>
      </x:c>
      <x:c r="B19" s="19" t="str">
        <x:v>AST-052</x:v>
      </x:c>
      <x:c r="C19" s="19" t="str">
        <x:v>FIRE FIGHTING PUMP WITH DIESEL UNIT 3</x:v>
      </x:c>
      <x:c r="D19" s="19" t="str"/>
      <x:c r="E19" s="19" t="str">
        <x:v>Pump</x:v>
      </x:c>
      <x:c r="F19" s="19" t="str">
        <x:v>ISO 10816-3 (GROUP 2 RIGID)</x:v>
      </x:c>
      <x:c r="G19" s="19" t="str">
        <x:v>W37</x:v>
      </x:c>
      <x:c r="H19" s="19" t="str">
        <x:v>2024-09-13</x:v>
      </x:c>
      <x:c r="I19" s="19" t="str">
        <x:v>PREWARNING</x:v>
      </x:c>
      <x:c r="J19" s="19" t="str">
        <x:v>MOTOR</x:v>
      </x:c>
      <x:c r="K19" s="19" t="str">
        <x:v>JU6HUE3A</x:v>
      </x:c>
      <x:c r="L19" s="19" t="str">
        <x:v>3000 r/min</x:v>
      </x:c>
      <x:c r="M19" s="19" t="str"/>
      <x:c r="N19" s="19" t="str"/>
      <x:c r="O19" s="19" t="str">
        <x:v>-</x:v>
      </x:c>
      <x:c r="P19" s="19" t="str">
        <x:v>-</x:v>
      </x:c>
      <x:c r="Q19" s="19" t="str">
        <x:v>Rigid</x:v>
      </x:c>
      <x:c r="R19" s="19" t="str">
        <x:v>POMPA</x:v>
      </x:c>
      <x:c r="S19" s="19" t="str"/>
      <x:c r="T19" s="19" t="str"/>
      <x:c r="U19" s="19" t="str"/>
      <x:c r="V19" s="19" t="str"/>
      <x:c r="W19" s="19" t="str">
        <x:v>106</x:v>
      </x:c>
    </x:row>
    <x:row r="20">
      <x:c r="A20" s="19" t="str">
        <x:v>UNIT 3</x:v>
      </x:c>
      <x:c r="B20" s="19" t="str">
        <x:v>AST-053</x:v>
      </x:c>
      <x:c r="C20" s="19" t="str">
        <x:v>AC OIL PUMP UNIT 3</x:v>
      </x:c>
      <x:c r="D20" s="19" t="str"/>
      <x:c r="E20" s="19" t="str">
        <x:v>Pump</x:v>
      </x:c>
      <x:c r="F20" s="19" t="str">
        <x:v>ISO 10816-3 (GROUP 2 RIGID)</x:v>
      </x:c>
      <x:c r="G20" s="19" t="str">
        <x:v>W37</x:v>
      </x:c>
      <x:c r="H20" s="19" t="str">
        <x:v>2024-09-12</x:v>
      </x:c>
      <x:c r="I20" s="19" t="str">
        <x:v>ALARM</x:v>
      </x:c>
      <x:c r="J20" s="19" t="str">
        <x:v>MOTOR</x:v>
      </x:c>
      <x:c r="K20" s="19" t="str">
        <x:v>AEEBKB020175FM</x:v>
      </x:c>
      <x:c r="L20" s="19" t="str">
        <x:v>2955</x:v>
      </x:c>
      <x:c r="M20" s="19" t="str">
        <x:v>132 kW</x:v>
      </x:c>
      <x:c r="N20" s="19" t="str"/>
      <x:c r="O20" s="19" t="str">
        <x:v>6314 C3</x:v>
      </x:c>
      <x:c r="P20" s="19" t="str">
        <x:v>6314 C3</x:v>
      </x:c>
      <x:c r="Q20" s="19" t="str">
        <x:v>Rigid</x:v>
      </x:c>
      <x:c r="R20" s="19" t="str">
        <x:v>POMPA</x:v>
      </x:c>
      <x:c r="S20" s="19" t="str"/>
      <x:c r="T20" s="19" t="str"/>
      <x:c r="U20" s="19" t="str"/>
      <x:c r="V20" s="19" t="str"/>
      <x:c r="W20" s="19" t="str">
        <x:v>108</x:v>
      </x:c>
    </x:row>
    <x:row r="21">
      <x:c r="A21" s="19" t="str">
        <x:v>UNIT 3</x:v>
      </x:c>
      <x:c r="B21" s="19" t="str">
        <x:v>AST-054</x:v>
      </x:c>
      <x:c r="C21" s="19" t="str">
        <x:v>JACKING OIL PUMP 3A</x:v>
      </x:c>
      <x:c r="D21" s="19" t="str"/>
      <x:c r="E21" s="19" t="str">
        <x:v>Pump</x:v>
      </x:c>
      <x:c r="F21" s="19" t="str">
        <x:v>ISO 10816-3 (GROUP 2 RIGID)</x:v>
      </x:c>
      <x:c r="G21" s="19" t="str">
        <x:v>W37</x:v>
      </x:c>
      <x:c r="H21" s="19" t="str">
        <x:v>2024-09-12</x:v>
      </x:c>
      <x:c r="I21" s="19" t="str">
        <x:v>NORMAL</x:v>
      </x:c>
      <x:c r="J21" s="19" t="str">
        <x:v>MOTOR</x:v>
      </x:c>
      <x:c r="K21" s="19" t="str">
        <x:v>AEEBKB020175FM</x:v>
      </x:c>
      <x:c r="L21" s="19" t="str">
        <x:v>2955</x:v>
      </x:c>
      <x:c r="M21" s="19" t="str">
        <x:v>132 kW</x:v>
      </x:c>
      <x:c r="N21" s="19" t="str"/>
      <x:c r="O21" s="19" t="str">
        <x:v>6314 C3</x:v>
      </x:c>
      <x:c r="P21" s="19" t="str">
        <x:v>6314 C3</x:v>
      </x:c>
      <x:c r="Q21" s="19" t="str">
        <x:v>Rigid</x:v>
      </x:c>
      <x:c r="R21" s="19" t="str">
        <x:v>POMPA</x:v>
      </x:c>
      <x:c r="S21" s="19" t="str"/>
      <x:c r="T21" s="19" t="str"/>
      <x:c r="U21" s="19" t="str"/>
      <x:c r="V21" s="19" t="str"/>
      <x:c r="W21" s="19" t="str">
        <x:v>110</x:v>
      </x:c>
    </x:row>
  </x:sheetData>
  <x:conditionalFormatting sqref="I2:I21">
    <x:cfRule type="expression" dxfId="24" priority="1">
      <x:formula>I2="NORMAL"</x:formula>
    </x:cfRule>
    <x:cfRule type="expression" dxfId="25" priority="2">
      <x:formula>I2="PREWARNING"</x:formula>
    </x:cfRule>
    <x:cfRule type="expression" dxfId="26" priority="3">
      <x:formula>I2="WARNING"</x:formula>
    </x:cfRule>
    <x:cfRule type="expression" dxfId="27" priority="4">
      <x:formula>I2="ALARM"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67093e46d3d4c6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32" hidden="0" customWidth="1"/>
    <x:col min="4" max="4" width="24" hidden="0" customWidth="1"/>
    <x:col min="5" max="5" width="24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</x:cols>
  <x:sheetData>
    <x:row r="1">
      <x:c r="A1" s="37" t="str">
        <x:v>Unit Group</x:v>
      </x:c>
      <x:c r="B1" s="37" t="str">
        <x:v>Asset ID</x:v>
      </x:c>
      <x:c r="C1" s="37" t="str">
        <x:v>Equipment</x:v>
      </x:c>
      <x:c r="D1" s="37" t="str">
        <x:v>KKS</x:v>
      </x:c>
      <x:c r="E1" s="37" t="str">
        <x:v>Asset Category</x:v>
      </x:c>
      <x:c r="F1" s="37" t="str">
        <x:v>Equipment Class</x:v>
      </x:c>
      <x:c r="G1" s="37" t="str">
        <x:v>PM Week</x:v>
      </x:c>
      <x:c r="H1" s="37" t="str">
        <x:v>Measurement Date</x:v>
      </x:c>
      <x:c r="I1" s="37" t="str">
        <x:v>Status Vibrasi</x:v>
      </x:c>
      <x:c r="J1" s="37" t="str">
        <x:v>Component 1</x:v>
      </x:c>
      <x:c r="K1" s="37" t="str">
        <x:v>C1 Type/Mfg</x:v>
      </x:c>
      <x:c r="L1" s="37" t="str">
        <x:v>C1 Speed</x:v>
      </x:c>
      <x:c r="M1" s="37" t="str">
        <x:v>C1 Power</x:v>
      </x:c>
      <x:c r="N1" s="37" t="str">
        <x:v>C1 Bearing Type</x:v>
      </x:c>
      <x:c r="O1" s="37" t="str">
        <x:v>C1 Inboard Bearing</x:v>
      </x:c>
      <x:c r="P1" s="37" t="str">
        <x:v>C1 Outboard Bearing</x:v>
      </x:c>
      <x:c r="Q1" s="37" t="str">
        <x:v>C1 Foundation</x:v>
      </x:c>
      <x:c r="R1" s="37" t="str">
        <x:v>Component 2</x:v>
      </x:c>
      <x:c r="S1" s="37" t="str">
        <x:v>C2 Type/Mfg</x:v>
      </x:c>
      <x:c r="T1" s="37" t="str">
        <x:v>C2 Speed</x:v>
      </x:c>
      <x:c r="U1" s="37" t="str">
        <x:v>C2 Power</x:v>
      </x:c>
      <x:c r="V1" s="37" t="str">
        <x:v>C2 Capacity</x:v>
      </x:c>
      <x:c r="W1" s="37" t="str">
        <x:v>Source Pages</x:v>
      </x:c>
    </x:row>
    <x:row r="2">
      <x:c r="A2" s="19" t="str">
        <x:v>COMMON</x:v>
      </x:c>
      <x:c r="B2" s="19" t="str">
        <x:v>AST-055</x:v>
      </x:c>
      <x:c r="C2" s="19" t="str">
        <x:v>BC 4.1</x:v>
      </x:c>
      <x:c r="D2" s="19" t="str">
        <x:v>LJ00EBA11AF004-001</x:v>
      </x:c>
      <x:c r="E2" s="19" t="str">
        <x:v>Belt Conveyor</x:v>
      </x:c>
      <x:c r="F2" s="19" t="str">
        <x:v>ISO 10816-3 (GROUP 2 FLEXIBLE)</x:v>
      </x:c>
      <x:c r="G2" s="19" t="str">
        <x:v>W38</x:v>
      </x:c>
      <x:c r="H2" s="19" t="str">
        <x:v>2024-09-19</x:v>
      </x:c>
      <x:c r="I2" s="19" t="str">
        <x:v>PREWARNING</x:v>
      </x:c>
      <x:c r="J2" s="19" t="str">
        <x:v>MOTOR</x:v>
      </x:c>
      <x:c r="K2" s="19" t="str">
        <x:v>Y2-200L-4</x:v>
      </x:c>
      <x:c r="L2" s="19" t="str">
        <x:v>1470 r/min</x:v>
      </x:c>
      <x:c r="M2" s="19" t="str">
        <x:v>30 Kw</x:v>
      </x:c>
      <x:c r="N2" s="19" t="str">
        <x:v>Roller Bearing</x:v>
      </x:c>
      <x:c r="O2" s="19" t="str">
        <x:v>-</x:v>
      </x:c>
      <x:c r="P2" s="19" t="str">
        <x:v>-</x:v>
      </x:c>
      <x:c r="Q2" s="19" t="str">
        <x:v>Rigid</x:v>
      </x:c>
      <x:c r="R2" s="19" t="str">
        <x:v>POMPA</x:v>
      </x:c>
      <x:c r="S2" s="19" t="str">
        <x:v>290820</x:v>
      </x:c>
      <x:c r="T2" s="19" t="str">
        <x:v>-</x:v>
      </x:c>
      <x:c r="U2" s="19" t="str">
        <x:v>30 Kw</x:v>
      </x:c>
      <x:c r="V2" s="19" t="str">
        <x:v>300 t/h</x:v>
      </x:c>
      <x:c r="W2" s="19" t="str">
        <x:v>112</x:v>
      </x:c>
    </x:row>
    <x:row r="3">
      <x:c r="A3" s="19" t="str">
        <x:v>COMMON</x:v>
      </x:c>
      <x:c r="B3" s="19" t="str">
        <x:v>AST-056</x:v>
      </x:c>
      <x:c r="C3" s="19" t="str">
        <x:v>BC 4.2</x:v>
      </x:c>
      <x:c r="D3" s="19" t="str">
        <x:v>LJ00EBA21AF004-001</x:v>
      </x:c>
      <x:c r="E3" s="19" t="str">
        <x:v>Belt Conveyor</x:v>
      </x:c>
      <x:c r="F3" s="19" t="str">
        <x:v>ISO 10816-3 (GROUP 2 FLEXIBLE)</x:v>
      </x:c>
      <x:c r="G3" s="19" t="str">
        <x:v>W36</x:v>
      </x:c>
      <x:c r="H3" s="19" t="str">
        <x:v>2024-09-05</x:v>
      </x:c>
      <x:c r="I3" s="19" t="str">
        <x:v>PREWARNING</x:v>
      </x:c>
      <x:c r="J3" s="19" t="str">
        <x:v>MOTOR</x:v>
      </x:c>
      <x:c r="K3" s="19" t="str">
        <x:v>Y2-200L-4</x:v>
      </x:c>
      <x:c r="L3" s="19" t="str">
        <x:v>1470 r/min</x:v>
      </x:c>
      <x:c r="M3" s="19" t="str">
        <x:v>30 Kw</x:v>
      </x:c>
      <x:c r="N3" s="19" t="str">
        <x:v>Roller Bearing</x:v>
      </x:c>
      <x:c r="O3" s="19" t="str">
        <x:v>-</x:v>
      </x:c>
      <x:c r="P3" s="19" t="str">
        <x:v>-</x:v>
      </x:c>
      <x:c r="Q3" s="19" t="str">
        <x:v>Rigid</x:v>
      </x:c>
      <x:c r="R3" s="19" t="str">
        <x:v>DRIVE</x:v>
      </x:c>
      <x:c r="S3" s="19" t="str">
        <x:v>290820</x:v>
      </x:c>
      <x:c r="T3" s="19" t="str">
        <x:v>-</x:v>
      </x:c>
      <x:c r="U3" s="19" t="str">
        <x:v>30 Kw</x:v>
      </x:c>
      <x:c r="V3" s="19" t="str">
        <x:v>300 t/h</x:v>
      </x:c>
      <x:c r="W3" s="19" t="str">
        <x:v>114</x:v>
      </x:c>
    </x:row>
    <x:row r="4">
      <x:c r="A4" s="19" t="str">
        <x:v>COMMON</x:v>
      </x:c>
      <x:c r="B4" s="19" t="str">
        <x:v>AST-057</x:v>
      </x:c>
      <x:c r="C4" s="19" t="str">
        <x:v>BC 5.1</x:v>
      </x:c>
      <x:c r="D4" s="19" t="str">
        <x:v>LJ00EBA11AF005-001</x:v>
      </x:c>
      <x:c r="E4" s="19" t="str">
        <x:v>Belt Conveyor</x:v>
      </x:c>
      <x:c r="F4" s="19" t="str">
        <x:v>ISO 10816-3 (GROUP 2 FLEXIBLE)</x:v>
      </x:c>
      <x:c r="G4" s="19" t="str">
        <x:v>W38</x:v>
      </x:c>
      <x:c r="H4" s="19" t="str">
        <x:v>2024-09-20</x:v>
      </x:c>
      <x:c r="I4" s="19" t="str">
        <x:v>PREWARNING</x:v>
      </x:c>
      <x:c r="J4" s="19" t="str">
        <x:v>MOTOR</x:v>
      </x:c>
      <x:c r="K4" s="19" t="str">
        <x:v>Y2-2805-6</x:v>
      </x:c>
      <x:c r="L4" s="19" t="str">
        <x:v>980 r/min</x:v>
      </x:c>
      <x:c r="M4" s="19" t="str">
        <x:v>45 Kw</x:v>
      </x:c>
      <x:c r="N4" s="19" t="str">
        <x:v>Roller Bearing</x:v>
      </x:c>
      <x:c r="O4" s="19" t="str">
        <x:v>-</x:v>
      </x:c>
      <x:c r="P4" s="19" t="str">
        <x:v>-</x:v>
      </x:c>
      <x:c r="Q4" s="19" t="str">
        <x:v>Rigid</x:v>
      </x:c>
      <x:c r="R4" s="19" t="str">
        <x:v>DRIVE</x:v>
      </x:c>
      <x:c r="S4" s="19" t="str">
        <x:v>290822</x:v>
      </x:c>
      <x:c r="T4" s="19" t="str">
        <x:v>-</x:v>
      </x:c>
      <x:c r="U4" s="19" t="str">
        <x:v>45 Kw</x:v>
      </x:c>
      <x:c r="V4" s="19" t="str">
        <x:v>300 t/h</x:v>
      </x:c>
      <x:c r="W4" s="19" t="str">
        <x:v>116</x:v>
      </x:c>
    </x:row>
    <x:row r="5">
      <x:c r="A5" s="19" t="str">
        <x:v>COMMON</x:v>
      </x:c>
      <x:c r="B5" s="19" t="str">
        <x:v>AST-058</x:v>
      </x:c>
      <x:c r="C5" s="19" t="str">
        <x:v>BC 5.2</x:v>
      </x:c>
      <x:c r="D5" s="19" t="str">
        <x:v>LJ00EBA21AF005-001</x:v>
      </x:c>
      <x:c r="E5" s="19" t="str">
        <x:v>Belt Conveyor</x:v>
      </x:c>
      <x:c r="F5" s="19" t="str">
        <x:v>ISO 10816-3 (GROUP 2 FLEXIBLE)</x:v>
      </x:c>
      <x:c r="G5" s="19" t="str">
        <x:v>W36</x:v>
      </x:c>
      <x:c r="H5" s="19" t="str">
        <x:v>2024-09-06</x:v>
      </x:c>
      <x:c r="I5" s="19" t="str">
        <x:v>NORMAL</x:v>
      </x:c>
      <x:c r="J5" s="19" t="str">
        <x:v>MOTOR</x:v>
      </x:c>
      <x:c r="K5" s="19" t="str">
        <x:v>Y2-2805-6</x:v>
      </x:c>
      <x:c r="L5" s="19" t="str">
        <x:v>980 r/min</x:v>
      </x:c>
      <x:c r="M5" s="19" t="str">
        <x:v>45 Kw</x:v>
      </x:c>
      <x:c r="N5" s="19" t="str">
        <x:v>Roller Bearing</x:v>
      </x:c>
      <x:c r="O5" s="19" t="str">
        <x:v>-</x:v>
      </x:c>
      <x:c r="P5" s="19" t="str">
        <x:v>-</x:v>
      </x:c>
      <x:c r="Q5" s="19" t="str">
        <x:v>Rigid</x:v>
      </x:c>
      <x:c r="R5" s="19" t="str">
        <x:v>POMPA</x:v>
      </x:c>
      <x:c r="S5" s="19" t="str">
        <x:v>290822</x:v>
      </x:c>
      <x:c r="T5" s="19" t="str">
        <x:v>-</x:v>
      </x:c>
      <x:c r="U5" s="19" t="str">
        <x:v>45 Kw</x:v>
      </x:c>
      <x:c r="V5" s="19" t="str">
        <x:v>300 t/h</x:v>
      </x:c>
      <x:c r="W5" s="19" t="str">
        <x:v>118</x:v>
      </x:c>
    </x:row>
    <x:row r="6">
      <x:c r="A6" s="19" t="str">
        <x:v>COMMON</x:v>
      </x:c>
      <x:c r="B6" s="19" t="str">
        <x:v>AST-059</x:v>
      </x:c>
      <x:c r="C6" s="19" t="str">
        <x:v>BC 7.1</x:v>
      </x:c>
      <x:c r="D6" s="19" t="str">
        <x:v>LJ00EBA11AF006-001</x:v>
      </x:c>
      <x:c r="E6" s="19" t="str">
        <x:v>Belt Conveyor</x:v>
      </x:c>
      <x:c r="F6" s="19" t="str">
        <x:v>ISO 10816-3 (GROUP 2 FLEXIBLE)</x:v>
      </x:c>
      <x:c r="G6" s="19" t="str">
        <x:v>W38</x:v>
      </x:c>
      <x:c r="H6" s="19" t="str">
        <x:v>2024-09-20</x:v>
      </x:c>
      <x:c r="I6" s="19" t="str">
        <x:v>PREWARNING</x:v>
      </x:c>
      <x:c r="J6" s="19" t="str">
        <x:v>MOTOR</x:v>
      </x:c>
      <x:c r="K6" s="19" t="str">
        <x:v>Y2-315S-6</x:v>
      </x:c>
      <x:c r="L6" s="19" t="str">
        <x:v>990 r/min</x:v>
      </x:c>
      <x:c r="M6" s="19" t="str">
        <x:v>75 Kw</x:v>
      </x:c>
      <x:c r="N6" s="19" t="str">
        <x:v>Roller Bearing</x:v>
      </x:c>
      <x:c r="O6" s="19" t="str">
        <x:v>-</x:v>
      </x:c>
      <x:c r="P6" s="19" t="str">
        <x:v>-</x:v>
      </x:c>
      <x:c r="Q6" s="19" t="str">
        <x:v>Rigid</x:v>
      </x:c>
      <x:c r="R6" s="19" t="str">
        <x:v>POMPA</x:v>
      </x:c>
      <x:c r="S6" s="19" t="str">
        <x:v>290821</x:v>
      </x:c>
      <x:c r="T6" s="19" t="str">
        <x:v>-</x:v>
      </x:c>
      <x:c r="U6" s="19" t="str">
        <x:v>30 Kw</x:v>
      </x:c>
      <x:c r="V6" s="19" t="str">
        <x:v>300 t/h</x:v>
      </x:c>
      <x:c r="W6" s="19" t="str">
        <x:v>120</x:v>
      </x:c>
    </x:row>
    <x:row r="7">
      <x:c r="A7" s="19" t="str">
        <x:v>COMMON</x:v>
      </x:c>
      <x:c r="B7" s="19" t="str">
        <x:v>AST-060</x:v>
      </x:c>
      <x:c r="C7" s="19" t="str">
        <x:v>BC 7. 2</x:v>
      </x:c>
      <x:c r="D7" s="19" t="str">
        <x:v>LJ00EBA21AF006-001</x:v>
      </x:c>
      <x:c r="E7" s="19" t="str">
        <x:v>Belt Conveyor</x:v>
      </x:c>
      <x:c r="F7" s="19" t="str">
        <x:v>ISO 10816-3 (GROUP 2 FLEXIBLE)</x:v>
      </x:c>
      <x:c r="G7" s="19" t="str">
        <x:v>W36</x:v>
      </x:c>
      <x:c r="H7" s="19" t="str">
        <x:v>2024-09-06</x:v>
      </x:c>
      <x:c r="I7" s="19" t="str">
        <x:v>PREWARNING</x:v>
      </x:c>
      <x:c r="J7" s="19" t="str">
        <x:v>MOTOR</x:v>
      </x:c>
      <x:c r="K7" s="19" t="str">
        <x:v>Y2-315S-6</x:v>
      </x:c>
      <x:c r="L7" s="19" t="str">
        <x:v>990 r/min</x:v>
      </x:c>
      <x:c r="M7" s="19" t="str">
        <x:v>75 Kw</x:v>
      </x:c>
      <x:c r="N7" s="19" t="str">
        <x:v>Roller Bearing</x:v>
      </x:c>
      <x:c r="O7" s="19" t="str">
        <x:v>-</x:v>
      </x:c>
      <x:c r="P7" s="19" t="str">
        <x:v>-</x:v>
      </x:c>
      <x:c r="Q7" s="19" t="str">
        <x:v>Rigid</x:v>
      </x:c>
      <x:c r="R7" s="19" t="str">
        <x:v>POMPA</x:v>
      </x:c>
      <x:c r="S7" s="19" t="str">
        <x:v>290821</x:v>
      </x:c>
      <x:c r="T7" s="19" t="str">
        <x:v>-</x:v>
      </x:c>
      <x:c r="U7" s="19" t="str">
        <x:v>30 Kw</x:v>
      </x:c>
      <x:c r="V7" s="19" t="str">
        <x:v>300 t/h</x:v>
      </x:c>
      <x:c r="W7" s="19" t="str">
        <x:v>122</x:v>
      </x:c>
    </x:row>
    <x:row r="8">
      <x:c r="A8" s="19" t="str">
        <x:v>COMMON</x:v>
      </x:c>
      <x:c r="B8" s="19" t="str">
        <x:v>AST-061</x:v>
      </x:c>
      <x:c r="C8" s="19" t="str">
        <x:v>BC 8.1</x:v>
      </x:c>
      <x:c r="D8" s="19" t="str">
        <x:v>LJ00EBA11AF007-001</x:v>
      </x:c>
      <x:c r="E8" s="19" t="str">
        <x:v>Belt Conveyor</x:v>
      </x:c>
      <x:c r="F8" s="19" t="str">
        <x:v>ISO 10816-3 (GROUP 2 FLEXIBLE)</x:v>
      </x:c>
      <x:c r="G8" s="19" t="str">
        <x:v>W38</x:v>
      </x:c>
      <x:c r="H8" s="19" t="str">
        <x:v>2024-09-20</x:v>
      </x:c>
      <x:c r="I8" s="19" t="str">
        <x:v>PREWARNING</x:v>
      </x:c>
      <x:c r="J8" s="19" t="str">
        <x:v>MOTOR</x:v>
      </x:c>
      <x:c r="K8" s="19" t="str"/>
      <x:c r="L8" s="19" t="str">
        <x:v>1460 r/min</x:v>
      </x:c>
      <x:c r="M8" s="19" t="str">
        <x:v>15 Kw</x:v>
      </x:c>
      <x:c r="N8" s="19" t="str">
        <x:v>Roller Bearing</x:v>
      </x:c>
      <x:c r="O8" s="19" t="str">
        <x:v>-</x:v>
      </x:c>
      <x:c r="P8" s="19" t="str">
        <x:v>-</x:v>
      </x:c>
      <x:c r="Q8" s="19" t="str">
        <x:v>Rigid</x:v>
      </x:c>
      <x:c r="R8" s="19" t="str">
        <x:v>POMPA</x:v>
      </x:c>
      <x:c r="S8" s="19" t="str">
        <x:v>-</x:v>
      </x:c>
      <x:c r="T8" s="19" t="str">
        <x:v>-</x:v>
      </x:c>
      <x:c r="U8" s="19" t="str">
        <x:v>-</x:v>
      </x:c>
      <x:c r="V8" s="19" t="str">
        <x:v>-</x:v>
      </x:c>
      <x:c r="W8" s="19" t="str">
        <x:v>124</x:v>
      </x:c>
    </x:row>
    <x:row r="9">
      <x:c r="A9" s="19" t="str">
        <x:v>COMMON</x:v>
      </x:c>
      <x:c r="B9" s="19" t="str">
        <x:v>AST-062</x:v>
      </x:c>
      <x:c r="C9" s="19" t="str">
        <x:v>BC 8.2</x:v>
      </x:c>
      <x:c r="D9" s="19" t="str">
        <x:v>LJ00EBA21AF007-001</x:v>
      </x:c>
      <x:c r="E9" s="19" t="str">
        <x:v>Belt Conveyor</x:v>
      </x:c>
      <x:c r="F9" s="19" t="str">
        <x:v>ISO 10816-3 (GROUP 2 FLEXIBLE)</x:v>
      </x:c>
      <x:c r="G9" s="19" t="str">
        <x:v>W36</x:v>
      </x:c>
      <x:c r="H9" s="19" t="str">
        <x:v>2024-09-06</x:v>
      </x:c>
      <x:c r="I9" s="19" t="str">
        <x:v>PREWARNING</x:v>
      </x:c>
      <x:c r="J9" s="19" t="str">
        <x:v>MOTOR</x:v>
      </x:c>
      <x:c r="K9" s="19" t="str"/>
      <x:c r="L9" s="19" t="str">
        <x:v>1460 r/min</x:v>
      </x:c>
      <x:c r="M9" s="19" t="str">
        <x:v>15 Kw</x:v>
      </x:c>
      <x:c r="N9" s="19" t="str">
        <x:v>Roller Bearing</x:v>
      </x:c>
      <x:c r="O9" s="19" t="str">
        <x:v>-</x:v>
      </x:c>
      <x:c r="P9" s="19" t="str">
        <x:v>-</x:v>
      </x:c>
      <x:c r="Q9" s="19" t="str">
        <x:v>Rigid</x:v>
      </x:c>
      <x:c r="R9" s="19" t="str">
        <x:v>POMPA</x:v>
      </x:c>
      <x:c r="S9" s="19" t="str">
        <x:v>-</x:v>
      </x:c>
      <x:c r="T9" s="19" t="str">
        <x:v>-</x:v>
      </x:c>
      <x:c r="U9" s="19" t="str">
        <x:v>-</x:v>
      </x:c>
      <x:c r="V9" s="19" t="str">
        <x:v>-</x:v>
      </x:c>
      <x:c r="W9" s="19" t="str">
        <x:v>126</x:v>
      </x:c>
    </x:row>
    <x:row r="10">
      <x:c r="A10" s="19" t="str">
        <x:v>COMMON</x:v>
      </x:c>
      <x:c r="B10" s="19" t="str">
        <x:v>AST-063</x:v>
      </x:c>
      <x:c r="C10" s="19" t="str">
        <x:v>BC 10.1</x:v>
      </x:c>
      <x:c r="D10" s="19" t="str">
        <x:v>LJ00EBA11AF008-001</x:v>
      </x:c>
      <x:c r="E10" s="19" t="str">
        <x:v>Belt Conveyor</x:v>
      </x:c>
      <x:c r="F10" s="19" t="str">
        <x:v>ISO 10816-3 (GROUP 2 FLEXIBLE)</x:v>
      </x:c>
      <x:c r="G10" s="19" t="str">
        <x:v>W38</x:v>
      </x:c>
      <x:c r="H10" s="19" t="str">
        <x:v>2024-09-20</x:v>
      </x:c>
      <x:c r="I10" s="19" t="str">
        <x:v>PREWARNING</x:v>
      </x:c>
      <x:c r="J10" s="19" t="str">
        <x:v>MOTOR</x:v>
      </x:c>
      <x:c r="K10" s="19" t="str"/>
      <x:c r="L10" s="19" t="str">
        <x:v>1470 r/min</x:v>
      </x:c>
      <x:c r="M10" s="19" t="str">
        <x:v>18.5 Kw</x:v>
      </x:c>
      <x:c r="N10" s="19" t="str">
        <x:v>Roller Bearing</x:v>
      </x:c>
      <x:c r="O10" s="19" t="str">
        <x:v>-</x:v>
      </x:c>
      <x:c r="P10" s="19" t="str">
        <x:v>-</x:v>
      </x:c>
      <x:c r="Q10" s="19" t="str">
        <x:v>Rigid</x:v>
      </x:c>
      <x:c r="R10" s="19" t="str">
        <x:v>POMPA</x:v>
      </x:c>
      <x:c r="S10" s="19" t="str">
        <x:v>-</x:v>
      </x:c>
      <x:c r="T10" s="19" t="str">
        <x:v>-</x:v>
      </x:c>
      <x:c r="U10" s="19" t="str">
        <x:v>-</x:v>
      </x:c>
      <x:c r="V10" s="19" t="str">
        <x:v>-</x:v>
      </x:c>
      <x:c r="W10" s="19" t="str">
        <x:v>128</x:v>
      </x:c>
    </x:row>
    <x:row r="11">
      <x:c r="A11" s="19" t="str">
        <x:v>COMMON</x:v>
      </x:c>
      <x:c r="B11" s="19" t="str">
        <x:v>AST-064</x:v>
      </x:c>
      <x:c r="C11" s="19" t="str">
        <x:v>BC 10.2</x:v>
      </x:c>
      <x:c r="D11" s="19" t="str">
        <x:v>LJ00EBA21AF008-001</x:v>
      </x:c>
      <x:c r="E11" s="19" t="str">
        <x:v>Belt Conveyor</x:v>
      </x:c>
      <x:c r="F11" s="19" t="str">
        <x:v>ISO 10816-3 (GROUP 2 FLEXIBLE)</x:v>
      </x:c>
      <x:c r="G11" s="19" t="str">
        <x:v>W36</x:v>
      </x:c>
      <x:c r="H11" s="19" t="str">
        <x:v>2024-09-06</x:v>
      </x:c>
      <x:c r="I11" s="19" t="str">
        <x:v>NORMAL</x:v>
      </x:c>
      <x:c r="J11" s="19" t="str">
        <x:v>MOTOR</x:v>
      </x:c>
      <x:c r="K11" s="19" t="str"/>
      <x:c r="L11" s="19" t="str">
        <x:v>1470 r/min</x:v>
      </x:c>
      <x:c r="M11" s="19" t="str">
        <x:v>18.5 Kw</x:v>
      </x:c>
      <x:c r="N11" s="19" t="str">
        <x:v>Roller Bearing</x:v>
      </x:c>
      <x:c r="O11" s="19" t="str">
        <x:v>-</x:v>
      </x:c>
      <x:c r="P11" s="19" t="str">
        <x:v>-</x:v>
      </x:c>
      <x:c r="Q11" s="19" t="str">
        <x:v>Rigid</x:v>
      </x:c>
      <x:c r="R11" s="19" t="str">
        <x:v>POMPA</x:v>
      </x:c>
      <x:c r="S11" s="19" t="str">
        <x:v>-</x:v>
      </x:c>
      <x:c r="T11" s="19" t="str">
        <x:v>-</x:v>
      </x:c>
      <x:c r="U11" s="19" t="str">
        <x:v>-</x:v>
      </x:c>
      <x:c r="V11" s="19" t="str">
        <x:v>-</x:v>
      </x:c>
      <x:c r="W11" s="19" t="str">
        <x:v>130</x:v>
      </x:c>
    </x:row>
    <x:row r="12">
      <x:c r="A12" s="19" t="str">
        <x:v>COMMON</x:v>
      </x:c>
      <x:c r="B12" s="19" t="str">
        <x:v>AST-065</x:v>
      </x:c>
      <x:c r="C12" s="19" t="str">
        <x:v>ROLLER SCREEN 1</x:v>
      </x:c>
      <x:c r="D12" s="19" t="str">
        <x:v>LJ00EBA21AF008-001</x:v>
      </x:c>
      <x:c r="E12" s="19" t="str">
        <x:v>Roller Screen</x:v>
      </x:c>
      <x:c r="F12" s="19" t="str">
        <x:v>ISO 10816-3 (GROUP 2 FLEXIBLE)</x:v>
      </x:c>
      <x:c r="G12" s="19" t="str">
        <x:v>W38</x:v>
      </x:c>
      <x:c r="H12" s="19" t="str">
        <x:v>2024-09-19</x:v>
      </x:c>
      <x:c r="I12" s="19" t="str">
        <x:v>PREWARNING</x:v>
      </x:c>
      <x:c r="J12" s="19" t="str">
        <x:v>MOTOR</x:v>
      </x:c>
      <x:c r="K12" s="19" t="str">
        <x:v>Y160L-4</x:v>
      </x:c>
      <x:c r="L12" s="19" t="str">
        <x:v>1460 r/min</x:v>
      </x:c>
      <x:c r="M12" s="19" t="str">
        <x:v>15 Kw</x:v>
      </x:c>
      <x:c r="N12" s="19" t="str"/>
      <x:c r="O12" s="19" t="str">
        <x:v>-</x:v>
      </x:c>
      <x:c r="P12" s="19" t="str">
        <x:v>-</x:v>
      </x:c>
      <x:c r="Q12" s="19" t="str">
        <x:v>Flexible</x:v>
      </x:c>
      <x:c r="R12" s="19" t="str"/>
      <x:c r="S12" s="19" t="str">
        <x:v>-</x:v>
      </x:c>
      <x:c r="T12" s="19" t="str">
        <x:v>-</x:v>
      </x:c>
      <x:c r="U12" s="19" t="str">
        <x:v>-</x:v>
      </x:c>
      <x:c r="V12" s="19" t="str">
        <x:v>-</x:v>
      </x:c>
      <x:c r="W12" s="19" t="str">
        <x:v>132</x:v>
      </x:c>
    </x:row>
    <x:row r="13">
      <x:c r="A13" s="19" t="str">
        <x:v>COMMON</x:v>
      </x:c>
      <x:c r="B13" s="19" t="str">
        <x:v>AST-066</x:v>
      </x:c>
      <x:c r="C13" s="19" t="str">
        <x:v>ROLLER SCREEN 2</x:v>
      </x:c>
      <x:c r="D13" s="19" t="str">
        <x:v>LJ00EBC20AT002-001</x:v>
      </x:c>
      <x:c r="E13" s="19" t="str">
        <x:v>Roller Screen</x:v>
      </x:c>
      <x:c r="F13" s="19" t="str">
        <x:v>ISO 10816-3 (GROUP 2 FLEXIBLE)</x:v>
      </x:c>
      <x:c r="G13" s="19" t="str">
        <x:v>W36</x:v>
      </x:c>
      <x:c r="H13" s="19" t="str">
        <x:v>2024-09-05</x:v>
      </x:c>
      <x:c r="I13" s="19" t="str">
        <x:v>PREWARNING</x:v>
      </x:c>
      <x:c r="J13" s="19" t="str">
        <x:v>MOTOR</x:v>
      </x:c>
      <x:c r="K13" s="19" t="str">
        <x:v>Y160L-4</x:v>
      </x:c>
      <x:c r="L13" s="19" t="str">
        <x:v>1460 r/min</x:v>
      </x:c>
      <x:c r="M13" s="19" t="str">
        <x:v>15 Kw</x:v>
      </x:c>
      <x:c r="N13" s="19" t="str"/>
      <x:c r="O13" s="19" t="str">
        <x:v>-</x:v>
      </x:c>
      <x:c r="P13" s="19" t="str">
        <x:v>-</x:v>
      </x:c>
      <x:c r="Q13" s="19" t="str">
        <x:v>Flexible</x:v>
      </x:c>
      <x:c r="R13" s="19" t="str"/>
      <x:c r="S13" s="19" t="str">
        <x:v>-</x:v>
      </x:c>
      <x:c r="T13" s="19" t="str">
        <x:v>-</x:v>
      </x:c>
      <x:c r="U13" s="19" t="str">
        <x:v>-</x:v>
      </x:c>
      <x:c r="V13" s="19" t="str">
        <x:v>-</x:v>
      </x:c>
      <x:c r="W13" s="19" t="str">
        <x:v>134</x:v>
      </x:c>
    </x:row>
    <x:row r="14">
      <x:c r="A14" s="19" t="str">
        <x:v>COMMON</x:v>
      </x:c>
      <x:c r="B14" s="19" t="str">
        <x:v>AST-067</x:v>
      </x:c>
      <x:c r="C14" s="19" t="str">
        <x:v>Motor Crusser 185kW 1</x:v>
      </x:c>
      <x:c r="D14" s="19" t="str">
        <x:v>LJ00EBC10AT001-001</x:v>
      </x:c>
      <x:c r="E14" s="19" t="str">
        <x:v>Crusher</x:v>
      </x:c>
      <x:c r="F14" s="19" t="str">
        <x:v>ISO 10816-3 (GROUP 2 FLEXIBLE)</x:v>
      </x:c>
      <x:c r="G14" s="19" t="str">
        <x:v>W38</x:v>
      </x:c>
      <x:c r="H14" s="19" t="str">
        <x:v>2024-09-19</x:v>
      </x:c>
      <x:c r="I14" s="19" t="str">
        <x:v>WARNING</x:v>
      </x:c>
      <x:c r="J14" s="19" t="str">
        <x:v>MOTOR</x:v>
      </x:c>
      <x:c r="K14" s="19" t="str">
        <x:v>Y2-355L2-8</x:v>
      </x:c>
      <x:c r="L14" s="19" t="str">
        <x:v>740 r/min</x:v>
      </x:c>
      <x:c r="M14" s="19" t="str">
        <x:v>185Kw</x:v>
      </x:c>
      <x:c r="N14" s="19" t="str">
        <x:v>Roller Bearing</x:v>
      </x:c>
      <x:c r="O14" s="19" t="str"/>
      <x:c r="P14" s="19" t="str"/>
      <x:c r="Q14" s="19" t="str">
        <x:v>Rigid</x:v>
      </x:c>
      <x:c r="R14" s="19" t="str">
        <x:v>CRUSHER</x:v>
      </x:c>
      <x:c r="S14" s="19" t="str">
        <x:v>-</x:v>
      </x:c>
      <x:c r="T14" s="19" t="str">
        <x:v>-</x:v>
      </x:c>
      <x:c r="U14" s="19" t="str">
        <x:v>-</x:v>
      </x:c>
      <x:c r="V14" s="19" t="str">
        <x:v>-</x:v>
      </x:c>
      <x:c r="W14" s="19" t="str">
        <x:v>136</x:v>
      </x:c>
    </x:row>
    <x:row r="15">
      <x:c r="A15" s="19" t="str">
        <x:v>COMMON</x:v>
      </x:c>
      <x:c r="B15" s="19" t="str">
        <x:v>AST-068</x:v>
      </x:c>
      <x:c r="C15" s="19" t="str">
        <x:v>Motor Crusser 185kW 2</x:v>
      </x:c>
      <x:c r="D15" s="19" t="str">
        <x:v>LJ00EBC10AT002-001</x:v>
      </x:c>
      <x:c r="E15" s="19" t="str">
        <x:v>Crusher</x:v>
      </x:c>
      <x:c r="F15" s="19" t="str">
        <x:v>ISO 10816-3 (GROUP 2 FLEXIBLE)</x:v>
      </x:c>
      <x:c r="G15" s="19" t="str">
        <x:v>W36</x:v>
      </x:c>
      <x:c r="H15" s="19" t="str">
        <x:v>2024-09-05</x:v>
      </x:c>
      <x:c r="I15" s="19" t="str">
        <x:v>NORMAL</x:v>
      </x:c>
      <x:c r="J15" s="19" t="str">
        <x:v>MOTOR</x:v>
      </x:c>
      <x:c r="K15" s="19" t="str">
        <x:v>Y2-355L2-8</x:v>
      </x:c>
      <x:c r="L15" s="19" t="str">
        <x:v>740 r/min</x:v>
      </x:c>
      <x:c r="M15" s="19" t="str">
        <x:v>185Kw</x:v>
      </x:c>
      <x:c r="N15" s="19" t="str">
        <x:v>Roller Bearing</x:v>
      </x:c>
      <x:c r="O15" s="19" t="str"/>
      <x:c r="P15" s="19" t="str"/>
      <x:c r="Q15" s="19" t="str">
        <x:v>Rigid</x:v>
      </x:c>
      <x:c r="R15" s="19" t="str">
        <x:v>CRUSHER</x:v>
      </x:c>
      <x:c r="S15" s="19" t="str">
        <x:v>-</x:v>
      </x:c>
      <x:c r="T15" s="19" t="str">
        <x:v>-</x:v>
      </x:c>
      <x:c r="U15" s="19" t="str">
        <x:v>-</x:v>
      </x:c>
      <x:c r="V15" s="19" t="str">
        <x:v>-</x:v>
      </x:c>
      <x:c r="W15" s="19" t="str">
        <x:v>138</x:v>
      </x:c>
    </x:row>
  </x:sheetData>
  <x:conditionalFormatting sqref="I2:I15">
    <x:cfRule type="expression" dxfId="28" priority="1">
      <x:formula>I2="NORMAL"</x:formula>
    </x:cfRule>
    <x:cfRule type="expression" dxfId="29" priority="2">
      <x:formula>I2="PREWARNING"</x:formula>
    </x:cfRule>
    <x:cfRule type="expression" dxfId="30" priority="3">
      <x:formula>I2="WARNING"</x:formula>
    </x:cfRule>
    <x:cfRule type="expression" dxfId="31" priority="4">
      <x:formula>I2="ALARM"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1a336a3805f4951"/>
  </x:tableParts>
</x:worksheet>
</file>