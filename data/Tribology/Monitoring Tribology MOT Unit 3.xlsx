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IZKI NITIP\TRIBOLOGY\TRIBOLOGY\tribology spectro\tribology spectro\UNIT 3\MOT\"/>
    </mc:Choice>
  </mc:AlternateContent>
  <bookViews>
    <workbookView xWindow="-110" yWindow="-110" windowWidth="19420" windowHeight="11020"/>
  </bookViews>
  <sheets>
    <sheet name="Tribology" sheetId="1" r:id="rId1"/>
    <sheet name="Wea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<sst xmlns="http://schemas.openxmlformats.org/spreadsheetml/2006/main" count="167" uniqueCount="97">
  <si>
    <t>Reference Oil</t>
  </si>
  <si>
    <t>Pertamina - TURBO LUBE - 46</t>
  </si>
  <si>
    <t>Sample Date</t>
  </si>
  <si>
    <t>Machine Wear</t>
  </si>
  <si>
    <t>Total Fe, ppm</t>
  </si>
  <si>
    <t>Fe &gt;25, pml</t>
  </si>
  <si>
    <t>Fe &gt;38, pml</t>
  </si>
  <si>
    <t>Fe &gt;50, pml</t>
  </si>
  <si>
    <t>Fe &gt;100, pml</t>
  </si>
  <si>
    <t>Contamination</t>
  </si>
  <si>
    <t>ISO &gt;4</t>
  </si>
  <si>
    <t>ISO &gt;6</t>
  </si>
  <si>
    <t>ISO &gt;14</t>
  </si>
  <si>
    <t>Chemistry</t>
  </si>
  <si>
    <t>Visc 40C, cSt</t>
  </si>
  <si>
    <t>TAN, mg KOH/g</t>
  </si>
  <si>
    <t>0.00</t>
  </si>
  <si>
    <t>DATA</t>
  </si>
  <si>
    <t>Elemental Analysis</t>
  </si>
  <si>
    <t>Aluminum, ppm</t>
  </si>
  <si>
    <t>Antimony, ppm</t>
  </si>
  <si>
    <t>Cadmium, ppm</t>
  </si>
  <si>
    <t>Chromium, ppm</t>
  </si>
  <si>
    <t>Copper, ppm</t>
  </si>
  <si>
    <t>0.04</t>
  </si>
  <si>
    <t>Iron, ppm</t>
  </si>
  <si>
    <t>0.3</t>
  </si>
  <si>
    <t>Lead, ppm</t>
  </si>
  <si>
    <t>Manganese, ppm</t>
  </si>
  <si>
    <t>0.86</t>
  </si>
  <si>
    <t>Tin, ppm</t>
  </si>
  <si>
    <t>Nickel, ppm</t>
  </si>
  <si>
    <t>Silver, ppm</t>
  </si>
  <si>
    <t>Titanium, ppm</t>
  </si>
  <si>
    <t>Vanadium, ppm</t>
  </si>
  <si>
    <t>Sodium, ppm</t>
  </si>
  <si>
    <t>0.06</t>
  </si>
  <si>
    <t>Silicon, ppm</t>
  </si>
  <si>
    <t>Lithium, ppm</t>
  </si>
  <si>
    <t>Potassium, ppm</t>
  </si>
  <si>
    <t>Barium, ppm</t>
  </si>
  <si>
    <t>0.02</t>
  </si>
  <si>
    <t>Boron, ppm</t>
  </si>
  <si>
    <t>Calcium, ppm</t>
  </si>
  <si>
    <t>Magnesium, ppm</t>
  </si>
  <si>
    <t>Molybdenum, ppm</t>
  </si>
  <si>
    <t>1.23</t>
  </si>
  <si>
    <t>Phosphorus, ppm</t>
  </si>
  <si>
    <t>Zinc, ppm</t>
  </si>
  <si>
    <t>0.2</t>
  </si>
  <si>
    <t>0.05</t>
  </si>
  <si>
    <t>1.15</t>
  </si>
  <si>
    <t>0.1</t>
  </si>
  <si>
    <t>0.01</t>
  </si>
  <si>
    <t>0.26</t>
  </si>
  <si>
    <t>0.11</t>
  </si>
  <si>
    <t>0.46</t>
  </si>
  <si>
    <t>1.32</t>
  </si>
  <si>
    <t>1.41</t>
  </si>
  <si>
    <t>1.34</t>
  </si>
  <si>
    <t>1.38</t>
  </si>
  <si>
    <t>0.75</t>
  </si>
  <si>
    <t>1.01</t>
  </si>
  <si>
    <t>0.79</t>
  </si>
  <si>
    <t>0.14</t>
  </si>
  <si>
    <t>1.20</t>
  </si>
  <si>
    <t>0.12</t>
  </si>
  <si>
    <t>1.29</t>
  </si>
  <si>
    <t>0.49</t>
  </si>
  <si>
    <t>0.71</t>
  </si>
  <si>
    <t>0.36</t>
  </si>
  <si>
    <t>0.87</t>
  </si>
  <si>
    <t>0.19</t>
  </si>
  <si>
    <t>0.96</t>
  </si>
  <si>
    <t>0.83</t>
  </si>
  <si>
    <t>0.44</t>
  </si>
  <si>
    <t>IR Oxid,, Abs/mm2</t>
  </si>
  <si>
    <t>NAS 1638</t>
  </si>
  <si>
    <t>0.43</t>
  </si>
  <si>
    <t>Water Content , ppm</t>
  </si>
  <si>
    <t>ON</t>
  </si>
  <si>
    <t>1..03</t>
  </si>
  <si>
    <t>1..01</t>
  </si>
  <si>
    <t>2.7</t>
  </si>
  <si>
    <t>5.78</t>
  </si>
  <si>
    <t>2.88</t>
  </si>
  <si>
    <t>1..06</t>
  </si>
  <si>
    <t>1.37</t>
  </si>
  <si>
    <t>5.55</t>
  </si>
  <si>
    <t>0'.01</t>
  </si>
  <si>
    <t>2.36</t>
  </si>
  <si>
    <t>5.37</t>
  </si>
  <si>
    <t>2.18</t>
  </si>
  <si>
    <t>1..02</t>
  </si>
  <si>
    <t>Kondisi</t>
  </si>
  <si>
    <t>0.5</t>
  </si>
  <si>
    <t>1..05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</si>
</sst>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_);_(@_)"/>
    <numFmt numFmtId="165" formatCode="_(* #,##0.0_);_(* \(#,##0.0\);_(* &quot;-&quot;_);_(@_)"/>
  </numFmts>
  <fonts count="26"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sz val="11"/>
      <name val="Calibri"/>
      <family val="2"/>
    </font>
    <font>
      <sz val="7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7"/>
      <color rgb="FF000000"/>
      <name val="Arial"/>
      <family val="2"/>
    </font>
    <font>
      <sz val="11"/>
      <name val="Calibri"/>
      <family val="2"/>
    </font>
    <font>
      <b/>
      <sz val="7"/>
      <color rgb="FF000000"/>
      <name val="Arial"/>
      <family val="2"/>
    </font>
    <font>
      <sz val="11"/>
      <color rgb="FF000000"/>
      <name val="Calibri"/>
      <family val="2"/>
      <scheme val="minor"/>
    </font>
    <font>
      <sz val="7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0"/>
      <color rgb="FF7030A0"/>
      <name val="Arial"/>
      <family val="2"/>
    </font>
    <font>
      <sz val="10"/>
      <color rgb="FF7030A0"/>
      <name val="Arial"/>
      <family val="2"/>
    </font>
    <font>
      <sz val="10"/>
      <color rgb="FF7030A0"/>
      <name val="Calibri"/>
      <family val="2"/>
      <scheme val="minor"/>
    </font>
    <font>
      <sz val="11"/>
      <color rgb="FF7030A0"/>
      <name val="Arial"/>
      <family val="2"/>
    </font>
    <font>
      <sz val="12"/>
      <color rgb="FF7030A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7"/>
      <color rgb="FF000000"/>
      <name val="Arial"/>
    </font>
    <font>
      <sz val="11"/>
      <name val="Calibri"/>
    </font>
    <font>
      <sz val="11"/>
      <color theme="1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FF00"/>
      </patternFill>
    </fill>
    <fill>
      <patternFill patternType="solid">
        <fgColor rgb="FFFFFF00"/>
        <bgColor rgb="FF00FF00"/>
      </patternFill>
    </fill>
    <fill>
      <patternFill patternType="solid">
        <fgColor theme="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8" fillId="0" borderId="0"/>
    <xf numFmtId="164" fontId="11" fillId="0" borderId="0" applyFont="0" applyFill="0" applyBorder="0" applyAlignment="0" applyProtection="0"/>
    <xf numFmtId="0" fontId="25" fillId="0" borderId="0"/>
  </cellStyleXfs>
  <cellXfs count="96">
    <xf numFmtId="0" fontId="0" fillId="0" borderId="0" xfId="0"/>
    <xf numFmtId="0" fontId="0" fillId="3" borderId="0" xfId="0" applyFill="1"/>
    <xf numFmtId="0" fontId="2" fillId="3" borderId="0" xfId="0" applyFont="1" applyFill="1"/>
    <xf numFmtId="0" fontId="5" fillId="0" borderId="1" xfId="0" applyFont="1" applyBorder="1" applyAlignment="1">
      <alignment vertical="center" wrapText="1" readingOrder="1"/>
    </xf>
    <xf numFmtId="0" fontId="0" fillId="3" borderId="0" xfId="0" applyFill="1" applyAlignment="1">
      <alignment horizontal="left" vertical="center"/>
    </xf>
    <xf numFmtId="0" fontId="3" fillId="2" borderId="1" xfId="0" applyFont="1" applyFill="1" applyBorder="1" applyAlignment="1">
      <alignment horizontal="right" vertical="center" wrapText="1" readingOrder="1"/>
    </xf>
    <xf numFmtId="0" fontId="3" fillId="0" borderId="1" xfId="0" applyFont="1" applyBorder="1" applyAlignment="1">
      <alignment horizontal="right" vertical="center" wrapText="1" readingOrder="1"/>
    </xf>
    <xf numFmtId="0" fontId="3" fillId="2" borderId="5" xfId="0" applyFont="1" applyFill="1" applyBorder="1" applyAlignment="1">
      <alignment horizontal="right" vertical="center" wrapText="1" readingOrder="1"/>
    </xf>
    <xf numFmtId="14" fontId="3" fillId="0" borderId="1" xfId="0" applyNumberFormat="1" applyFont="1" applyBorder="1" applyAlignment="1">
      <alignment horizontal="center" vertical="center" wrapText="1" readingOrder="1"/>
    </xf>
    <xf numFmtId="0" fontId="9" fillId="2" borderId="1" xfId="1" applyFont="1" applyFill="1" applyBorder="1" applyAlignment="1">
      <alignment horizontal="right" vertical="center" wrapText="1" readingOrder="1"/>
    </xf>
    <xf numFmtId="0" fontId="9" fillId="0" borderId="1" xfId="1" applyFont="1" applyBorder="1" applyAlignment="1">
      <alignment horizontal="right" vertical="center" wrapText="1" readingOrder="1"/>
    </xf>
    <xf numFmtId="0" fontId="12" fillId="3" borderId="0" xfId="0" applyFont="1" applyFill="1"/>
    <xf numFmtId="0" fontId="15" fillId="3" borderId="0" xfId="0" applyFont="1" applyFill="1"/>
    <xf numFmtId="0" fontId="17" fillId="3" borderId="0" xfId="0" applyFont="1" applyFill="1"/>
    <xf numFmtId="14" fontId="18" fillId="0" borderId="1" xfId="0" applyNumberFormat="1" applyFont="1" applyBorder="1" applyAlignment="1">
      <alignment vertical="center" wrapText="1" readingOrder="1"/>
    </xf>
    <xf numFmtId="0" fontId="19" fillId="3" borderId="0" xfId="0" applyFont="1" applyFill="1"/>
    <xf numFmtId="165" fontId="14" fillId="2" borderId="5" xfId="2" applyNumberFormat="1" applyFont="1" applyFill="1" applyBorder="1" applyAlignment="1">
      <alignment horizontal="right" vertical="center" wrapText="1" readingOrder="1"/>
    </xf>
    <xf numFmtId="0" fontId="16" fillId="2" borderId="5" xfId="1" applyFont="1" applyFill="1" applyBorder="1" applyAlignment="1">
      <alignment horizontal="right" vertical="center" wrapText="1" readingOrder="1"/>
    </xf>
    <xf numFmtId="0" fontId="10" fillId="0" borderId="1" xfId="1" applyFont="1" applyBorder="1" applyAlignment="1">
      <alignment horizontal="right" vertical="top" wrapText="1" readingOrder="1"/>
    </xf>
    <xf numFmtId="0" fontId="0" fillId="3" borderId="4" xfId="0" applyFill="1" applyBorder="1"/>
    <xf numFmtId="0" fontId="3" fillId="0" borderId="6" xfId="0" applyFont="1" applyBorder="1" applyAlignment="1">
      <alignment horizontal="right" vertical="center" wrapText="1" readingOrder="1"/>
    </xf>
    <xf numFmtId="0" fontId="3" fillId="0" borderId="5" xfId="0" applyFont="1" applyBorder="1" applyAlignment="1">
      <alignment horizontal="right" vertical="center" wrapText="1" readingOrder="1"/>
    </xf>
    <xf numFmtId="0" fontId="22" fillId="7" borderId="5" xfId="1" applyFont="1" applyFill="1" applyBorder="1" applyAlignment="1">
      <alignment vertical="center" wrapText="1" readingOrder="1"/>
    </xf>
    <xf numFmtId="0" fontId="3" fillId="2" borderId="1" xfId="1" quotePrefix="1" applyFont="1" applyFill="1" applyBorder="1" applyAlignment="1">
      <alignment horizontal="right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22" fillId="8" borderId="5" xfId="1" applyFont="1" applyFill="1" applyBorder="1" applyAlignment="1">
      <alignment vertical="center" wrapText="1" readingOrder="1"/>
    </xf>
    <xf numFmtId="0" fontId="22" fillId="3" borderId="5" xfId="1" applyFont="1" applyFill="1" applyBorder="1" applyAlignment="1">
      <alignment vertical="center" wrapText="1" readingOrder="1"/>
    </xf>
    <xf numFmtId="0" fontId="23" fillId="0" borderId="1" xfId="0" applyFont="1" applyBorder="1" applyAlignment="1">
      <alignment horizontal="right" vertical="center" wrapText="1" readingOrder="1"/>
    </xf>
    <xf numFmtId="0" fontId="23" fillId="6" borderId="1" xfId="0" applyFont="1" applyFill="1" applyBorder="1" applyAlignment="1">
      <alignment horizontal="right" vertical="center" wrapText="1" readingOrder="1"/>
    </xf>
    <xf numFmtId="0" fontId="23" fillId="2" borderId="1" xfId="0" applyFont="1" applyFill="1" applyBorder="1" applyAlignment="1">
      <alignment horizontal="right" vertical="center" wrapText="1" readingOrder="1"/>
    </xf>
    <xf numFmtId="0" fontId="23" fillId="0" borderId="1" xfId="0" quotePrefix="1" applyFont="1" applyBorder="1" applyAlignment="1">
      <alignment horizontal="right" vertical="center" wrapText="1" readingOrder="1"/>
    </xf>
    <xf numFmtId="0" fontId="23" fillId="2" borderId="1" xfId="0" quotePrefix="1" applyFont="1" applyFill="1" applyBorder="1" applyAlignment="1">
      <alignment horizontal="right" vertical="center" wrapText="1" readingOrder="1"/>
    </xf>
    <xf numFmtId="0" fontId="23" fillId="6" borderId="1" xfId="0" quotePrefix="1" applyFont="1" applyFill="1" applyBorder="1" applyAlignment="1">
      <alignment horizontal="right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9" fillId="0" borderId="1" xfId="1" applyFont="1" applyBorder="1" applyAlignment="1">
      <alignment horizontal="right" vertical="center" wrapText="1" readingOrder="1"/>
    </xf>
    <xf numFmtId="0" fontId="9" fillId="2" borderId="1" xfId="1" applyFont="1" applyFill="1" applyBorder="1" applyAlignment="1">
      <alignment horizontal="right" vertical="center" wrapText="1" readingOrder="1"/>
    </xf>
    <xf numFmtId="0" fontId="23" fillId="0" borderId="1" xfId="0" quotePrefix="1" applyFont="1" applyBorder="1" applyAlignment="1">
      <alignment horizontal="right" vertical="center" wrapText="1" readingOrder="1"/>
    </xf>
    <xf numFmtId="0" fontId="3" fillId="0" borderId="1" xfId="1" quotePrefix="1" applyFont="1" applyBorder="1" applyAlignment="1">
      <alignment horizontal="right" vertical="center" wrapText="1" readingOrder="1"/>
    </xf>
    <xf numFmtId="164" fontId="14" fillId="2" borderId="5" xfId="2" quotePrefix="1" applyNumberFormat="1" applyFont="1" applyFill="1" applyBorder="1" applyAlignment="1">
      <alignment horizontal="right" vertical="center" wrapText="1" readingOrder="1"/>
    </xf>
    <xf numFmtId="164" fontId="14" fillId="5" borderId="5" xfId="2" quotePrefix="1" applyNumberFormat="1" applyFont="1" applyFill="1" applyBorder="1" applyAlignment="1">
      <alignment horizontal="right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9" fillId="0" borderId="1" xfId="1" applyFont="1" applyBorder="1" applyAlignment="1">
      <alignment horizontal="right" vertical="center" wrapText="1" readingOrder="1"/>
    </xf>
    <xf numFmtId="0" fontId="9" fillId="2" borderId="1" xfId="1" applyFont="1" applyFill="1" applyBorder="1" applyAlignment="1">
      <alignment horizontal="right" vertical="center" wrapText="1" readingOrder="1"/>
    </xf>
    <xf numFmtId="0" fontId="0" fillId="3" borderId="0" xfId="0" applyFill="1" applyBorder="1"/>
    <xf numFmtId="0" fontId="3" fillId="2" borderId="6" xfId="1" quotePrefix="1" applyFont="1" applyFill="1" applyBorder="1" applyAlignment="1">
      <alignment horizontal="right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164" fontId="14" fillId="4" borderId="5" xfId="2" quotePrefix="1" applyNumberFormat="1" applyFont="1" applyFill="1" applyBorder="1" applyAlignment="1">
      <alignment horizontal="right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8" fillId="0" borderId="2" xfId="0" applyFont="1" applyBorder="1" applyAlignment="1">
      <alignment horizontal="center" vertical="center" wrapText="1" readingOrder="1"/>
    </xf>
    <xf numFmtId="0" fontId="18" fillId="0" borderId="3" xfId="0" applyFont="1" applyBorder="1" applyAlignment="1">
      <alignment horizontal="center" vertical="center" wrapText="1" readingOrder="1"/>
    </xf>
    <xf numFmtId="0" fontId="18" fillId="0" borderId="4" xfId="0" applyFont="1" applyBorder="1" applyAlignment="1">
      <alignment horizontal="center" vertical="center" wrapText="1" readingOrder="1"/>
    </xf>
    <xf numFmtId="0" fontId="16" fillId="0" borderId="7" xfId="0" applyFont="1" applyBorder="1" applyAlignment="1">
      <alignment horizontal="center" vertical="center" wrapText="1" readingOrder="1"/>
    </xf>
    <xf numFmtId="0" fontId="16" fillId="0" borderId="8" xfId="0" applyFont="1" applyBorder="1" applyAlignment="1">
      <alignment horizontal="center" vertical="center" wrapText="1" readingOrder="1"/>
    </xf>
    <xf numFmtId="0" fontId="16" fillId="0" borderId="10" xfId="0" applyFont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center" vertical="center" wrapText="1" readingOrder="1"/>
    </xf>
    <xf numFmtId="0" fontId="21" fillId="0" borderId="2" xfId="0" applyFont="1" applyBorder="1" applyAlignment="1">
      <alignment horizontal="center" vertical="center" wrapText="1" readingOrder="1"/>
    </xf>
    <xf numFmtId="0" fontId="21" fillId="0" borderId="3" xfId="0" applyFont="1" applyBorder="1" applyAlignment="1">
      <alignment horizontal="center" vertical="center" wrapText="1" readingOrder="1"/>
    </xf>
    <xf numFmtId="0" fontId="21" fillId="0" borderId="4" xfId="0" applyFont="1" applyBorder="1" applyAlignment="1">
      <alignment horizontal="center" vertical="center" wrapText="1" readingOrder="1"/>
    </xf>
    <xf numFmtId="0" fontId="21" fillId="0" borderId="7" xfId="0" applyFont="1" applyBorder="1" applyAlignment="1">
      <alignment horizontal="center" vertical="center" wrapText="1" readingOrder="1"/>
    </xf>
    <xf numFmtId="0" fontId="21" fillId="0" borderId="8" xfId="0" applyFont="1" applyBorder="1" applyAlignment="1">
      <alignment horizontal="center" vertical="center" wrapText="1" readingOrder="1"/>
    </xf>
    <xf numFmtId="0" fontId="21" fillId="0" borderId="10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center" wrapText="1" readingOrder="1"/>
    </xf>
    <xf numFmtId="0" fontId="1" fillId="0" borderId="11" xfId="0" applyFont="1" applyBorder="1" applyAlignment="1">
      <alignment horizontal="center" vertical="center" wrapText="1" readingOrder="1"/>
    </xf>
    <xf numFmtId="0" fontId="1" fillId="0" borderId="12" xfId="0" applyFont="1" applyBorder="1" applyAlignment="1">
      <alignment horizontal="center" vertical="center" wrapText="1" readingOrder="1"/>
    </xf>
    <xf numFmtId="0" fontId="13" fillId="0" borderId="7" xfId="0" applyFont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center" vertical="center" wrapText="1" readingOrder="1"/>
    </xf>
    <xf numFmtId="0" fontId="13" fillId="0" borderId="10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right" vertical="center" wrapText="1" readingOrder="1"/>
    </xf>
    <xf numFmtId="0" fontId="2" fillId="0" borderId="1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3" fillId="0" borderId="5" xfId="0" applyFont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2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 readingOrder="1"/>
    </xf>
    <xf numFmtId="0" fontId="6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3" fillId="0" borderId="1" xfId="0" applyFont="1" applyBorder="1" applyAlignment="1">
      <alignment horizontal="right" vertical="center" wrapText="1" readingOrder="1"/>
    </xf>
    <xf numFmtId="0" fontId="24" fillId="0" borderId="1" xfId="0" applyFont="1" applyBorder="1" applyAlignment="1">
      <alignment vertical="top" wrapText="1"/>
    </xf>
    <xf numFmtId="0" fontId="23" fillId="0" borderId="1" xfId="0" quotePrefix="1" applyFont="1" applyBorder="1" applyAlignment="1">
      <alignment horizontal="right" vertical="center" wrapText="1" readingOrder="1"/>
    </xf>
    <xf numFmtId="0" fontId="23" fillId="6" borderId="1" xfId="0" applyFont="1" applyFill="1" applyBorder="1" applyAlignment="1">
      <alignment horizontal="right" vertical="center" wrapText="1" readingOrder="1"/>
    </xf>
    <xf numFmtId="0" fontId="24" fillId="6" borderId="1" xfId="0" applyFont="1" applyFill="1" applyBorder="1" applyAlignment="1">
      <alignment vertical="top" wrapText="1"/>
    </xf>
    <xf numFmtId="0" fontId="23" fillId="2" borderId="1" xfId="0" applyFont="1" applyFill="1" applyBorder="1" applyAlignment="1">
      <alignment horizontal="right" vertical="center" wrapText="1" readingOrder="1"/>
    </xf>
    <xf numFmtId="0" fontId="24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 readingOrder="1"/>
    </xf>
  </cellXfs>
  <cellStyles count="4">
    <cellStyle name="Comma [0]" xfId="2" builtinId="6"/>
    <cellStyle name="Normal" xfId="0" builtinId="0"/>
    <cellStyle name="Normal 2" xfId="1"/>
    <cellStyle name="Normal 3 2 4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</a:t>
            </a:r>
            <a:r>
              <a:rPr lang="en-US" sz="1320" b="0" i="0" u="none" strike="noStrike" baseline="0">
                <a:effectLst/>
              </a:rPr>
              <a:t>ISO CODE PARTIKEL &gt;4µm &gt;6µm &gt;8µm</a:t>
            </a:r>
            <a:r>
              <a:rPr lang="en-US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637112382872606E-2"/>
          <c:y val="0.19881292520765736"/>
          <c:w val="0.76296435353235836"/>
          <c:h val="0.47445374922322431"/>
        </c:manualLayout>
      </c:layout>
      <c:lineChart>
        <c:grouping val="standard"/>
        <c:varyColors val="0"/>
        <c:ser>
          <c:idx val="1"/>
          <c:order val="0"/>
          <c:tx>
            <c:strRef>
              <c:f>Tribology!$B$12</c:f>
              <c:strCache>
                <c:ptCount val="1"/>
                <c:pt idx="0">
                  <c:v>ISO &gt;4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Tribology!$E$2:$N$2</c:f>
              <c:numCache>
                <c:formatCode>m/d/yyyy</c:formatCode>
                <c:ptCount val="7"/>
                <c:pt idx="0">
                  <c:v>45222</c:v>
                </c:pt>
                <c:pt idx="1">
                  <c:v>45253</c:v>
                </c:pt>
                <c:pt idx="2">
                  <c:v>45281</c:v>
                </c:pt>
                <c:pt idx="3">
                  <c:v>45282</c:v>
                </c:pt>
                <c:pt idx="4">
                  <c:v>45285</c:v>
                </c:pt>
                <c:pt idx="5">
                  <c:v>45316</c:v>
                </c:pt>
                <c:pt idx="6">
                  <c:v>45346</c:v>
                </c:pt>
              </c:numCache>
            </c:numRef>
          </c:cat>
          <c:val>
            <c:numRef>
              <c:f>Tribology!$E$12:$N$12</c:f>
              <c:numCache>
                <c:formatCode>_(* #,##0_);_(* \(#,##0\);_(* "-"_);_(@_)</c:formatCode>
                <c:ptCount val="7"/>
                <c:pt idx="0">
                  <c:v>17</c:v>
                </c:pt>
                <c:pt idx="1">
                  <c:v>17</c:v>
                </c:pt>
                <c:pt idx="2" formatCode="General">
                  <c:v>23</c:v>
                </c:pt>
                <c:pt idx="3" formatCode="General">
                  <c:v>19</c:v>
                </c:pt>
                <c:pt idx="4" formatCode="General">
                  <c:v>19</c:v>
                </c:pt>
                <c:pt idx="5">
                  <c:v>17</c:v>
                </c:pt>
                <c:pt idx="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A-489A-BA8F-9F212259E488}"/>
            </c:ext>
          </c:extLst>
        </c:ser>
        <c:ser>
          <c:idx val="2"/>
          <c:order val="1"/>
          <c:tx>
            <c:strRef>
              <c:f>Tribology!$B$13</c:f>
              <c:strCache>
                <c:ptCount val="1"/>
                <c:pt idx="0">
                  <c:v>ISO &gt;6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Tribology!$E$2:$N$2</c:f>
              <c:numCache>
                <c:formatCode>m/d/yyyy</c:formatCode>
                <c:ptCount val="7"/>
                <c:pt idx="0">
                  <c:v>45222</c:v>
                </c:pt>
                <c:pt idx="1">
                  <c:v>45253</c:v>
                </c:pt>
                <c:pt idx="2">
                  <c:v>45281</c:v>
                </c:pt>
                <c:pt idx="3">
                  <c:v>45282</c:v>
                </c:pt>
                <c:pt idx="4">
                  <c:v>45285</c:v>
                </c:pt>
                <c:pt idx="5">
                  <c:v>45316</c:v>
                </c:pt>
                <c:pt idx="6">
                  <c:v>45346</c:v>
                </c:pt>
              </c:numCache>
            </c:numRef>
          </c:cat>
          <c:val>
            <c:numRef>
              <c:f>Tribology!$E$13:$N$13</c:f>
              <c:numCache>
                <c:formatCode>_(* #,##0_);_(* \(#,##0\);_(* "-"_);_(@_)</c:formatCode>
                <c:ptCount val="7"/>
                <c:pt idx="0">
                  <c:v>16</c:v>
                </c:pt>
                <c:pt idx="1">
                  <c:v>16</c:v>
                </c:pt>
                <c:pt idx="2" formatCode="General">
                  <c:v>22</c:v>
                </c:pt>
                <c:pt idx="3" formatCode="General">
                  <c:v>18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0A-489A-BA8F-9F212259E488}"/>
            </c:ext>
          </c:extLst>
        </c:ser>
        <c:ser>
          <c:idx val="3"/>
          <c:order val="2"/>
          <c:tx>
            <c:strRef>
              <c:f>Tribology!$B$14</c:f>
              <c:strCache>
                <c:ptCount val="1"/>
                <c:pt idx="0">
                  <c:v>ISO &gt;14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Tribology!$E$2:$N$2</c:f>
              <c:numCache>
                <c:formatCode>m/d/yyyy</c:formatCode>
                <c:ptCount val="7"/>
                <c:pt idx="0">
                  <c:v>45222</c:v>
                </c:pt>
                <c:pt idx="1">
                  <c:v>45253</c:v>
                </c:pt>
                <c:pt idx="2">
                  <c:v>45281</c:v>
                </c:pt>
                <c:pt idx="3">
                  <c:v>45282</c:v>
                </c:pt>
                <c:pt idx="4">
                  <c:v>45285</c:v>
                </c:pt>
                <c:pt idx="5">
                  <c:v>45316</c:v>
                </c:pt>
                <c:pt idx="6">
                  <c:v>45346</c:v>
                </c:pt>
              </c:numCache>
            </c:numRef>
          </c:cat>
          <c:val>
            <c:numRef>
              <c:f>Tribology!$E$14:$N$14</c:f>
              <c:numCache>
                <c:formatCode>_(* #,##0_);_(* \(#,##0\);_(* "-"_);_(@_)</c:formatCode>
                <c:ptCount val="7"/>
                <c:pt idx="0">
                  <c:v>13</c:v>
                </c:pt>
                <c:pt idx="1">
                  <c:v>14</c:v>
                </c:pt>
                <c:pt idx="2" formatCode="General">
                  <c:v>14</c:v>
                </c:pt>
                <c:pt idx="3" formatCode="General">
                  <c:v>14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0A-489A-BA8F-9F212259E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441520"/>
        <c:axId val="371442304"/>
      </c:lineChart>
      <c:catAx>
        <c:axId val="3714415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42304"/>
        <c:crosses val="autoZero"/>
        <c:auto val="0"/>
        <c:lblAlgn val="ctr"/>
        <c:lblOffset val="100"/>
        <c:noMultiLvlLbl val="1"/>
      </c:catAx>
      <c:valAx>
        <c:axId val="37144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4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VISKOSITAS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Tribology!$B$18</c:f>
              <c:strCache>
                <c:ptCount val="1"/>
                <c:pt idx="0">
                  <c:v>Visc 40C, cSt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Tribology!$E$2:$N$2</c:f>
              <c:numCache>
                <c:formatCode>m/d/yyyy</c:formatCode>
                <c:ptCount val="7"/>
                <c:pt idx="0">
                  <c:v>45222</c:v>
                </c:pt>
                <c:pt idx="1">
                  <c:v>45253</c:v>
                </c:pt>
                <c:pt idx="2">
                  <c:v>45281</c:v>
                </c:pt>
                <c:pt idx="3">
                  <c:v>45282</c:v>
                </c:pt>
                <c:pt idx="4">
                  <c:v>45285</c:v>
                </c:pt>
                <c:pt idx="5">
                  <c:v>45316</c:v>
                </c:pt>
                <c:pt idx="6">
                  <c:v>45346</c:v>
                </c:pt>
              </c:numCache>
            </c:numRef>
          </c:cat>
          <c:val>
            <c:numRef>
              <c:f>Tribology!$E$18:$N$18</c:f>
              <c:numCache>
                <c:formatCode>_(* #,##0.0_);_(* \(#,##0.0\);_(* "-"_);_(@_)</c:formatCode>
                <c:ptCount val="7"/>
                <c:pt idx="0">
                  <c:v>41.1</c:v>
                </c:pt>
                <c:pt idx="1">
                  <c:v>40.799999999999997</c:v>
                </c:pt>
                <c:pt idx="2">
                  <c:v>41.8</c:v>
                </c:pt>
                <c:pt idx="3">
                  <c:v>40</c:v>
                </c:pt>
                <c:pt idx="4">
                  <c:v>40.5</c:v>
                </c:pt>
                <c:pt idx="5">
                  <c:v>40.5</c:v>
                </c:pt>
                <c:pt idx="6">
                  <c:v>41.9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04-44ED-B4D4-E45C2F7CA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443480"/>
        <c:axId val="371443872"/>
      </c:lineChart>
      <c:catAx>
        <c:axId val="37144348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43872"/>
        <c:crosses val="autoZero"/>
        <c:auto val="0"/>
        <c:lblAlgn val="ctr"/>
        <c:lblOffset val="100"/>
        <c:noMultiLvlLbl val="1"/>
      </c:catAx>
      <c:valAx>
        <c:axId val="3714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43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NAS </a:t>
            </a:r>
          </a:p>
        </c:rich>
      </c:tx>
      <c:layout>
        <c:manualLayout>
          <c:xMode val="edge"/>
          <c:yMode val="edge"/>
          <c:x val="0.39249944960096417"/>
          <c:y val="2.44733508333850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Tribology!$B$15</c:f>
              <c:strCache>
                <c:ptCount val="1"/>
                <c:pt idx="0">
                  <c:v>NAS 1638</c:v>
                </c:pt>
              </c:strCache>
            </c:strRef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Tribology!$E$2:$N$2</c:f>
              <c:numCache>
                <c:formatCode>m/d/yyyy</c:formatCode>
                <c:ptCount val="7"/>
                <c:pt idx="0">
                  <c:v>45222</c:v>
                </c:pt>
                <c:pt idx="1">
                  <c:v>45253</c:v>
                </c:pt>
                <c:pt idx="2">
                  <c:v>45281</c:v>
                </c:pt>
                <c:pt idx="3">
                  <c:v>45282</c:v>
                </c:pt>
                <c:pt idx="4">
                  <c:v>45285</c:v>
                </c:pt>
                <c:pt idx="5">
                  <c:v>45316</c:v>
                </c:pt>
                <c:pt idx="6">
                  <c:v>45346</c:v>
                </c:pt>
              </c:numCache>
            </c:numRef>
          </c:cat>
          <c:val>
            <c:numRef>
              <c:f>Tribology!$E$15:$N$15</c:f>
              <c:numCache>
                <c:formatCode>_(* #,##0_);_(* \(#,##0\);_(* "-"_);_(@_)</c:formatCode>
                <c:ptCount val="7"/>
                <c:pt idx="0">
                  <c:v>7</c:v>
                </c:pt>
                <c:pt idx="1">
                  <c:v>7</c:v>
                </c:pt>
                <c:pt idx="2">
                  <c:v>12</c:v>
                </c:pt>
                <c:pt idx="3" formatCode="General">
                  <c:v>9</c:v>
                </c:pt>
                <c:pt idx="4" formatCode="General">
                  <c:v>9</c:v>
                </c:pt>
                <c:pt idx="5">
                  <c:v>7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A7-4264-8815-44B59059E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1443480"/>
        <c:axId val="371443872"/>
      </c:lineChart>
      <c:catAx>
        <c:axId val="37144348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43872"/>
        <c:crosses val="autoZero"/>
        <c:auto val="0"/>
        <c:lblAlgn val="ctr"/>
        <c:lblOffset val="100"/>
        <c:noMultiLvlLbl val="1"/>
      </c:catAx>
      <c:valAx>
        <c:axId val="37144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43480"/>
        <c:crosses val="autoZero"/>
        <c:crossBetween val="between"/>
      </c:valAx>
      <c:spPr>
        <a:solidFill>
          <a:schemeClr val="tx2"/>
        </a:soli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498056</xdr:colOff>
      <xdr:row>0</xdr:row>
      <xdr:rowOff>46645</xdr:rowOff>
    </xdr:from>
    <xdr:to>
      <xdr:col>26</xdr:col>
      <xdr:colOff>142794</xdr:colOff>
      <xdr:row>11</xdr:row>
      <xdr:rowOff>27594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501528</xdr:colOff>
      <xdr:row>25</xdr:row>
      <xdr:rowOff>170502</xdr:rowOff>
    </xdr:from>
    <xdr:to>
      <xdr:col>27</xdr:col>
      <xdr:colOff>538706</xdr:colOff>
      <xdr:row>39</xdr:row>
      <xdr:rowOff>161661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103229</xdr:colOff>
      <xdr:row>13</xdr:row>
      <xdr:rowOff>162316</xdr:rowOff>
    </xdr:from>
    <xdr:to>
      <xdr:col>27</xdr:col>
      <xdr:colOff>140408</xdr:colOff>
      <xdr:row>26</xdr:row>
      <xdr:rowOff>164002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39</xdr:row>
      <xdr:rowOff>0</xdr:rowOff>
    </xdr:from>
    <xdr:to>
      <xdr:col>16</xdr:col>
      <xdr:colOff>69823</xdr:colOff>
      <xdr:row>55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8610600"/>
          <a:ext cx="8677275" cy="308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95250</xdr:rowOff>
    </xdr:from>
    <xdr:to>
      <xdr:col>17</xdr:col>
      <xdr:colOff>141916</xdr:colOff>
      <xdr:row>92</xdr:row>
      <xdr:rowOff>104789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12134850"/>
          <a:ext cx="9363075" cy="6677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6"/>
  <sheetViews>
    <sheetView tabSelected="1" topLeftCell="A13" zoomScale="55" zoomScaleNormal="55" workbookViewId="0">
      <selection activeCell="B1" sqref="B1:N20"/>
    </sheetView>
  </sheetViews>
  <sheetFormatPr defaultColWidth="9.1796875" defaultRowHeight="14.5"/>
  <cols>
    <col min="1" max="1" width="9.1796875" style="1"/>
    <col min="2" max="3" width="5.26953125" style="1" customWidth="1"/>
    <col min="4" max="4" width="17.81640625" style="1" bestFit="1" customWidth="1"/>
    <col min="5" max="7" width="16" style="1" hidden="1" customWidth="1"/>
    <col min="8" max="14" width="16" style="1" customWidth="1"/>
    <col min="15" max="16384" width="9.1796875" style="1"/>
  </cols>
  <sheetData>
    <row r="1" spans="2:14" ht="54" customHeight="1">
      <c r="B1" s="48" t="s">
        <v>94</v>
      </c>
      <c r="C1" s="49"/>
      <c r="D1" s="50"/>
      <c r="E1" s="24" t="s">
        <v>80</v>
      </c>
      <c r="F1" s="24" t="s">
        <v>80</v>
      </c>
      <c r="G1" s="24" t="s">
        <v>80</v>
      </c>
      <c r="H1" s="24" t="s">
        <v>80</v>
      </c>
      <c r="I1" s="33" t="s">
        <v>80</v>
      </c>
      <c r="J1" s="40" t="s">
        <v>80</v>
      </c>
      <c r="K1" s="40" t="s">
        <v>80</v>
      </c>
      <c r="L1" s="40" t="s">
        <v>80</v>
      </c>
      <c r="M1" s="45" t="s">
        <v>80</v>
      </c>
      <c r="N1" s="45" t="s">
        <v>80</v>
      </c>
    </row>
    <row r="2" spans="2:14" s="15" customFormat="1" ht="13">
      <c r="B2" s="51" t="s">
        <v>2</v>
      </c>
      <c r="C2" s="52"/>
      <c r="D2" s="53"/>
      <c r="E2" s="14">
        <v>45162</v>
      </c>
      <c r="F2" s="14">
        <v>45174</v>
      </c>
      <c r="G2" s="14">
        <v>45180</v>
      </c>
      <c r="H2" s="14">
        <v>45222</v>
      </c>
      <c r="I2" s="14">
        <v>45253</v>
      </c>
      <c r="J2" s="14">
        <v>45281</v>
      </c>
      <c r="K2" s="14">
        <v>45282</v>
      </c>
      <c r="L2" s="14">
        <v>45285</v>
      </c>
      <c r="M2" s="14">
        <v>45316</v>
      </c>
      <c r="N2" s="14">
        <v>45346</v>
      </c>
    </row>
    <row r="3" spans="2:14" ht="20.149999999999999" customHeight="1">
      <c r="B3" s="47" t="s">
        <v>3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2:14" s="11" customFormat="1" ht="20.149999999999999" customHeight="1">
      <c r="B4" s="54" t="s">
        <v>4</v>
      </c>
      <c r="C4" s="55"/>
      <c r="D4" s="56"/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</row>
    <row r="5" spans="2:14" ht="20.149999999999999" customHeight="1">
      <c r="B5" s="48" t="s">
        <v>5</v>
      </c>
      <c r="C5" s="49"/>
      <c r="D5" s="50"/>
      <c r="E5" s="9">
        <v>0</v>
      </c>
      <c r="F5" s="9">
        <v>0</v>
      </c>
      <c r="G5" s="9">
        <v>0</v>
      </c>
      <c r="H5" s="9">
        <v>0</v>
      </c>
      <c r="I5" s="35">
        <v>0</v>
      </c>
      <c r="J5" s="42">
        <v>0</v>
      </c>
      <c r="K5" s="42">
        <v>0</v>
      </c>
      <c r="L5" s="42">
        <v>0</v>
      </c>
      <c r="M5" s="42">
        <v>0</v>
      </c>
      <c r="N5" s="42">
        <v>0</v>
      </c>
    </row>
    <row r="6" spans="2:14" ht="20.149999999999999" customHeight="1">
      <c r="B6" s="48" t="s">
        <v>6</v>
      </c>
      <c r="C6" s="49"/>
      <c r="D6" s="50"/>
      <c r="E6" s="10">
        <v>0</v>
      </c>
      <c r="F6" s="10">
        <v>0</v>
      </c>
      <c r="G6" s="10">
        <v>0</v>
      </c>
      <c r="H6" s="10">
        <v>0</v>
      </c>
      <c r="I6" s="34">
        <v>0</v>
      </c>
      <c r="J6" s="41">
        <v>0</v>
      </c>
      <c r="K6" s="41">
        <v>0</v>
      </c>
      <c r="L6" s="41">
        <v>0</v>
      </c>
      <c r="M6" s="41">
        <v>0</v>
      </c>
      <c r="N6" s="41">
        <v>0</v>
      </c>
    </row>
    <row r="7" spans="2:14" ht="20.149999999999999" customHeight="1">
      <c r="B7" s="48" t="s">
        <v>7</v>
      </c>
      <c r="C7" s="49"/>
      <c r="D7" s="50"/>
      <c r="E7" s="10"/>
      <c r="F7" s="10"/>
      <c r="G7" s="10"/>
      <c r="H7" s="10"/>
      <c r="I7" s="34"/>
      <c r="J7" s="41"/>
      <c r="K7" s="41"/>
      <c r="L7" s="41"/>
      <c r="M7" s="41"/>
      <c r="N7" s="41"/>
    </row>
    <row r="8" spans="2:14" ht="15" customHeight="1">
      <c r="B8" s="48" t="s">
        <v>8</v>
      </c>
      <c r="C8" s="49"/>
      <c r="D8" s="50"/>
      <c r="E8" s="10"/>
      <c r="F8" s="10"/>
      <c r="G8" s="10"/>
      <c r="H8" s="10"/>
      <c r="I8" s="34"/>
      <c r="J8" s="41"/>
      <c r="K8" s="41"/>
      <c r="L8" s="41"/>
      <c r="M8" s="41"/>
      <c r="N8" s="41"/>
    </row>
    <row r="9" spans="2:14">
      <c r="B9" s="64"/>
      <c r="C9" s="65"/>
      <c r="D9" s="66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2:14" ht="0.65" customHeight="1">
      <c r="B10" s="2"/>
      <c r="C10" s="2"/>
      <c r="D10" s="2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2:14" ht="16" customHeight="1">
      <c r="B11" s="47" t="s">
        <v>9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</row>
    <row r="12" spans="2:14" s="13" customFormat="1" ht="16" customHeight="1">
      <c r="B12" s="61" t="s">
        <v>10</v>
      </c>
      <c r="C12" s="62"/>
      <c r="D12" s="63"/>
      <c r="E12" s="26">
        <v>17</v>
      </c>
      <c r="F12" s="22">
        <v>19</v>
      </c>
      <c r="G12" s="38">
        <v>17</v>
      </c>
      <c r="H12" s="38">
        <v>17</v>
      </c>
      <c r="I12" s="38">
        <v>17</v>
      </c>
      <c r="J12" s="25">
        <v>23</v>
      </c>
      <c r="K12" s="22">
        <v>19</v>
      </c>
      <c r="L12" s="22">
        <v>19</v>
      </c>
      <c r="M12" s="38">
        <v>17</v>
      </c>
      <c r="N12" s="38">
        <v>17</v>
      </c>
    </row>
    <row r="13" spans="2:14" s="13" customFormat="1" ht="16" customHeight="1">
      <c r="B13" s="58" t="s">
        <v>11</v>
      </c>
      <c r="C13" s="59"/>
      <c r="D13" s="60"/>
      <c r="E13" s="38">
        <v>15</v>
      </c>
      <c r="F13" s="39">
        <v>17</v>
      </c>
      <c r="G13" s="38">
        <v>16</v>
      </c>
      <c r="H13" s="38">
        <v>16</v>
      </c>
      <c r="I13" s="38">
        <v>16</v>
      </c>
      <c r="J13" s="25">
        <v>22</v>
      </c>
      <c r="K13" s="22">
        <v>18</v>
      </c>
      <c r="L13" s="38">
        <v>15</v>
      </c>
      <c r="M13" s="38">
        <v>15</v>
      </c>
      <c r="N13" s="38">
        <v>15</v>
      </c>
    </row>
    <row r="14" spans="2:14" s="13" customFormat="1" ht="16" customHeight="1">
      <c r="B14" s="58" t="s">
        <v>12</v>
      </c>
      <c r="C14" s="59"/>
      <c r="D14" s="60"/>
      <c r="E14" s="38">
        <v>12</v>
      </c>
      <c r="F14" s="38">
        <v>13</v>
      </c>
      <c r="G14" s="38">
        <v>13</v>
      </c>
      <c r="H14" s="38">
        <v>13</v>
      </c>
      <c r="I14" s="38">
        <v>14</v>
      </c>
      <c r="J14" s="22">
        <v>14</v>
      </c>
      <c r="K14" s="22">
        <v>14</v>
      </c>
      <c r="L14" s="38">
        <v>10</v>
      </c>
      <c r="M14" s="38">
        <v>10</v>
      </c>
      <c r="N14" s="38">
        <v>10</v>
      </c>
    </row>
    <row r="15" spans="2:14" s="13" customFormat="1" ht="17.149999999999999" customHeight="1">
      <c r="B15" s="58" t="s">
        <v>77</v>
      </c>
      <c r="C15" s="59"/>
      <c r="D15" s="60"/>
      <c r="E15" s="38">
        <v>7</v>
      </c>
      <c r="F15" s="39">
        <v>9</v>
      </c>
      <c r="G15" s="38">
        <v>7</v>
      </c>
      <c r="H15" s="38">
        <v>7</v>
      </c>
      <c r="I15" s="38">
        <v>7</v>
      </c>
      <c r="J15" s="46">
        <v>12</v>
      </c>
      <c r="K15" s="22">
        <v>9</v>
      </c>
      <c r="L15" s="22">
        <v>9</v>
      </c>
      <c r="M15" s="38">
        <v>7</v>
      </c>
      <c r="N15" s="38">
        <v>7</v>
      </c>
    </row>
    <row r="16" spans="2:14" s="13" customFormat="1" ht="17.149999999999999" customHeight="1">
      <c r="B16" s="58" t="s">
        <v>79</v>
      </c>
      <c r="C16" s="59"/>
      <c r="D16" s="60"/>
      <c r="E16" s="23">
        <v>67</v>
      </c>
      <c r="F16" s="23">
        <v>61</v>
      </c>
      <c r="G16" s="23">
        <v>61</v>
      </c>
      <c r="H16" s="23">
        <v>61</v>
      </c>
      <c r="I16" s="23">
        <v>61</v>
      </c>
      <c r="J16" s="23">
        <v>42</v>
      </c>
      <c r="K16" s="23">
        <v>42</v>
      </c>
      <c r="L16" s="23">
        <v>42</v>
      </c>
      <c r="M16" s="23">
        <v>42</v>
      </c>
      <c r="N16" s="23">
        <v>42</v>
      </c>
    </row>
    <row r="17" spans="2:14" ht="18" customHeight="1">
      <c r="B17" s="47" t="s">
        <v>13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</row>
    <row r="18" spans="2:14" s="12" customFormat="1" ht="15" customHeight="1">
      <c r="B18" s="70" t="s">
        <v>14</v>
      </c>
      <c r="C18" s="71"/>
      <c r="D18" s="72"/>
      <c r="E18" s="16">
        <v>46.2</v>
      </c>
      <c r="F18" s="16">
        <v>41.5</v>
      </c>
      <c r="G18" s="16">
        <v>41.3</v>
      </c>
      <c r="H18" s="16">
        <v>41.1</v>
      </c>
      <c r="I18" s="16">
        <v>40.799999999999997</v>
      </c>
      <c r="J18" s="16">
        <v>41.8</v>
      </c>
      <c r="K18" s="16">
        <v>40</v>
      </c>
      <c r="L18" s="16">
        <v>40.5</v>
      </c>
      <c r="M18" s="16">
        <v>40.5</v>
      </c>
      <c r="N18" s="16">
        <v>41.9</v>
      </c>
    </row>
    <row r="19" spans="2:14" ht="15" customHeight="1">
      <c r="B19" s="67" t="s">
        <v>15</v>
      </c>
      <c r="C19" s="68"/>
      <c r="D19" s="69"/>
      <c r="E19" s="44" t="s">
        <v>52</v>
      </c>
      <c r="F19" s="44" t="s">
        <v>52</v>
      </c>
      <c r="G19" s="44" t="s">
        <v>26</v>
      </c>
      <c r="H19" s="44" t="s">
        <v>52</v>
      </c>
      <c r="I19" s="44" t="s">
        <v>49</v>
      </c>
      <c r="J19" s="44" t="s">
        <v>26</v>
      </c>
      <c r="K19" s="44" t="s">
        <v>26</v>
      </c>
      <c r="L19" s="44" t="s">
        <v>52</v>
      </c>
      <c r="M19" s="44" t="s">
        <v>52</v>
      </c>
      <c r="N19" s="44" t="s">
        <v>95</v>
      </c>
    </row>
    <row r="20" spans="2:14" ht="15" customHeight="1">
      <c r="B20" s="47" t="s">
        <v>76</v>
      </c>
      <c r="C20" s="47"/>
      <c r="D20" s="47"/>
      <c r="E20" s="37" t="s">
        <v>82</v>
      </c>
      <c r="F20" s="37" t="s">
        <v>82</v>
      </c>
      <c r="G20" s="37" t="s">
        <v>86</v>
      </c>
      <c r="H20" s="37" t="s">
        <v>81</v>
      </c>
      <c r="I20" s="37" t="s">
        <v>82</v>
      </c>
      <c r="J20" s="37" t="s">
        <v>93</v>
      </c>
      <c r="K20" s="37" t="s">
        <v>82</v>
      </c>
      <c r="L20" s="37" t="s">
        <v>82</v>
      </c>
      <c r="M20" s="37" t="s">
        <v>82</v>
      </c>
      <c r="N20" s="37" t="s">
        <v>96</v>
      </c>
    </row>
    <row r="21" spans="2:14" ht="15" customHeight="1">
      <c r="B21" s="57"/>
      <c r="C21" s="57"/>
      <c r="D21" s="57"/>
      <c r="E21" s="43"/>
      <c r="F21" s="43"/>
      <c r="G21" s="43"/>
      <c r="H21" s="43"/>
      <c r="I21" s="43"/>
      <c r="J21" s="43"/>
      <c r="K21" s="43"/>
      <c r="L21" s="43"/>
      <c r="M21" s="43"/>
      <c r="N21" s="43"/>
    </row>
    <row r="22" spans="2:14" ht="14.5" customHeight="1"/>
    <row r="24" spans="2:14" ht="14.5" customHeight="1"/>
    <row r="26" spans="2:14" ht="14.5" customHeight="1"/>
  </sheetData>
  <mergeCells count="20">
    <mergeCell ref="B21:D21"/>
    <mergeCell ref="B14:D14"/>
    <mergeCell ref="B15:D15"/>
    <mergeCell ref="B12:D12"/>
    <mergeCell ref="B13:D13"/>
    <mergeCell ref="B16:D16"/>
    <mergeCell ref="B20:D20"/>
    <mergeCell ref="B19:D19"/>
    <mergeCell ref="B18:D18"/>
    <mergeCell ref="B17:N17"/>
    <mergeCell ref="B1:D1"/>
    <mergeCell ref="B2:D2"/>
    <mergeCell ref="B5:D5"/>
    <mergeCell ref="B7:D7"/>
    <mergeCell ref="B4:D4"/>
    <mergeCell ref="B6:D6"/>
    <mergeCell ref="B8:D8"/>
    <mergeCell ref="B9:D9"/>
    <mergeCell ref="B11:N11"/>
    <mergeCell ref="B3:N3"/>
  </mergeCells>
  <phoneticPr fontId="2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zoomScaleNormal="100" workbookViewId="0">
      <pane xSplit="2" ySplit="2" topLeftCell="C3" activePane="bottomRight" state="frozenSplit"/>
      <selection pane="topRight" activeCell="G1" sqref="G1"/>
      <selection pane="bottomLeft" activeCell="A3" sqref="A3"/>
      <selection pane="bottomRight" activeCell="L8" sqref="L8"/>
    </sheetView>
  </sheetViews>
  <sheetFormatPr defaultColWidth="9.1796875" defaultRowHeight="14.5"/>
  <cols>
    <col min="1" max="2" width="7.26953125" style="4" customWidth="1"/>
    <col min="3" max="3" width="9.1796875" style="1" customWidth="1"/>
    <col min="4" max="16384" width="9.1796875" style="1"/>
  </cols>
  <sheetData>
    <row r="1" spans="1:6" ht="18.5">
      <c r="A1" s="86" t="s">
        <v>17</v>
      </c>
      <c r="B1" s="87"/>
    </row>
    <row r="2" spans="1:6" ht="27">
      <c r="A2" s="83" t="s">
        <v>0</v>
      </c>
      <c r="B2" s="84"/>
      <c r="C2" s="3" t="s">
        <v>1</v>
      </c>
      <c r="D2" s="3" t="s">
        <v>1</v>
      </c>
      <c r="E2" s="3" t="s">
        <v>1</v>
      </c>
      <c r="F2" s="3" t="s">
        <v>1</v>
      </c>
    </row>
    <row r="3" spans="1:6">
      <c r="A3" s="79" t="s">
        <v>2</v>
      </c>
      <c r="B3" s="80"/>
      <c r="C3" s="8">
        <v>45166</v>
      </c>
      <c r="D3" s="8">
        <v>45174</v>
      </c>
      <c r="E3" s="8">
        <v>45180</v>
      </c>
      <c r="F3" s="8">
        <v>45253</v>
      </c>
    </row>
    <row r="4" spans="1:6" ht="15" customHeight="1">
      <c r="A4" s="47" t="s">
        <v>18</v>
      </c>
      <c r="B4" s="47"/>
      <c r="C4" s="47"/>
      <c r="D4" s="47"/>
      <c r="E4" s="47"/>
      <c r="F4" s="47"/>
    </row>
    <row r="5" spans="1:6" ht="15" customHeight="1">
      <c r="A5" s="95" t="s">
        <v>3</v>
      </c>
      <c r="B5" s="95"/>
      <c r="C5" s="95"/>
      <c r="D5" s="95"/>
      <c r="E5" s="95"/>
      <c r="F5" s="95"/>
    </row>
    <row r="6" spans="1:6">
      <c r="A6" s="83" t="s">
        <v>19</v>
      </c>
      <c r="B6" s="84"/>
      <c r="C6" s="21" t="s">
        <v>16</v>
      </c>
      <c r="D6" s="27" t="s">
        <v>75</v>
      </c>
      <c r="E6" s="27">
        <v>0.41</v>
      </c>
      <c r="F6" s="27">
        <v>0.37</v>
      </c>
    </row>
    <row r="7" spans="1:6">
      <c r="A7" s="79" t="s">
        <v>20</v>
      </c>
      <c r="B7" s="80"/>
      <c r="C7" s="6" t="s">
        <v>16</v>
      </c>
      <c r="D7" s="27" t="s">
        <v>16</v>
      </c>
      <c r="E7" s="27" t="s">
        <v>16</v>
      </c>
      <c r="F7" s="27" t="s">
        <v>16</v>
      </c>
    </row>
    <row r="8" spans="1:6">
      <c r="A8" s="79" t="s">
        <v>21</v>
      </c>
      <c r="B8" s="80"/>
      <c r="C8" s="6" t="s">
        <v>16</v>
      </c>
      <c r="D8" s="27" t="s">
        <v>54</v>
      </c>
      <c r="E8" s="27">
        <v>0.23</v>
      </c>
      <c r="F8" s="27">
        <v>0.19</v>
      </c>
    </row>
    <row r="9" spans="1:6">
      <c r="A9" s="79" t="s">
        <v>22</v>
      </c>
      <c r="B9" s="80"/>
      <c r="C9" s="73" t="s">
        <v>16</v>
      </c>
      <c r="D9" s="88" t="s">
        <v>16</v>
      </c>
      <c r="E9" s="88" t="s">
        <v>16</v>
      </c>
      <c r="F9" s="88" t="s">
        <v>16</v>
      </c>
    </row>
    <row r="10" spans="1:6">
      <c r="A10" s="80"/>
      <c r="B10" s="81"/>
      <c r="C10" s="74"/>
      <c r="D10" s="89"/>
      <c r="E10" s="89"/>
      <c r="F10" s="89"/>
    </row>
    <row r="11" spans="1:6">
      <c r="A11" s="79" t="s">
        <v>23</v>
      </c>
      <c r="B11" s="80"/>
      <c r="C11" s="73" t="s">
        <v>50</v>
      </c>
      <c r="D11" s="88" t="s">
        <v>41</v>
      </c>
      <c r="E11" s="88">
        <v>0.01</v>
      </c>
      <c r="F11" s="88">
        <v>0.01</v>
      </c>
    </row>
    <row r="12" spans="1:6">
      <c r="A12" s="80"/>
      <c r="B12" s="81"/>
      <c r="C12" s="74"/>
      <c r="D12" s="89"/>
      <c r="E12" s="89"/>
      <c r="F12" s="89"/>
    </row>
    <row r="13" spans="1:6">
      <c r="A13" s="79" t="s">
        <v>25</v>
      </c>
      <c r="B13" s="80"/>
      <c r="C13" s="6" t="s">
        <v>52</v>
      </c>
      <c r="D13" s="27" t="s">
        <v>83</v>
      </c>
      <c r="E13" s="27">
        <v>2.2999999999999998</v>
      </c>
      <c r="F13" s="27">
        <v>2.1</v>
      </c>
    </row>
    <row r="14" spans="1:6">
      <c r="A14" s="79" t="s">
        <v>27</v>
      </c>
      <c r="B14" s="80"/>
      <c r="C14" s="6" t="s">
        <v>16</v>
      </c>
      <c r="D14" s="27" t="s">
        <v>51</v>
      </c>
      <c r="E14" s="27">
        <v>1.1100000000000001</v>
      </c>
      <c r="F14" s="27">
        <v>1.08</v>
      </c>
    </row>
    <row r="15" spans="1:6">
      <c r="A15" s="79" t="s">
        <v>28</v>
      </c>
      <c r="B15" s="80"/>
      <c r="C15" s="6" t="s">
        <v>59</v>
      </c>
      <c r="D15" s="28" t="s">
        <v>16</v>
      </c>
      <c r="E15" s="28" t="s">
        <v>16</v>
      </c>
      <c r="F15" s="28" t="s">
        <v>16</v>
      </c>
    </row>
    <row r="16" spans="1:6">
      <c r="A16" s="79" t="s">
        <v>30</v>
      </c>
      <c r="B16" s="80"/>
      <c r="C16" s="6" t="s">
        <v>60</v>
      </c>
      <c r="D16" s="27" t="s">
        <v>68</v>
      </c>
      <c r="E16" s="30" t="s">
        <v>78</v>
      </c>
      <c r="F16" s="36" t="s">
        <v>70</v>
      </c>
    </row>
    <row r="17" spans="1:6">
      <c r="A17" s="79" t="s">
        <v>31</v>
      </c>
      <c r="B17" s="80"/>
      <c r="C17" s="6" t="s">
        <v>16</v>
      </c>
      <c r="D17" s="27" t="s">
        <v>16</v>
      </c>
      <c r="E17" s="27" t="s">
        <v>16</v>
      </c>
      <c r="F17" s="27" t="s">
        <v>16</v>
      </c>
    </row>
    <row r="18" spans="1:6">
      <c r="A18" s="79" t="s">
        <v>32</v>
      </c>
      <c r="B18" s="80"/>
      <c r="C18" s="6" t="s">
        <v>16</v>
      </c>
      <c r="D18" s="27" t="s">
        <v>53</v>
      </c>
      <c r="E18" s="27" t="s">
        <v>53</v>
      </c>
      <c r="F18" s="36" t="s">
        <v>16</v>
      </c>
    </row>
    <row r="19" spans="1:6">
      <c r="A19" s="79" t="s">
        <v>33</v>
      </c>
      <c r="B19" s="80"/>
      <c r="C19" s="6" t="s">
        <v>16</v>
      </c>
      <c r="D19" s="27" t="s">
        <v>16</v>
      </c>
      <c r="E19" s="27" t="s">
        <v>16</v>
      </c>
      <c r="F19" s="27" t="s">
        <v>16</v>
      </c>
    </row>
    <row r="20" spans="1:6">
      <c r="A20" s="79" t="s">
        <v>34</v>
      </c>
      <c r="B20" s="80"/>
      <c r="C20" s="73" t="s">
        <v>36</v>
      </c>
      <c r="D20" s="88" t="s">
        <v>72</v>
      </c>
      <c r="E20" s="90" t="s">
        <v>64</v>
      </c>
      <c r="F20" s="90" t="s">
        <v>66</v>
      </c>
    </row>
    <row r="21" spans="1:6">
      <c r="A21" s="80"/>
      <c r="B21" s="81"/>
      <c r="C21" s="74"/>
      <c r="D21" s="89"/>
      <c r="E21" s="89"/>
      <c r="F21" s="89"/>
    </row>
    <row r="22" spans="1:6">
      <c r="A22" s="82"/>
      <c r="B22" s="82"/>
      <c r="C22" s="75"/>
      <c r="D22" s="89"/>
      <c r="E22" s="89"/>
      <c r="F22" s="89"/>
    </row>
    <row r="23" spans="1:6" ht="15" customHeight="1">
      <c r="A23" s="47" t="s">
        <v>9</v>
      </c>
      <c r="B23" s="47"/>
      <c r="C23" s="47"/>
      <c r="D23" s="47"/>
      <c r="E23" s="47"/>
      <c r="F23" s="47"/>
    </row>
    <row r="24" spans="1:6">
      <c r="A24" s="83" t="s">
        <v>35</v>
      </c>
      <c r="B24" s="84"/>
      <c r="C24" s="7" t="s">
        <v>24</v>
      </c>
      <c r="D24" s="29" t="s">
        <v>58</v>
      </c>
      <c r="E24" s="31" t="s">
        <v>87</v>
      </c>
      <c r="F24" s="31" t="s">
        <v>57</v>
      </c>
    </row>
    <row r="25" spans="1:6">
      <c r="A25" s="79" t="s">
        <v>37</v>
      </c>
      <c r="B25" s="80"/>
      <c r="C25" s="5" t="s">
        <v>61</v>
      </c>
      <c r="D25" s="29" t="s">
        <v>84</v>
      </c>
      <c r="E25" s="31" t="s">
        <v>88</v>
      </c>
      <c r="F25" s="31" t="s">
        <v>91</v>
      </c>
    </row>
    <row r="26" spans="1:6">
      <c r="A26" s="79" t="s">
        <v>38</v>
      </c>
      <c r="B26" s="80"/>
      <c r="C26" s="6" t="s">
        <v>16</v>
      </c>
      <c r="D26" s="28" t="s">
        <v>16</v>
      </c>
      <c r="E26" s="28" t="s">
        <v>16</v>
      </c>
      <c r="F26" s="28" t="s">
        <v>16</v>
      </c>
    </row>
    <row r="27" spans="1:6">
      <c r="A27" s="85" t="s">
        <v>39</v>
      </c>
      <c r="B27" s="82"/>
      <c r="C27" s="20" t="s">
        <v>55</v>
      </c>
      <c r="D27" s="28" t="s">
        <v>73</v>
      </c>
      <c r="E27" s="32" t="s">
        <v>71</v>
      </c>
      <c r="F27" s="32" t="s">
        <v>69</v>
      </c>
    </row>
    <row r="28" spans="1:6" ht="15" customHeight="1">
      <c r="A28" s="47" t="s">
        <v>13</v>
      </c>
      <c r="B28" s="47"/>
      <c r="C28" s="47"/>
      <c r="D28" s="47"/>
      <c r="E28" s="47"/>
      <c r="F28" s="47"/>
    </row>
    <row r="29" spans="1:6" ht="15" customHeight="1">
      <c r="A29" s="83" t="s">
        <v>40</v>
      </c>
      <c r="B29" s="83"/>
      <c r="C29" s="76" t="s">
        <v>50</v>
      </c>
      <c r="D29" s="91" t="s">
        <v>41</v>
      </c>
      <c r="E29" s="91" t="s">
        <v>89</v>
      </c>
      <c r="F29" s="91" t="s">
        <v>89</v>
      </c>
    </row>
    <row r="30" spans="1:6">
      <c r="A30" s="79"/>
      <c r="B30" s="79"/>
      <c r="C30" s="74"/>
      <c r="D30" s="92"/>
      <c r="E30" s="92"/>
      <c r="F30" s="92"/>
    </row>
    <row r="31" spans="1:6">
      <c r="A31" s="79"/>
      <c r="B31" s="79"/>
      <c r="C31" s="74"/>
      <c r="D31" s="92"/>
      <c r="E31" s="92"/>
      <c r="F31" s="92"/>
    </row>
    <row r="32" spans="1:6" ht="15" customHeight="1">
      <c r="A32" s="79" t="s">
        <v>42</v>
      </c>
      <c r="B32" s="79"/>
      <c r="C32" s="77" t="s">
        <v>41</v>
      </c>
      <c r="D32" s="93" t="s">
        <v>16</v>
      </c>
      <c r="E32" s="93" t="s">
        <v>16</v>
      </c>
      <c r="F32" s="93" t="s">
        <v>16</v>
      </c>
    </row>
    <row r="33" spans="1:6">
      <c r="A33" s="79"/>
      <c r="B33" s="79"/>
      <c r="C33" s="78"/>
      <c r="D33" s="94"/>
      <c r="E33" s="94"/>
      <c r="F33" s="94"/>
    </row>
    <row r="34" spans="1:6" ht="15" customHeight="1">
      <c r="A34" s="79" t="s">
        <v>43</v>
      </c>
      <c r="B34" s="79"/>
      <c r="C34" s="6" t="s">
        <v>62</v>
      </c>
      <c r="D34" s="28" t="s">
        <v>85</v>
      </c>
      <c r="E34" s="32" t="s">
        <v>90</v>
      </c>
      <c r="F34" s="32" t="s">
        <v>92</v>
      </c>
    </row>
    <row r="35" spans="1:6" ht="15" customHeight="1">
      <c r="A35" s="79" t="s">
        <v>44</v>
      </c>
      <c r="B35" s="79"/>
      <c r="C35" s="6" t="s">
        <v>56</v>
      </c>
      <c r="D35" s="28" t="s">
        <v>74</v>
      </c>
      <c r="E35" s="28">
        <v>0.48</v>
      </c>
      <c r="F35" s="28">
        <v>0.21</v>
      </c>
    </row>
    <row r="36" spans="1:6" ht="15" customHeight="1">
      <c r="A36" s="79" t="s">
        <v>45</v>
      </c>
      <c r="B36" s="79"/>
      <c r="C36" s="6" t="s">
        <v>63</v>
      </c>
      <c r="D36" s="28" t="s">
        <v>16</v>
      </c>
      <c r="E36" s="28" t="s">
        <v>16</v>
      </c>
      <c r="F36" s="28" t="s">
        <v>16</v>
      </c>
    </row>
    <row r="37" spans="1:6" ht="15" customHeight="1">
      <c r="A37" s="79" t="s">
        <v>47</v>
      </c>
      <c r="B37" s="79"/>
      <c r="C37" s="6" t="s">
        <v>29</v>
      </c>
      <c r="D37" s="28" t="s">
        <v>16</v>
      </c>
      <c r="E37" s="28" t="s">
        <v>16</v>
      </c>
      <c r="F37" s="28" t="s">
        <v>16</v>
      </c>
    </row>
    <row r="38" spans="1:6" ht="15" customHeight="1">
      <c r="A38" s="79" t="s">
        <v>48</v>
      </c>
      <c r="B38" s="79"/>
      <c r="C38" s="6" t="s">
        <v>61</v>
      </c>
      <c r="D38" s="28" t="s">
        <v>46</v>
      </c>
      <c r="E38" s="32" t="s">
        <v>65</v>
      </c>
      <c r="F38" s="32" t="s">
        <v>67</v>
      </c>
    </row>
  </sheetData>
  <mergeCells count="51">
    <mergeCell ref="F29:F31"/>
    <mergeCell ref="F32:F33"/>
    <mergeCell ref="A4:F4"/>
    <mergeCell ref="A5:F5"/>
    <mergeCell ref="A23:F23"/>
    <mergeCell ref="A28:F28"/>
    <mergeCell ref="E9:E10"/>
    <mergeCell ref="E11:E12"/>
    <mergeCell ref="E20:E22"/>
    <mergeCell ref="E29:E31"/>
    <mergeCell ref="E32:E33"/>
    <mergeCell ref="D9:D10"/>
    <mergeCell ref="D11:D12"/>
    <mergeCell ref="D20:D22"/>
    <mergeCell ref="D29:D31"/>
    <mergeCell ref="D32:D33"/>
    <mergeCell ref="A9:B10"/>
    <mergeCell ref="A6:B6"/>
    <mergeCell ref="F9:F10"/>
    <mergeCell ref="F11:F12"/>
    <mergeCell ref="F20:F22"/>
    <mergeCell ref="A1:B1"/>
    <mergeCell ref="A2:B2"/>
    <mergeCell ref="A3:B3"/>
    <mergeCell ref="A7:B7"/>
    <mergeCell ref="A8:B8"/>
    <mergeCell ref="A13:B13"/>
    <mergeCell ref="A14:B14"/>
    <mergeCell ref="A11:B12"/>
    <mergeCell ref="A27:B27"/>
    <mergeCell ref="A16:B16"/>
    <mergeCell ref="A17:B17"/>
    <mergeCell ref="A15:B15"/>
    <mergeCell ref="A19:B19"/>
    <mergeCell ref="A18:B18"/>
    <mergeCell ref="A20:B22"/>
    <mergeCell ref="A24:B24"/>
    <mergeCell ref="A25:B25"/>
    <mergeCell ref="A26:B26"/>
    <mergeCell ref="A32:B33"/>
    <mergeCell ref="A29:B31"/>
    <mergeCell ref="A38:B38"/>
    <mergeCell ref="A34:B34"/>
    <mergeCell ref="A35:B35"/>
    <mergeCell ref="A37:B37"/>
    <mergeCell ref="A36:B36"/>
    <mergeCell ref="C9:C10"/>
    <mergeCell ref="C11:C12"/>
    <mergeCell ref="C20:C22"/>
    <mergeCell ref="C29:C31"/>
    <mergeCell ref="C32:C33"/>
  </mergeCells>
  <phoneticPr fontId="20" type="noConversion"/>
  <pageMargins left="0.7" right="0.7" top="0.75" bottom="0.75" header="0.3" footer="0.3"/>
  <pageSetup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Tribology</vt:lpstr>
      <vt:lpstr>Wear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Dell001</dc:creator>
  <cp:lastModifiedBy>Rizki Firmansyah</cp:lastModifiedBy>
  <dcterms:created xsi:type="dcterms:W3CDTF">2018-04-28T17:12:46Z</dcterms:created>
  <dcterms:modified xsi:type="dcterms:W3CDTF">2024-03-05T04:55:03Z</dcterms:modified>
</cp:coreProperties>
</file>